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MY ACTIVITIES\PERSO\Actuaire\FORMATION\CANADA 2021\COURS AUTOMNE 2022\ECN 6258-A- MONNAIE\Devoir\DEVOIR 3\"/>
    </mc:Choice>
  </mc:AlternateContent>
  <bookViews>
    <workbookView xWindow="0" yWindow="0" windowWidth="20490" windowHeight="7155" tabRatio="723" activeTab="5"/>
  </bookViews>
  <sheets>
    <sheet name="yields_BRUTE" sheetId="11" r:id="rId1"/>
    <sheet name="maturity_BRUTE" sheetId="12" r:id="rId2"/>
    <sheet name="yields" sheetId="4" r:id="rId3"/>
    <sheet name="maturity" sheetId="7" r:id="rId4"/>
    <sheet name="Immunisation 1" sheetId="8" r:id="rId5"/>
    <sheet name="Immunisation 2" sheetId="9" r:id="rId6"/>
    <sheet name="RECAP INDICATEUR" sheetId="10" r:id="rId7"/>
  </sheets>
  <definedNames>
    <definedName name="_xlnm._FilterDatabase" localSheetId="4" hidden="1">'Immunisation 1'!$A$2:$I$54</definedName>
    <definedName name="_xlnm._FilterDatabase" localSheetId="5" hidden="1">'Immunisation 2'!$A$2:$I$54</definedName>
    <definedName name="_xlnm._FilterDatabase" localSheetId="3" hidden="1">maturity!$A$2:$E$54</definedName>
    <definedName name="_xlnm._FilterDatabase" localSheetId="1" hidden="1">maturity_BRUTE!$A$1:$DC$1</definedName>
    <definedName name="_xlnm._FilterDatabase" localSheetId="2" hidden="1">yields!$A$1:$F$53</definedName>
    <definedName name="_xlnm._FilterDatabase" localSheetId="0" hidden="1">yields_BRUTE!$A$1:$DC$1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2" i="11" l="1"/>
  <c r="B251" i="12"/>
  <c r="A251" i="12" s="1"/>
  <c r="B250" i="12"/>
  <c r="A250" i="12" s="1"/>
  <c r="B249" i="12"/>
  <c r="A249" i="12" s="1"/>
  <c r="B248" i="12"/>
  <c r="A248" i="12" s="1"/>
  <c r="B247" i="12"/>
  <c r="A247" i="12" s="1"/>
  <c r="B246" i="12"/>
  <c r="A246" i="12" s="1"/>
  <c r="B245" i="12"/>
  <c r="A245" i="12" s="1"/>
  <c r="B244" i="12"/>
  <c r="A244" i="12" s="1"/>
  <c r="B243" i="12"/>
  <c r="A243" i="12" s="1"/>
  <c r="B242" i="12"/>
  <c r="A242" i="12" s="1"/>
  <c r="B241" i="12"/>
  <c r="A241" i="12" s="1"/>
  <c r="B240" i="12"/>
  <c r="A240" i="12" s="1"/>
  <c r="B239" i="12"/>
  <c r="A239" i="12"/>
  <c r="B238" i="12"/>
  <c r="A238" i="12" s="1"/>
  <c r="B237" i="12"/>
  <c r="A237" i="12" s="1"/>
  <c r="B236" i="12"/>
  <c r="A236" i="12" s="1"/>
  <c r="B235" i="12"/>
  <c r="A235" i="12" s="1"/>
  <c r="B234" i="12"/>
  <c r="A234" i="12" s="1"/>
  <c r="B233" i="12"/>
  <c r="A233" i="12" s="1"/>
  <c r="B232" i="12"/>
  <c r="A232" i="12" s="1"/>
  <c r="B231" i="12"/>
  <c r="A231" i="12" s="1"/>
  <c r="B230" i="12"/>
  <c r="A230" i="12"/>
  <c r="B229" i="12"/>
  <c r="A229" i="12"/>
  <c r="B228" i="12"/>
  <c r="A228" i="12" s="1"/>
  <c r="B227" i="12"/>
  <c r="A227" i="12" s="1"/>
  <c r="B226" i="12"/>
  <c r="A226" i="12" s="1"/>
  <c r="B225" i="12"/>
  <c r="A225" i="12" s="1"/>
  <c r="B224" i="12"/>
  <c r="A224" i="12" s="1"/>
  <c r="B223" i="12"/>
  <c r="A223" i="12" s="1"/>
  <c r="B222" i="12"/>
  <c r="A222" i="12"/>
  <c r="B221" i="12"/>
  <c r="A221" i="12" s="1"/>
  <c r="B220" i="12"/>
  <c r="A220" i="12" s="1"/>
  <c r="B219" i="12"/>
  <c r="A219" i="12" s="1"/>
  <c r="B218" i="12"/>
  <c r="A218" i="12" s="1"/>
  <c r="B217" i="12"/>
  <c r="A217" i="12" s="1"/>
  <c r="B216" i="12"/>
  <c r="A216" i="12" s="1"/>
  <c r="B215" i="12"/>
  <c r="A215" i="12" s="1"/>
  <c r="B214" i="12"/>
  <c r="A214" i="12" s="1"/>
  <c r="B213" i="12"/>
  <c r="A213" i="12" s="1"/>
  <c r="B212" i="12"/>
  <c r="A212" i="12" s="1"/>
  <c r="B211" i="12"/>
  <c r="A211" i="12" s="1"/>
  <c r="B210" i="12"/>
  <c r="A210" i="12" s="1"/>
  <c r="B209" i="12"/>
  <c r="A209" i="12" s="1"/>
  <c r="B208" i="12"/>
  <c r="A208" i="12" s="1"/>
  <c r="B207" i="12"/>
  <c r="A207" i="12" s="1"/>
  <c r="B206" i="12"/>
  <c r="A206" i="12"/>
  <c r="B205" i="12"/>
  <c r="A205" i="12" s="1"/>
  <c r="B204" i="12"/>
  <c r="A204" i="12" s="1"/>
  <c r="B203" i="12"/>
  <c r="A203" i="12"/>
  <c r="B202" i="12"/>
  <c r="A202" i="12" s="1"/>
  <c r="B201" i="12"/>
  <c r="A201" i="12" s="1"/>
  <c r="B200" i="12"/>
  <c r="A200" i="12"/>
  <c r="B199" i="12"/>
  <c r="A199" i="12" s="1"/>
  <c r="B198" i="12"/>
  <c r="A198" i="12" s="1"/>
  <c r="B197" i="12"/>
  <c r="A197" i="12" s="1"/>
  <c r="B196" i="12"/>
  <c r="A196" i="12"/>
  <c r="B195" i="12"/>
  <c r="A195" i="12" s="1"/>
  <c r="B194" i="12"/>
  <c r="A194" i="12" s="1"/>
  <c r="B193" i="12"/>
  <c r="A193" i="12"/>
  <c r="B192" i="12"/>
  <c r="A192" i="12"/>
  <c r="B191" i="12"/>
  <c r="A191" i="12"/>
  <c r="B190" i="12"/>
  <c r="A190" i="12" s="1"/>
  <c r="B189" i="12"/>
  <c r="A189" i="12"/>
  <c r="B188" i="12"/>
  <c r="A188" i="12" s="1"/>
  <c r="B187" i="12"/>
  <c r="A187" i="12" s="1"/>
  <c r="B186" i="12"/>
  <c r="A186" i="12" s="1"/>
  <c r="B185" i="12"/>
  <c r="A185" i="12" s="1"/>
  <c r="B184" i="12"/>
  <c r="A184" i="12"/>
  <c r="B183" i="12"/>
  <c r="A183" i="12" s="1"/>
  <c r="B182" i="12"/>
  <c r="A182" i="12" s="1"/>
  <c r="B181" i="12"/>
  <c r="A181" i="12"/>
  <c r="B180" i="12"/>
  <c r="A180" i="12" s="1"/>
  <c r="B179" i="12"/>
  <c r="A179" i="12" s="1"/>
  <c r="B178" i="12"/>
  <c r="A178" i="12"/>
  <c r="B177" i="12"/>
  <c r="A177" i="12" s="1"/>
  <c r="B176" i="12"/>
  <c r="A176" i="12" s="1"/>
  <c r="B175" i="12"/>
  <c r="A175" i="12"/>
  <c r="B174" i="12"/>
  <c r="A174" i="12" s="1"/>
  <c r="B173" i="12"/>
  <c r="A173" i="12" s="1"/>
  <c r="B172" i="12"/>
  <c r="A172" i="12"/>
  <c r="B171" i="12"/>
  <c r="A171" i="12" s="1"/>
  <c r="B170" i="12"/>
  <c r="A170" i="12" s="1"/>
  <c r="B169" i="12"/>
  <c r="A169" i="12"/>
  <c r="B168" i="12"/>
  <c r="A168" i="12"/>
  <c r="B167" i="12"/>
  <c r="A167" i="12" s="1"/>
  <c r="B166" i="12"/>
  <c r="A166" i="12" s="1"/>
  <c r="B165" i="12"/>
  <c r="A165" i="12" s="1"/>
  <c r="B164" i="12"/>
  <c r="A164" i="12"/>
  <c r="B163" i="12"/>
  <c r="A163" i="12"/>
  <c r="B162" i="12"/>
  <c r="A162" i="12" s="1"/>
  <c r="B161" i="12"/>
  <c r="A161" i="12" s="1"/>
  <c r="B160" i="12"/>
  <c r="A160" i="12"/>
  <c r="B159" i="12"/>
  <c r="A159" i="12"/>
  <c r="B158" i="12"/>
  <c r="A158" i="12"/>
  <c r="B157" i="12"/>
  <c r="A157" i="12" s="1"/>
  <c r="B156" i="12"/>
  <c r="A156" i="12" s="1"/>
  <c r="B155" i="12"/>
  <c r="A155" i="12"/>
  <c r="B154" i="12"/>
  <c r="A154" i="12" s="1"/>
  <c r="B153" i="12"/>
  <c r="A153" i="12" s="1"/>
  <c r="B152" i="12"/>
  <c r="A152" i="12"/>
  <c r="B151" i="12"/>
  <c r="A151" i="12" s="1"/>
  <c r="B150" i="12"/>
  <c r="A150" i="12"/>
  <c r="B149" i="12"/>
  <c r="A149" i="12" s="1"/>
  <c r="B148" i="12"/>
  <c r="A148" i="12" s="1"/>
  <c r="B147" i="12"/>
  <c r="A147" i="12"/>
  <c r="B146" i="12"/>
  <c r="A146" i="12" s="1"/>
  <c r="B145" i="12"/>
  <c r="A145" i="12" s="1"/>
  <c r="B144" i="12"/>
  <c r="A144" i="12" s="1"/>
  <c r="B143" i="12"/>
  <c r="A143" i="12" s="1"/>
  <c r="B142" i="12"/>
  <c r="A142" i="12"/>
  <c r="B141" i="12"/>
  <c r="A141" i="12"/>
  <c r="B140" i="12"/>
  <c r="A140" i="12" s="1"/>
  <c r="B139" i="12"/>
  <c r="A139" i="12" s="1"/>
  <c r="B138" i="12"/>
  <c r="A138" i="12"/>
  <c r="B137" i="12"/>
  <c r="A137" i="12"/>
  <c r="B136" i="12"/>
  <c r="A136" i="12" s="1"/>
  <c r="B135" i="12"/>
  <c r="A135" i="12" s="1"/>
  <c r="B134" i="12"/>
  <c r="A134" i="12"/>
  <c r="B133" i="12"/>
  <c r="A133" i="12"/>
  <c r="B132" i="12"/>
  <c r="A132" i="12" s="1"/>
  <c r="B131" i="12"/>
  <c r="A131" i="12" s="1"/>
  <c r="B130" i="12"/>
  <c r="A130" i="12"/>
  <c r="B129" i="12"/>
  <c r="A129" i="12"/>
  <c r="B128" i="12"/>
  <c r="A128" i="12" s="1"/>
  <c r="B127" i="12"/>
  <c r="A127" i="12" s="1"/>
  <c r="B126" i="12"/>
  <c r="A126" i="12"/>
  <c r="B125" i="12"/>
  <c r="A125" i="12"/>
  <c r="B124" i="12"/>
  <c r="A124" i="12"/>
  <c r="B123" i="12"/>
  <c r="A123" i="12" s="1"/>
  <c r="B122" i="12"/>
  <c r="A122" i="12"/>
  <c r="B121" i="12"/>
  <c r="A121" i="12" s="1"/>
  <c r="B120" i="12"/>
  <c r="A120" i="12"/>
  <c r="B119" i="12"/>
  <c r="A119" i="12" s="1"/>
  <c r="B118" i="12"/>
  <c r="A118" i="12" s="1"/>
  <c r="B117" i="12"/>
  <c r="A117" i="12"/>
  <c r="B116" i="12"/>
  <c r="A116" i="12" s="1"/>
  <c r="B115" i="12"/>
  <c r="A115" i="12" s="1"/>
  <c r="B114" i="12"/>
  <c r="A114" i="12"/>
  <c r="B113" i="12"/>
  <c r="A113" i="12" s="1"/>
  <c r="B112" i="12"/>
  <c r="A112" i="12" s="1"/>
  <c r="B111" i="12"/>
  <c r="A111" i="12" s="1"/>
  <c r="B110" i="12"/>
  <c r="A110" i="12" s="1"/>
  <c r="B109" i="12"/>
  <c r="A109" i="12" s="1"/>
  <c r="B108" i="12"/>
  <c r="A108" i="12" s="1"/>
  <c r="B107" i="12"/>
  <c r="A107" i="12" s="1"/>
  <c r="B106" i="12"/>
  <c r="A106" i="12"/>
  <c r="B105" i="12"/>
  <c r="A105" i="12" s="1"/>
  <c r="B104" i="12"/>
  <c r="A104" i="12" s="1"/>
  <c r="B103" i="12"/>
  <c r="A103" i="12" s="1"/>
  <c r="B102" i="12"/>
  <c r="A102" i="12"/>
  <c r="B101" i="12"/>
  <c r="A101" i="12" s="1"/>
  <c r="B100" i="12"/>
  <c r="A100" i="12" s="1"/>
  <c r="B99" i="12"/>
  <c r="A99" i="12" s="1"/>
  <c r="B98" i="12"/>
  <c r="A98" i="12" s="1"/>
  <c r="B97" i="12"/>
  <c r="A97" i="12"/>
  <c r="B96" i="12"/>
  <c r="A96" i="12" s="1"/>
  <c r="B95" i="12"/>
  <c r="A95" i="12" s="1"/>
  <c r="B94" i="12"/>
  <c r="A94" i="12"/>
  <c r="B93" i="12"/>
  <c r="A93" i="12" s="1"/>
  <c r="B92" i="12"/>
  <c r="A92" i="12" s="1"/>
  <c r="B91" i="12"/>
  <c r="A91" i="12"/>
  <c r="B90" i="12"/>
  <c r="A90" i="12"/>
  <c r="B89" i="12"/>
  <c r="A89" i="12"/>
  <c r="B88" i="12"/>
  <c r="A88" i="12" s="1"/>
  <c r="B87" i="12"/>
  <c r="A87" i="12"/>
  <c r="B86" i="12"/>
  <c r="A86" i="12" s="1"/>
  <c r="B85" i="12"/>
  <c r="A85" i="12"/>
  <c r="B84" i="12"/>
  <c r="A84" i="12" s="1"/>
  <c r="B83" i="12"/>
  <c r="A83" i="12" s="1"/>
  <c r="B82" i="12"/>
  <c r="A82" i="12" s="1"/>
  <c r="B81" i="12"/>
  <c r="A81" i="12"/>
  <c r="B80" i="12"/>
  <c r="A80" i="12" s="1"/>
  <c r="B79" i="12"/>
  <c r="A79" i="12"/>
  <c r="B78" i="12"/>
  <c r="A78" i="12" s="1"/>
  <c r="B77" i="12"/>
  <c r="A77" i="12" s="1"/>
  <c r="B76" i="12"/>
  <c r="A76" i="12" s="1"/>
  <c r="B75" i="12"/>
  <c r="A75" i="12" s="1"/>
  <c r="B74" i="12"/>
  <c r="A74" i="12" s="1"/>
  <c r="B73" i="12"/>
  <c r="A73" i="12" s="1"/>
  <c r="B72" i="12"/>
  <c r="A72" i="12" s="1"/>
  <c r="B71" i="12"/>
  <c r="A71" i="12"/>
  <c r="B70" i="12"/>
  <c r="A70" i="12" s="1"/>
  <c r="B69" i="12"/>
  <c r="A69" i="12"/>
  <c r="B68" i="12"/>
  <c r="A68" i="12" s="1"/>
  <c r="B67" i="12"/>
  <c r="A67" i="12" s="1"/>
  <c r="B66" i="12"/>
  <c r="A66" i="12" s="1"/>
  <c r="B65" i="12"/>
  <c r="A65" i="12"/>
  <c r="B64" i="12"/>
  <c r="A64" i="12" s="1"/>
  <c r="B63" i="12"/>
  <c r="A63" i="12"/>
  <c r="B62" i="12"/>
  <c r="A62" i="12" s="1"/>
  <c r="B61" i="12"/>
  <c r="A61" i="12"/>
  <c r="B60" i="12"/>
  <c r="A60" i="12" s="1"/>
  <c r="B59" i="12"/>
  <c r="A59" i="12" s="1"/>
  <c r="B58" i="12"/>
  <c r="A58" i="12"/>
  <c r="B57" i="12"/>
  <c r="A57" i="12" s="1"/>
  <c r="B56" i="12"/>
  <c r="A56" i="12" s="1"/>
  <c r="B55" i="12"/>
  <c r="A55" i="12"/>
  <c r="B54" i="12"/>
  <c r="A54" i="12" s="1"/>
  <c r="B53" i="12"/>
  <c r="A53" i="12" s="1"/>
  <c r="B52" i="12"/>
  <c r="A52" i="12" s="1"/>
  <c r="B51" i="12"/>
  <c r="A51" i="12" s="1"/>
  <c r="B50" i="12"/>
  <c r="A50" i="12"/>
  <c r="B49" i="12"/>
  <c r="A49" i="12" s="1"/>
  <c r="B48" i="12"/>
  <c r="A48" i="12" s="1"/>
  <c r="B47" i="12"/>
  <c r="A47" i="12"/>
  <c r="B46" i="12"/>
  <c r="A46" i="12" s="1"/>
  <c r="B45" i="12"/>
  <c r="A45" i="12" s="1"/>
  <c r="B44" i="12"/>
  <c r="A44" i="12" s="1"/>
  <c r="B43" i="12"/>
  <c r="A43" i="12" s="1"/>
  <c r="B42" i="12"/>
  <c r="A42" i="12"/>
  <c r="B41" i="12"/>
  <c r="A41" i="12" s="1"/>
  <c r="B40" i="12"/>
  <c r="A40" i="12" s="1"/>
  <c r="B39" i="12"/>
  <c r="A39" i="12"/>
  <c r="B38" i="12"/>
  <c r="A38" i="12" s="1"/>
  <c r="B37" i="12"/>
  <c r="A37" i="12" s="1"/>
  <c r="B36" i="12"/>
  <c r="A36" i="12" s="1"/>
  <c r="B35" i="12"/>
  <c r="A35" i="12" s="1"/>
  <c r="B34" i="12"/>
  <c r="A34" i="12"/>
  <c r="B33" i="12"/>
  <c r="A33" i="12" s="1"/>
  <c r="B32" i="12"/>
  <c r="A32" i="12" s="1"/>
  <c r="B31" i="12"/>
  <c r="A31" i="12"/>
  <c r="B30" i="12"/>
  <c r="A30" i="12"/>
  <c r="B29" i="12"/>
  <c r="A29" i="12"/>
  <c r="B28" i="12"/>
  <c r="A28" i="12" s="1"/>
  <c r="B27" i="12"/>
  <c r="A27" i="12"/>
  <c r="B26" i="12"/>
  <c r="A26" i="12" s="1"/>
  <c r="B25" i="12"/>
  <c r="A25" i="12"/>
  <c r="B24" i="12"/>
  <c r="A24" i="12" s="1"/>
  <c r="B23" i="12"/>
  <c r="A23" i="12" s="1"/>
  <c r="B22" i="12"/>
  <c r="A22" i="12"/>
  <c r="B21" i="12"/>
  <c r="A21" i="12" s="1"/>
  <c r="B20" i="12"/>
  <c r="A20" i="12" s="1"/>
  <c r="B19" i="12"/>
  <c r="A19" i="12" s="1"/>
  <c r="B18" i="12"/>
  <c r="A18" i="12"/>
  <c r="B17" i="12"/>
  <c r="A17" i="12" s="1"/>
  <c r="B16" i="12"/>
  <c r="A16" i="12" s="1"/>
  <c r="B15" i="12"/>
  <c r="A15" i="12"/>
  <c r="B14" i="12"/>
  <c r="A14" i="12" s="1"/>
  <c r="B13" i="12"/>
  <c r="AY13" i="12" s="1"/>
  <c r="B12" i="12"/>
  <c r="A12" i="12" s="1"/>
  <c r="CG11" i="12"/>
  <c r="AE11" i="12"/>
  <c r="B11" i="12"/>
  <c r="A11" i="12" s="1"/>
  <c r="DB10" i="12"/>
  <c r="BU10" i="12"/>
  <c r="AO10" i="12"/>
  <c r="I10" i="12"/>
  <c r="B10" i="12"/>
  <c r="A10" i="12" s="1"/>
  <c r="B9" i="12"/>
  <c r="A9" i="12" s="1"/>
  <c r="DC8" i="12"/>
  <c r="CA8" i="12"/>
  <c r="BW8" i="12"/>
  <c r="AU8" i="12"/>
  <c r="AQ8" i="12"/>
  <c r="O8" i="12"/>
  <c r="K8" i="12"/>
  <c r="B8" i="12"/>
  <c r="A8" i="12" s="1"/>
  <c r="BJ7" i="12"/>
  <c r="B7" i="12"/>
  <c r="A7" i="12" s="1"/>
  <c r="DA6" i="12"/>
  <c r="BU6" i="12"/>
  <c r="AO6" i="12"/>
  <c r="I6" i="12"/>
  <c r="B6" i="12"/>
  <c r="A6" i="12" s="1"/>
  <c r="B5" i="12"/>
  <c r="A5" i="12" s="1"/>
  <c r="DC4" i="12"/>
  <c r="CA4" i="12"/>
  <c r="BW4" i="12"/>
  <c r="AU4" i="12"/>
  <c r="AQ4" i="12"/>
  <c r="O4" i="12"/>
  <c r="K4" i="12"/>
  <c r="B4" i="12"/>
  <c r="A4" i="12" s="1"/>
  <c r="B3" i="12"/>
  <c r="A3" i="12" s="1"/>
  <c r="CO2" i="12"/>
  <c r="BI2" i="12"/>
  <c r="AC2" i="12"/>
  <c r="B2" i="12"/>
  <c r="A2" i="12"/>
  <c r="DC1" i="12"/>
  <c r="DC6" i="12" s="1"/>
  <c r="DB1" i="12"/>
  <c r="DB6" i="12" s="1"/>
  <c r="DA1" i="12"/>
  <c r="DA2" i="12" s="1"/>
  <c r="CZ1" i="12"/>
  <c r="CZ8" i="12" s="1"/>
  <c r="CY1" i="12"/>
  <c r="CX1" i="12"/>
  <c r="CX11" i="12" s="1"/>
  <c r="CW1" i="12"/>
  <c r="CV1" i="12"/>
  <c r="CU1" i="12"/>
  <c r="CU10" i="12" s="1"/>
  <c r="CT1" i="12"/>
  <c r="CT10" i="12" s="1"/>
  <c r="CS1" i="12"/>
  <c r="CR1" i="12"/>
  <c r="CR14" i="12" s="1"/>
  <c r="CQ1" i="12"/>
  <c r="CP1" i="12"/>
  <c r="CP11" i="12" s="1"/>
  <c r="CO1" i="12"/>
  <c r="CO11" i="12" s="1"/>
  <c r="CN1" i="12"/>
  <c r="CN14" i="12" s="1"/>
  <c r="CM1" i="12"/>
  <c r="CM10" i="12" s="1"/>
  <c r="CL1" i="12"/>
  <c r="CL10" i="12" s="1"/>
  <c r="CK1" i="12"/>
  <c r="CK2" i="12" s="1"/>
  <c r="CJ1" i="12"/>
  <c r="CJ14" i="12" s="1"/>
  <c r="CI1" i="12"/>
  <c r="CH1" i="12"/>
  <c r="CH11" i="12" s="1"/>
  <c r="CG1" i="12"/>
  <c r="CG2" i="12" s="1"/>
  <c r="CF1" i="12"/>
  <c r="CF7" i="12" s="1"/>
  <c r="CE1" i="12"/>
  <c r="CE10" i="12" s="1"/>
  <c r="CD1" i="12"/>
  <c r="CD10" i="12" s="1"/>
  <c r="CC1" i="12"/>
  <c r="CB1" i="12"/>
  <c r="CA1" i="12"/>
  <c r="BZ1" i="12"/>
  <c r="BZ11" i="12" s="1"/>
  <c r="BY1" i="12"/>
  <c r="BY2" i="12" s="1"/>
  <c r="BX1" i="12"/>
  <c r="BX13" i="12" s="1"/>
  <c r="BW1" i="12"/>
  <c r="BW10" i="12" s="1"/>
  <c r="BV1" i="12"/>
  <c r="BV10" i="12" s="1"/>
  <c r="BU1" i="12"/>
  <c r="BU2" i="12" s="1"/>
  <c r="BT1" i="12"/>
  <c r="BT9" i="12" s="1"/>
  <c r="BS1" i="12"/>
  <c r="BR1" i="12"/>
  <c r="BR11" i="12" s="1"/>
  <c r="BQ1" i="12"/>
  <c r="BP1" i="12"/>
  <c r="BP7" i="12" s="1"/>
  <c r="BO1" i="12"/>
  <c r="BO10" i="12" s="1"/>
  <c r="BN1" i="12"/>
  <c r="BN10" i="12" s="1"/>
  <c r="BM1" i="12"/>
  <c r="BL1" i="12"/>
  <c r="BK1" i="12"/>
  <c r="BJ1" i="12"/>
  <c r="BJ11" i="12" s="1"/>
  <c r="BI1" i="12"/>
  <c r="BH1" i="12"/>
  <c r="BH13" i="12" s="1"/>
  <c r="BG1" i="12"/>
  <c r="BG10" i="12" s="1"/>
  <c r="BF1" i="12"/>
  <c r="BF10" i="12" s="1"/>
  <c r="BE1" i="12"/>
  <c r="BE2" i="12" s="1"/>
  <c r="BD1" i="12"/>
  <c r="BD7" i="12" s="1"/>
  <c r="BC1" i="12"/>
  <c r="BB1" i="12"/>
  <c r="BB11" i="12" s="1"/>
  <c r="BA1" i="12"/>
  <c r="BA2" i="12" s="1"/>
  <c r="AZ1" i="12"/>
  <c r="AZ5" i="12" s="1"/>
  <c r="AY1" i="12"/>
  <c r="AY10" i="12" s="1"/>
  <c r="AX1" i="12"/>
  <c r="AX10" i="12" s="1"/>
  <c r="AW1" i="12"/>
  <c r="AV1" i="12"/>
  <c r="AU1" i="12"/>
  <c r="AT1" i="12"/>
  <c r="AT10" i="12" s="1"/>
  <c r="AS1" i="12"/>
  <c r="AS2" i="12" s="1"/>
  <c r="AR1" i="12"/>
  <c r="AR13" i="12" s="1"/>
  <c r="AQ1" i="12"/>
  <c r="AQ10" i="12" s="1"/>
  <c r="AP1" i="12"/>
  <c r="AP10" i="12" s="1"/>
  <c r="AO1" i="12"/>
  <c r="AO2" i="12" s="1"/>
  <c r="AN1" i="12"/>
  <c r="AN7" i="12" s="1"/>
  <c r="AM1" i="12"/>
  <c r="AL1" i="12"/>
  <c r="AL11" i="12" s="1"/>
  <c r="AK1" i="12"/>
  <c r="AJ1" i="12"/>
  <c r="AI1" i="12"/>
  <c r="AH1" i="12"/>
  <c r="AH10" i="12" s="1"/>
  <c r="AG1" i="12"/>
  <c r="AF1" i="12"/>
  <c r="AE1" i="12"/>
  <c r="AD1" i="12"/>
  <c r="AD10" i="12" s="1"/>
  <c r="AC1" i="12"/>
  <c r="AB1" i="12"/>
  <c r="AB13" i="12" s="1"/>
  <c r="AA1" i="12"/>
  <c r="AA10" i="12" s="1"/>
  <c r="Z1" i="12"/>
  <c r="Y1" i="12"/>
  <c r="Y2" i="12" s="1"/>
  <c r="X1" i="12"/>
  <c r="X7" i="12" s="1"/>
  <c r="W1" i="12"/>
  <c r="V1" i="12"/>
  <c r="V11" i="12" s="1"/>
  <c r="U1" i="12"/>
  <c r="T1" i="12"/>
  <c r="S1" i="12"/>
  <c r="R1" i="12"/>
  <c r="R10" i="12" s="1"/>
  <c r="Q1" i="12"/>
  <c r="P1" i="12"/>
  <c r="O1" i="12"/>
  <c r="N1" i="12"/>
  <c r="N10" i="12" s="1"/>
  <c r="M1" i="12"/>
  <c r="L1" i="12"/>
  <c r="L13" i="12" s="1"/>
  <c r="K1" i="12"/>
  <c r="J1" i="12"/>
  <c r="J10" i="12" s="1"/>
  <c r="I1" i="12"/>
  <c r="I2" i="12" s="1"/>
  <c r="H1" i="12"/>
  <c r="H7" i="12" s="1"/>
  <c r="G1" i="12"/>
  <c r="F1" i="12"/>
  <c r="F11" i="12" s="1"/>
  <c r="E1" i="12"/>
  <c r="D1" i="12"/>
  <c r="C1" i="12"/>
  <c r="B1" i="12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BG13" i="12" l="1"/>
  <c r="BI14" i="12"/>
  <c r="E11" i="12"/>
  <c r="E14" i="12"/>
  <c r="E2" i="12"/>
  <c r="M14" i="12"/>
  <c r="M10" i="12"/>
  <c r="M6" i="12"/>
  <c r="U11" i="12"/>
  <c r="U2" i="12"/>
  <c r="AC10" i="12"/>
  <c r="AC6" i="12"/>
  <c r="AW10" i="12"/>
  <c r="AW6" i="12"/>
  <c r="BM10" i="12"/>
  <c r="BM6" i="12"/>
  <c r="CC10" i="12"/>
  <c r="CC6" i="12"/>
  <c r="CS10" i="12"/>
  <c r="CS6" i="12"/>
  <c r="CW11" i="12"/>
  <c r="CW2" i="12"/>
  <c r="BM2" i="12"/>
  <c r="CS2" i="12"/>
  <c r="U6" i="12"/>
  <c r="CG6" i="12"/>
  <c r="U10" i="12"/>
  <c r="CG10" i="12"/>
  <c r="CE13" i="12"/>
  <c r="U14" i="12"/>
  <c r="Z10" i="12"/>
  <c r="Z11" i="12"/>
  <c r="M2" i="12"/>
  <c r="AA4" i="12"/>
  <c r="BG4" i="12"/>
  <c r="CM4" i="12"/>
  <c r="Y6" i="12"/>
  <c r="BE6" i="12"/>
  <c r="CK6" i="12"/>
  <c r="AA8" i="12"/>
  <c r="BG8" i="12"/>
  <c r="CM8" i="12"/>
  <c r="Y10" i="12"/>
  <c r="BE10" i="12"/>
  <c r="CK10" i="12"/>
  <c r="J11" i="12"/>
  <c r="BA11" i="12"/>
  <c r="AA13" i="12"/>
  <c r="CM13" i="12"/>
  <c r="AC14" i="12"/>
  <c r="Q10" i="12"/>
  <c r="Q6" i="12"/>
  <c r="AG10" i="12"/>
  <c r="AG6" i="12"/>
  <c r="AK14" i="12"/>
  <c r="AK2" i="12"/>
  <c r="AS14" i="12"/>
  <c r="AS10" i="12"/>
  <c r="AS6" i="12"/>
  <c r="BI10" i="12"/>
  <c r="BI6" i="12"/>
  <c r="BQ14" i="12"/>
  <c r="BQ11" i="12"/>
  <c r="BQ2" i="12"/>
  <c r="BY14" i="12"/>
  <c r="BY11" i="12"/>
  <c r="BY10" i="12"/>
  <c r="BY6" i="12"/>
  <c r="CO10" i="12"/>
  <c r="CO6" i="12"/>
  <c r="AG2" i="12"/>
  <c r="BA6" i="12"/>
  <c r="BA10" i="12"/>
  <c r="AK11" i="12"/>
  <c r="S13" i="12"/>
  <c r="C10" i="12"/>
  <c r="C13" i="12"/>
  <c r="C8" i="12"/>
  <c r="C4" i="12"/>
  <c r="G13" i="12"/>
  <c r="G8" i="12"/>
  <c r="G4" i="12"/>
  <c r="K10" i="12"/>
  <c r="K13" i="12"/>
  <c r="O13" i="12"/>
  <c r="S10" i="12"/>
  <c r="S8" i="12"/>
  <c r="S4" i="12"/>
  <c r="W13" i="12"/>
  <c r="W8" i="12"/>
  <c r="W4" i="12"/>
  <c r="AE13" i="12"/>
  <c r="AI10" i="12"/>
  <c r="AI13" i="12"/>
  <c r="AI8" i="12"/>
  <c r="AI4" i="12"/>
  <c r="Q2" i="12"/>
  <c r="AW2" i="12"/>
  <c r="CC2" i="12"/>
  <c r="AE4" i="12"/>
  <c r="BK4" i="12"/>
  <c r="CQ4" i="12"/>
  <c r="E6" i="12"/>
  <c r="AK6" i="12"/>
  <c r="BQ6" i="12"/>
  <c r="CW6" i="12"/>
  <c r="AE8" i="12"/>
  <c r="BK8" i="12"/>
  <c r="CQ8" i="12"/>
  <c r="E10" i="12"/>
  <c r="AK10" i="12"/>
  <c r="BQ10" i="12"/>
  <c r="CW10" i="12"/>
  <c r="O11" i="12"/>
  <c r="BI11" i="12"/>
  <c r="A13" i="12"/>
  <c r="BA14" i="12"/>
  <c r="AY4" i="12"/>
  <c r="BO4" i="12"/>
  <c r="CE4" i="12"/>
  <c r="CU4" i="12"/>
  <c r="AY8" i="12"/>
  <c r="BO8" i="12"/>
  <c r="CE8" i="12"/>
  <c r="CU8" i="12"/>
  <c r="AP11" i="12"/>
  <c r="BO13" i="12"/>
  <c r="CU13" i="12"/>
  <c r="AM13" i="12"/>
  <c r="AU13" i="12"/>
  <c r="BC13" i="12"/>
  <c r="BK13" i="12"/>
  <c r="BS13" i="12"/>
  <c r="CA13" i="12"/>
  <c r="CI13" i="12"/>
  <c r="CQ13" i="12"/>
  <c r="CY13" i="12"/>
  <c r="AM4" i="12"/>
  <c r="BC4" i="12"/>
  <c r="BS4" i="12"/>
  <c r="CI4" i="12"/>
  <c r="CY4" i="12"/>
  <c r="AT7" i="12"/>
  <c r="AM8" i="12"/>
  <c r="BC8" i="12"/>
  <c r="BS8" i="12"/>
  <c r="CI8" i="12"/>
  <c r="CY8" i="12"/>
  <c r="AU11" i="12"/>
  <c r="AQ13" i="12"/>
  <c r="BW13" i="12"/>
  <c r="DC13" i="12"/>
  <c r="P250" i="12"/>
  <c r="P251" i="12"/>
  <c r="P247" i="12"/>
  <c r="P248" i="12"/>
  <c r="P245" i="12"/>
  <c r="P249" i="12"/>
  <c r="P246" i="12"/>
  <c r="P241" i="12"/>
  <c r="P242" i="12"/>
  <c r="P243" i="12"/>
  <c r="P239" i="12"/>
  <c r="P237" i="12"/>
  <c r="P238" i="12"/>
  <c r="P240" i="12"/>
  <c r="P244" i="12"/>
  <c r="P236" i="12"/>
  <c r="P232" i="12"/>
  <c r="P233" i="12"/>
  <c r="P234" i="12"/>
  <c r="P235" i="12"/>
  <c r="P231" i="12"/>
  <c r="P229" i="12"/>
  <c r="P225" i="12"/>
  <c r="P230" i="12"/>
  <c r="P226" i="12"/>
  <c r="P227" i="12"/>
  <c r="P228" i="12"/>
  <c r="P223" i="12"/>
  <c r="P219" i="12"/>
  <c r="P224" i="12"/>
  <c r="P220" i="12"/>
  <c r="P221" i="12"/>
  <c r="P222" i="12"/>
  <c r="P216" i="12"/>
  <c r="P212" i="12"/>
  <c r="P208" i="12"/>
  <c r="P217" i="12"/>
  <c r="P213" i="12"/>
  <c r="P209" i="12"/>
  <c r="P218" i="12"/>
  <c r="P214" i="12"/>
  <c r="P210" i="12"/>
  <c r="P206" i="12"/>
  <c r="P215" i="12"/>
  <c r="P211" i="12"/>
  <c r="P207" i="12"/>
  <c r="P205" i="12"/>
  <c r="P201" i="12"/>
  <c r="P197" i="12"/>
  <c r="P193" i="12"/>
  <c r="P202" i="12"/>
  <c r="P198" i="12"/>
  <c r="P194" i="12"/>
  <c r="P203" i="12"/>
  <c r="P199" i="12"/>
  <c r="P195" i="12"/>
  <c r="P204" i="12"/>
  <c r="P200" i="12"/>
  <c r="P196" i="12"/>
  <c r="P190" i="12"/>
  <c r="P186" i="12"/>
  <c r="P182" i="12"/>
  <c r="P191" i="12"/>
  <c r="P187" i="12"/>
  <c r="P183" i="12"/>
  <c r="P192" i="12"/>
  <c r="P188" i="12"/>
  <c r="P184" i="12"/>
  <c r="P180" i="12"/>
  <c r="P189" i="12"/>
  <c r="P185" i="12"/>
  <c r="P181" i="12"/>
  <c r="P179" i="12"/>
  <c r="P175" i="12"/>
  <c r="P171" i="12"/>
  <c r="P176" i="12"/>
  <c r="P172" i="12"/>
  <c r="P168" i="12"/>
  <c r="P177" i="12"/>
  <c r="P173" i="12"/>
  <c r="P169" i="12"/>
  <c r="P178" i="12"/>
  <c r="P174" i="12"/>
  <c r="P170" i="12"/>
  <c r="P167" i="12"/>
  <c r="P165" i="12"/>
  <c r="P161" i="12"/>
  <c r="P157" i="12"/>
  <c r="P153" i="12"/>
  <c r="P149" i="12"/>
  <c r="P145" i="12"/>
  <c r="P166" i="12"/>
  <c r="P162" i="12"/>
  <c r="P158" i="12"/>
  <c r="P154" i="12"/>
  <c r="P150" i="12"/>
  <c r="P146" i="12"/>
  <c r="P142" i="12"/>
  <c r="P163" i="12"/>
  <c r="P159" i="12"/>
  <c r="P155" i="12"/>
  <c r="P151" i="12"/>
  <c r="P147" i="12"/>
  <c r="P143" i="12"/>
  <c r="P164" i="12"/>
  <c r="P160" i="12"/>
  <c r="P156" i="12"/>
  <c r="P152" i="12"/>
  <c r="P148" i="12"/>
  <c r="P144" i="12"/>
  <c r="P140" i="12"/>
  <c r="P136" i="12"/>
  <c r="P132" i="12"/>
  <c r="P128" i="12"/>
  <c r="P124" i="12"/>
  <c r="P120" i="12"/>
  <c r="P141" i="12"/>
  <c r="P137" i="12"/>
  <c r="P133" i="12"/>
  <c r="P129" i="12"/>
  <c r="P125" i="12"/>
  <c r="P121" i="12"/>
  <c r="P138" i="12"/>
  <c r="P134" i="12"/>
  <c r="P130" i="12"/>
  <c r="P126" i="12"/>
  <c r="P122" i="12"/>
  <c r="P118" i="12"/>
  <c r="P139" i="12"/>
  <c r="P135" i="12"/>
  <c r="P131" i="12"/>
  <c r="P127" i="12"/>
  <c r="P123" i="12"/>
  <c r="P119" i="12"/>
  <c r="P113" i="12"/>
  <c r="P109" i="12"/>
  <c r="P105" i="12"/>
  <c r="P101" i="12"/>
  <c r="P97" i="12"/>
  <c r="P117" i="12"/>
  <c r="P114" i="12"/>
  <c r="P110" i="12"/>
  <c r="P106" i="12"/>
  <c r="P102" i="12"/>
  <c r="P98" i="12"/>
  <c r="P94" i="12"/>
  <c r="P115" i="12"/>
  <c r="P111" i="12"/>
  <c r="P107" i="12"/>
  <c r="P103" i="12"/>
  <c r="P99" i="12"/>
  <c r="P95" i="12"/>
  <c r="P91" i="12"/>
  <c r="P116" i="12"/>
  <c r="P112" i="12"/>
  <c r="P108" i="12"/>
  <c r="P104" i="12"/>
  <c r="P100" i="12"/>
  <c r="P96" i="12"/>
  <c r="P92" i="12"/>
  <c r="P88" i="12"/>
  <c r="P90" i="12"/>
  <c r="P84" i="12"/>
  <c r="P80" i="12"/>
  <c r="P76" i="12"/>
  <c r="P72" i="12"/>
  <c r="P68" i="12"/>
  <c r="P64" i="12"/>
  <c r="P85" i="12"/>
  <c r="P81" i="12"/>
  <c r="P77" i="12"/>
  <c r="P73" i="12"/>
  <c r="P69" i="12"/>
  <c r="P65" i="12"/>
  <c r="P61" i="12"/>
  <c r="P93" i="12"/>
  <c r="P89" i="12"/>
  <c r="P86" i="12"/>
  <c r="P82" i="12"/>
  <c r="P78" i="12"/>
  <c r="P74" i="12"/>
  <c r="P70" i="12"/>
  <c r="P66" i="12"/>
  <c r="P87" i="12"/>
  <c r="P83" i="12"/>
  <c r="P79" i="12"/>
  <c r="P75" i="12"/>
  <c r="P71" i="12"/>
  <c r="P67" i="12"/>
  <c r="P63" i="12"/>
  <c r="P57" i="12"/>
  <c r="P53" i="12"/>
  <c r="P49" i="12"/>
  <c r="P45" i="12"/>
  <c r="P41" i="12"/>
  <c r="P37" i="12"/>
  <c r="P33" i="12"/>
  <c r="P29" i="12"/>
  <c r="P25" i="12"/>
  <c r="P21" i="12"/>
  <c r="P17" i="12"/>
  <c r="P58" i="12"/>
  <c r="P54" i="12"/>
  <c r="P50" i="12"/>
  <c r="P46" i="12"/>
  <c r="P42" i="12"/>
  <c r="P38" i="12"/>
  <c r="P34" i="12"/>
  <c r="P30" i="12"/>
  <c r="P26" i="12"/>
  <c r="P22" i="12"/>
  <c r="P18" i="12"/>
  <c r="P59" i="12"/>
  <c r="P55" i="12"/>
  <c r="P51" i="12"/>
  <c r="P47" i="12"/>
  <c r="P43" i="12"/>
  <c r="P39" i="12"/>
  <c r="P35" i="12"/>
  <c r="P31" i="12"/>
  <c r="P27" i="12"/>
  <c r="P23" i="12"/>
  <c r="P19" i="12"/>
  <c r="P15" i="12"/>
  <c r="P11" i="12"/>
  <c r="P62" i="12"/>
  <c r="P60" i="12"/>
  <c r="P56" i="12"/>
  <c r="P52" i="12"/>
  <c r="P48" i="12"/>
  <c r="P44" i="12"/>
  <c r="P40" i="12"/>
  <c r="P36" i="12"/>
  <c r="P32" i="12"/>
  <c r="P28" i="12"/>
  <c r="P24" i="12"/>
  <c r="P20" i="12"/>
  <c r="P16" i="12"/>
  <c r="P12" i="12"/>
  <c r="AF250" i="12"/>
  <c r="AF251" i="12"/>
  <c r="AF247" i="12"/>
  <c r="AF248" i="12"/>
  <c r="AF246" i="12"/>
  <c r="AF245" i="12"/>
  <c r="AF241" i="12"/>
  <c r="AF242" i="12"/>
  <c r="AF243" i="12"/>
  <c r="AF239" i="12"/>
  <c r="AF237" i="12"/>
  <c r="AF238" i="12"/>
  <c r="AF240" i="12"/>
  <c r="AF249" i="12"/>
  <c r="AF244" i="12"/>
  <c r="AF236" i="12"/>
  <c r="AF232" i="12"/>
  <c r="AF233" i="12"/>
  <c r="AF234" i="12"/>
  <c r="AF235" i="12"/>
  <c r="AF231" i="12"/>
  <c r="AF229" i="12"/>
  <c r="AF225" i="12"/>
  <c r="AF230" i="12"/>
  <c r="AF226" i="12"/>
  <c r="AF227" i="12"/>
  <c r="AF228" i="12"/>
  <c r="AF223" i="12"/>
  <c r="AF219" i="12"/>
  <c r="AF224" i="12"/>
  <c r="AF220" i="12"/>
  <c r="AF221" i="12"/>
  <c r="AF222" i="12"/>
  <c r="AF218" i="12"/>
  <c r="AF216" i="12"/>
  <c r="AF212" i="12"/>
  <c r="AF208" i="12"/>
  <c r="AF217" i="12"/>
  <c r="AF213" i="12"/>
  <c r="AF209" i="12"/>
  <c r="AF214" i="12"/>
  <c r="AF210" i="12"/>
  <c r="AF206" i="12"/>
  <c r="AF215" i="12"/>
  <c r="AF211" i="12"/>
  <c r="AF207" i="12"/>
  <c r="AF205" i="12"/>
  <c r="AF201" i="12"/>
  <c r="AF197" i="12"/>
  <c r="AF193" i="12"/>
  <c r="AF202" i="12"/>
  <c r="AF198" i="12"/>
  <c r="AF194" i="12"/>
  <c r="AF203" i="12"/>
  <c r="AF199" i="12"/>
  <c r="AF195" i="12"/>
  <c r="AF204" i="12"/>
  <c r="AF200" i="12"/>
  <c r="AF196" i="12"/>
  <c r="AF190" i="12"/>
  <c r="AF186" i="12"/>
  <c r="AF182" i="12"/>
  <c r="AF191" i="12"/>
  <c r="AF187" i="12"/>
  <c r="AF183" i="12"/>
  <c r="AF192" i="12"/>
  <c r="AF188" i="12"/>
  <c r="AF184" i="12"/>
  <c r="AF180" i="12"/>
  <c r="AF189" i="12"/>
  <c r="AF185" i="12"/>
  <c r="AF181" i="12"/>
  <c r="AF179" i="12"/>
  <c r="AF175" i="12"/>
  <c r="AF171" i="12"/>
  <c r="AF167" i="12"/>
  <c r="AF176" i="12"/>
  <c r="AF172" i="12"/>
  <c r="AF168" i="12"/>
  <c r="AF177" i="12"/>
  <c r="AF173" i="12"/>
  <c r="AF169" i="12"/>
  <c r="AF178" i="12"/>
  <c r="AF174" i="12"/>
  <c r="AF170" i="12"/>
  <c r="AF165" i="12"/>
  <c r="AF161" i="12"/>
  <c r="AF157" i="12"/>
  <c r="AF153" i="12"/>
  <c r="AF149" i="12"/>
  <c r="AF145" i="12"/>
  <c r="AF166" i="12"/>
  <c r="AF162" i="12"/>
  <c r="AF158" i="12"/>
  <c r="AF154" i="12"/>
  <c r="AF150" i="12"/>
  <c r="AF146" i="12"/>
  <c r="AF142" i="12"/>
  <c r="AF163" i="12"/>
  <c r="AF159" i="12"/>
  <c r="AF155" i="12"/>
  <c r="AF151" i="12"/>
  <c r="AF147" i="12"/>
  <c r="AF143" i="12"/>
  <c r="AF164" i="12"/>
  <c r="AF160" i="12"/>
  <c r="AF156" i="12"/>
  <c r="AF152" i="12"/>
  <c r="AF148" i="12"/>
  <c r="AF144" i="12"/>
  <c r="AF140" i="12"/>
  <c r="AF136" i="12"/>
  <c r="AF132" i="12"/>
  <c r="AF128" i="12"/>
  <c r="AF124" i="12"/>
  <c r="AF120" i="12"/>
  <c r="AF141" i="12"/>
  <c r="AF137" i="12"/>
  <c r="AF133" i="12"/>
  <c r="AF129" i="12"/>
  <c r="AF125" i="12"/>
  <c r="AF121" i="12"/>
  <c r="AF138" i="12"/>
  <c r="AF134" i="12"/>
  <c r="AF130" i="12"/>
  <c r="AF126" i="12"/>
  <c r="AF122" i="12"/>
  <c r="AF118" i="12"/>
  <c r="AF139" i="12"/>
  <c r="AF135" i="12"/>
  <c r="AF131" i="12"/>
  <c r="AF127" i="12"/>
  <c r="AF123" i="12"/>
  <c r="AF119" i="12"/>
  <c r="AF113" i="12"/>
  <c r="AF109" i="12"/>
  <c r="AF105" i="12"/>
  <c r="AF101" i="12"/>
  <c r="AF97" i="12"/>
  <c r="AF117" i="12"/>
  <c r="AF114" i="12"/>
  <c r="AF110" i="12"/>
  <c r="AF106" i="12"/>
  <c r="AF102" i="12"/>
  <c r="AF98" i="12"/>
  <c r="AF94" i="12"/>
  <c r="AF115" i="12"/>
  <c r="AF111" i="12"/>
  <c r="AF107" i="12"/>
  <c r="AF103" i="12"/>
  <c r="AF99" i="12"/>
  <c r="AF95" i="12"/>
  <c r="AF91" i="12"/>
  <c r="AF116" i="12"/>
  <c r="AF112" i="12"/>
  <c r="AF108" i="12"/>
  <c r="AF104" i="12"/>
  <c r="AF100" i="12"/>
  <c r="AF96" i="12"/>
  <c r="AF92" i="12"/>
  <c r="AF88" i="12"/>
  <c r="AF90" i="12"/>
  <c r="AF84" i="12"/>
  <c r="AF80" i="12"/>
  <c r="AF76" i="12"/>
  <c r="AF72" i="12"/>
  <c r="AF68" i="12"/>
  <c r="AF64" i="12"/>
  <c r="AF85" i="12"/>
  <c r="AF81" i="12"/>
  <c r="AF77" i="12"/>
  <c r="AF73" i="12"/>
  <c r="AF69" i="12"/>
  <c r="AF65" i="12"/>
  <c r="AF61" i="12"/>
  <c r="AF93" i="12"/>
  <c r="AF89" i="12"/>
  <c r="AF86" i="12"/>
  <c r="AF82" i="12"/>
  <c r="AF78" i="12"/>
  <c r="AF74" i="12"/>
  <c r="AF70" i="12"/>
  <c r="AF66" i="12"/>
  <c r="AF87" i="12"/>
  <c r="AF83" i="12"/>
  <c r="AF79" i="12"/>
  <c r="AF75" i="12"/>
  <c r="AF71" i="12"/>
  <c r="AF67" i="12"/>
  <c r="AF63" i="12"/>
  <c r="AF57" i="12"/>
  <c r="AF53" i="12"/>
  <c r="AF49" i="12"/>
  <c r="AF45" i="12"/>
  <c r="AF41" i="12"/>
  <c r="AF37" i="12"/>
  <c r="AF33" i="12"/>
  <c r="AF29" i="12"/>
  <c r="AF25" i="12"/>
  <c r="AF21" i="12"/>
  <c r="AF17" i="12"/>
  <c r="AF58" i="12"/>
  <c r="AF54" i="12"/>
  <c r="AF50" i="12"/>
  <c r="AF46" i="12"/>
  <c r="AF42" i="12"/>
  <c r="AF38" i="12"/>
  <c r="AF34" i="12"/>
  <c r="AF30" i="12"/>
  <c r="AF26" i="12"/>
  <c r="AF22" i="12"/>
  <c r="AF18" i="12"/>
  <c r="AF59" i="12"/>
  <c r="AF55" i="12"/>
  <c r="AF51" i="12"/>
  <c r="AF47" i="12"/>
  <c r="AF43" i="12"/>
  <c r="AF39" i="12"/>
  <c r="AF35" i="12"/>
  <c r="AF31" i="12"/>
  <c r="AF27" i="12"/>
  <c r="AF23" i="12"/>
  <c r="AF19" i="12"/>
  <c r="AF15" i="12"/>
  <c r="AF11" i="12"/>
  <c r="AF62" i="12"/>
  <c r="AF60" i="12"/>
  <c r="AF56" i="12"/>
  <c r="AF52" i="12"/>
  <c r="AF48" i="12"/>
  <c r="AF44" i="12"/>
  <c r="AF40" i="12"/>
  <c r="AF36" i="12"/>
  <c r="AF32" i="12"/>
  <c r="AF28" i="12"/>
  <c r="AF24" i="12"/>
  <c r="AF20" i="12"/>
  <c r="AF16" i="12"/>
  <c r="AF12" i="12"/>
  <c r="AV250" i="12"/>
  <c r="AV251" i="12"/>
  <c r="AV247" i="12"/>
  <c r="AV248" i="12"/>
  <c r="AV246" i="12"/>
  <c r="AV245" i="12"/>
  <c r="AV249" i="12"/>
  <c r="AV241" i="12"/>
  <c r="AV242" i="12"/>
  <c r="AV244" i="12"/>
  <c r="AV243" i="12"/>
  <c r="AV239" i="12"/>
  <c r="AV237" i="12"/>
  <c r="AV238" i="12"/>
  <c r="AV240" i="12"/>
  <c r="AV236" i="12"/>
  <c r="AV232" i="12"/>
  <c r="AV233" i="12"/>
  <c r="AV234" i="12"/>
  <c r="AV235" i="12"/>
  <c r="AV231" i="12"/>
  <c r="AV229" i="12"/>
  <c r="AV225" i="12"/>
  <c r="AV230" i="12"/>
  <c r="AV226" i="12"/>
  <c r="AV227" i="12"/>
  <c r="AV228" i="12"/>
  <c r="AV223" i="12"/>
  <c r="AV219" i="12"/>
  <c r="AV224" i="12"/>
  <c r="AV220" i="12"/>
  <c r="AV221" i="12"/>
  <c r="AV222" i="12"/>
  <c r="AV218" i="12"/>
  <c r="AV216" i="12"/>
  <c r="AV212" i="12"/>
  <c r="AV208" i="12"/>
  <c r="AV217" i="12"/>
  <c r="AV213" i="12"/>
  <c r="AV209" i="12"/>
  <c r="AV214" i="12"/>
  <c r="AV210" i="12"/>
  <c r="AV206" i="12"/>
  <c r="AV215" i="12"/>
  <c r="AV211" i="12"/>
  <c r="AV207" i="12"/>
  <c r="AV205" i="12"/>
  <c r="AV201" i="12"/>
  <c r="AV197" i="12"/>
  <c r="AV193" i="12"/>
  <c r="AV202" i="12"/>
  <c r="AV198" i="12"/>
  <c r="AV194" i="12"/>
  <c r="AV203" i="12"/>
  <c r="AV199" i="12"/>
  <c r="AV195" i="12"/>
  <c r="AV204" i="12"/>
  <c r="AV200" i="12"/>
  <c r="AV196" i="12"/>
  <c r="AV190" i="12"/>
  <c r="AV186" i="12"/>
  <c r="AV182" i="12"/>
  <c r="AV191" i="12"/>
  <c r="AV187" i="12"/>
  <c r="AV183" i="12"/>
  <c r="AV192" i="12"/>
  <c r="AV188" i="12"/>
  <c r="AV184" i="12"/>
  <c r="AV180" i="12"/>
  <c r="AV189" i="12"/>
  <c r="AV185" i="12"/>
  <c r="AV181" i="12"/>
  <c r="AV179" i="12"/>
  <c r="AV175" i="12"/>
  <c r="AV171" i="12"/>
  <c r="AV167" i="12"/>
  <c r="AV176" i="12"/>
  <c r="AV172" i="12"/>
  <c r="AV168" i="12"/>
  <c r="AV177" i="12"/>
  <c r="AV173" i="12"/>
  <c r="AV169" i="12"/>
  <c r="AV178" i="12"/>
  <c r="AV174" i="12"/>
  <c r="AV170" i="12"/>
  <c r="AV165" i="12"/>
  <c r="AV161" i="12"/>
  <c r="AV157" i="12"/>
  <c r="AV153" i="12"/>
  <c r="AV149" i="12"/>
  <c r="AV145" i="12"/>
  <c r="AV166" i="12"/>
  <c r="AV162" i="12"/>
  <c r="AV158" i="12"/>
  <c r="AV154" i="12"/>
  <c r="AV150" i="12"/>
  <c r="AV146" i="12"/>
  <c r="AV142" i="12"/>
  <c r="AV163" i="12"/>
  <c r="AV159" i="12"/>
  <c r="AV155" i="12"/>
  <c r="AV151" i="12"/>
  <c r="AV147" i="12"/>
  <c r="AV143" i="12"/>
  <c r="AV164" i="12"/>
  <c r="AV160" i="12"/>
  <c r="AV156" i="12"/>
  <c r="AV152" i="12"/>
  <c r="AV148" i="12"/>
  <c r="AV144" i="12"/>
  <c r="AV140" i="12"/>
  <c r="AV136" i="12"/>
  <c r="AV132" i="12"/>
  <c r="AV128" i="12"/>
  <c r="AV124" i="12"/>
  <c r="AV120" i="12"/>
  <c r="AV141" i="12"/>
  <c r="AV137" i="12"/>
  <c r="AV133" i="12"/>
  <c r="AV129" i="12"/>
  <c r="AV125" i="12"/>
  <c r="AV121" i="12"/>
  <c r="AV138" i="12"/>
  <c r="AV134" i="12"/>
  <c r="AV130" i="12"/>
  <c r="AV126" i="12"/>
  <c r="AV122" i="12"/>
  <c r="AV118" i="12"/>
  <c r="AV139" i="12"/>
  <c r="AV135" i="12"/>
  <c r="AV131" i="12"/>
  <c r="AV127" i="12"/>
  <c r="AV123" i="12"/>
  <c r="AV119" i="12"/>
  <c r="AV113" i="12"/>
  <c r="AV109" i="12"/>
  <c r="AV105" i="12"/>
  <c r="AV101" i="12"/>
  <c r="AV97" i="12"/>
  <c r="AV117" i="12"/>
  <c r="AV114" i="12"/>
  <c r="AV110" i="12"/>
  <c r="AV106" i="12"/>
  <c r="AV102" i="12"/>
  <c r="AV98" i="12"/>
  <c r="AV94" i="12"/>
  <c r="AV115" i="12"/>
  <c r="AV111" i="12"/>
  <c r="AV107" i="12"/>
  <c r="AV103" i="12"/>
  <c r="AV99" i="12"/>
  <c r="AV95" i="12"/>
  <c r="AV91" i="12"/>
  <c r="AV116" i="12"/>
  <c r="AV112" i="12"/>
  <c r="AV108" i="12"/>
  <c r="AV104" i="12"/>
  <c r="AV100" i="12"/>
  <c r="AV96" i="12"/>
  <c r="AV92" i="12"/>
  <c r="AV88" i="12"/>
  <c r="AV90" i="12"/>
  <c r="AV84" i="12"/>
  <c r="AV80" i="12"/>
  <c r="AV76" i="12"/>
  <c r="AV72" i="12"/>
  <c r="AV68" i="12"/>
  <c r="AV64" i="12"/>
  <c r="AV85" i="12"/>
  <c r="AV81" i="12"/>
  <c r="AV77" i="12"/>
  <c r="AV73" i="12"/>
  <c r="AV69" i="12"/>
  <c r="AV65" i="12"/>
  <c r="AV61" i="12"/>
  <c r="AV93" i="12"/>
  <c r="AV89" i="12"/>
  <c r="AV86" i="12"/>
  <c r="AV82" i="12"/>
  <c r="AV78" i="12"/>
  <c r="AV74" i="12"/>
  <c r="AV70" i="12"/>
  <c r="AV66" i="12"/>
  <c r="AV87" i="12"/>
  <c r="AV83" i="12"/>
  <c r="AV79" i="12"/>
  <c r="AV75" i="12"/>
  <c r="AV71" i="12"/>
  <c r="AV67" i="12"/>
  <c r="AV63" i="12"/>
  <c r="AV57" i="12"/>
  <c r="AV53" i="12"/>
  <c r="AV49" i="12"/>
  <c r="AV45" i="12"/>
  <c r="AV41" i="12"/>
  <c r="AV37" i="12"/>
  <c r="AV33" i="12"/>
  <c r="AV29" i="12"/>
  <c r="AV25" i="12"/>
  <c r="AV21" i="12"/>
  <c r="AV17" i="12"/>
  <c r="AV58" i="12"/>
  <c r="AV54" i="12"/>
  <c r="AV50" i="12"/>
  <c r="AV46" i="12"/>
  <c r="AV42" i="12"/>
  <c r="AV38" i="12"/>
  <c r="AV34" i="12"/>
  <c r="AV30" i="12"/>
  <c r="AV26" i="12"/>
  <c r="AV22" i="12"/>
  <c r="AV18" i="12"/>
  <c r="AV59" i="12"/>
  <c r="AV55" i="12"/>
  <c r="AV51" i="12"/>
  <c r="AV47" i="12"/>
  <c r="AV43" i="12"/>
  <c r="AV39" i="12"/>
  <c r="AV35" i="12"/>
  <c r="AV31" i="12"/>
  <c r="AV27" i="12"/>
  <c r="AV23" i="12"/>
  <c r="AV19" i="12"/>
  <c r="AV15" i="12"/>
  <c r="AV11" i="12"/>
  <c r="AV62" i="12"/>
  <c r="AV60" i="12"/>
  <c r="AV56" i="12"/>
  <c r="AV52" i="12"/>
  <c r="AV48" i="12"/>
  <c r="AV44" i="12"/>
  <c r="AV40" i="12"/>
  <c r="AV36" i="12"/>
  <c r="AV32" i="12"/>
  <c r="AV28" i="12"/>
  <c r="AV24" i="12"/>
  <c r="AV20" i="12"/>
  <c r="AV16" i="12"/>
  <c r="AV12" i="12"/>
  <c r="BL250" i="12"/>
  <c r="BL251" i="12"/>
  <c r="BL247" i="12"/>
  <c r="BL248" i="12"/>
  <c r="BL246" i="12"/>
  <c r="BL245" i="12"/>
  <c r="BL241" i="12"/>
  <c r="BL242" i="12"/>
  <c r="BL249" i="12"/>
  <c r="BL244" i="12"/>
  <c r="BL243" i="12"/>
  <c r="BL239" i="12"/>
  <c r="BL237" i="12"/>
  <c r="BL238" i="12"/>
  <c r="BL240" i="12"/>
  <c r="BL236" i="12"/>
  <c r="BL232" i="12"/>
  <c r="BL233" i="12"/>
  <c r="BL234" i="12"/>
  <c r="BL235" i="12"/>
  <c r="BL231" i="12"/>
  <c r="BL229" i="12"/>
  <c r="BL225" i="12"/>
  <c r="BL230" i="12"/>
  <c r="BL226" i="12"/>
  <c r="BL227" i="12"/>
  <c r="BL228" i="12"/>
  <c r="BL223" i="12"/>
  <c r="BL219" i="12"/>
  <c r="BL224" i="12"/>
  <c r="BL220" i="12"/>
  <c r="BL221" i="12"/>
  <c r="BL222" i="12"/>
  <c r="BL218" i="12"/>
  <c r="BL216" i="12"/>
  <c r="BL212" i="12"/>
  <c r="BL208" i="12"/>
  <c r="BL217" i="12"/>
  <c r="BL213" i="12"/>
  <c r="BL209" i="12"/>
  <c r="BL214" i="12"/>
  <c r="BL210" i="12"/>
  <c r="BL206" i="12"/>
  <c r="BL215" i="12"/>
  <c r="BL211" i="12"/>
  <c r="BL207" i="12"/>
  <c r="BL201" i="12"/>
  <c r="BL197" i="12"/>
  <c r="BL193" i="12"/>
  <c r="BL202" i="12"/>
  <c r="BL198" i="12"/>
  <c r="BL194" i="12"/>
  <c r="BL205" i="12"/>
  <c r="BL203" i="12"/>
  <c r="BL199" i="12"/>
  <c r="BL195" i="12"/>
  <c r="BL204" i="12"/>
  <c r="BL200" i="12"/>
  <c r="BL196" i="12"/>
  <c r="BL190" i="12"/>
  <c r="BL186" i="12"/>
  <c r="BL182" i="12"/>
  <c r="BL191" i="12"/>
  <c r="BL187" i="12"/>
  <c r="BL183" i="12"/>
  <c r="BL192" i="12"/>
  <c r="BL188" i="12"/>
  <c r="BL184" i="12"/>
  <c r="BL180" i="12"/>
  <c r="BL189" i="12"/>
  <c r="BL185" i="12"/>
  <c r="BL181" i="12"/>
  <c r="BL179" i="12"/>
  <c r="BL175" i="12"/>
  <c r="BL171" i="12"/>
  <c r="BL167" i="12"/>
  <c r="BL176" i="12"/>
  <c r="BL172" i="12"/>
  <c r="BL168" i="12"/>
  <c r="BL177" i="12"/>
  <c r="BL173" i="12"/>
  <c r="BL169" i="12"/>
  <c r="BL178" i="12"/>
  <c r="BL174" i="12"/>
  <c r="BL170" i="12"/>
  <c r="BL165" i="12"/>
  <c r="BL161" i="12"/>
  <c r="BL157" i="12"/>
  <c r="BL153" i="12"/>
  <c r="BL149" i="12"/>
  <c r="BL145" i="12"/>
  <c r="BL166" i="12"/>
  <c r="BL162" i="12"/>
  <c r="BL158" i="12"/>
  <c r="BL154" i="12"/>
  <c r="BL150" i="12"/>
  <c r="BL146" i="12"/>
  <c r="BL142" i="12"/>
  <c r="BL163" i="12"/>
  <c r="BL159" i="12"/>
  <c r="BL155" i="12"/>
  <c r="BL151" i="12"/>
  <c r="BL147" i="12"/>
  <c r="BL143" i="12"/>
  <c r="BL164" i="12"/>
  <c r="BL160" i="12"/>
  <c r="BL156" i="12"/>
  <c r="BL152" i="12"/>
  <c r="BL148" i="12"/>
  <c r="BL144" i="12"/>
  <c r="BL140" i="12"/>
  <c r="BL136" i="12"/>
  <c r="BL132" i="12"/>
  <c r="BL128" i="12"/>
  <c r="BL124" i="12"/>
  <c r="BL120" i="12"/>
  <c r="BL141" i="12"/>
  <c r="BL137" i="12"/>
  <c r="BL133" i="12"/>
  <c r="BL129" i="12"/>
  <c r="BL125" i="12"/>
  <c r="BL121" i="12"/>
  <c r="BL138" i="12"/>
  <c r="BL134" i="12"/>
  <c r="BL130" i="12"/>
  <c r="BL126" i="12"/>
  <c r="BL122" i="12"/>
  <c r="BL118" i="12"/>
  <c r="BL139" i="12"/>
  <c r="BL135" i="12"/>
  <c r="BL131" i="12"/>
  <c r="BL127" i="12"/>
  <c r="BL123" i="12"/>
  <c r="BL119" i="12"/>
  <c r="BL113" i="12"/>
  <c r="BL109" i="12"/>
  <c r="BL105" i="12"/>
  <c r="BL101" i="12"/>
  <c r="BL97" i="12"/>
  <c r="BL93" i="12"/>
  <c r="BL117" i="12"/>
  <c r="BL114" i="12"/>
  <c r="BL110" i="12"/>
  <c r="BL106" i="12"/>
  <c r="BL102" i="12"/>
  <c r="BL98" i="12"/>
  <c r="BL94" i="12"/>
  <c r="BL115" i="12"/>
  <c r="BL111" i="12"/>
  <c r="BL107" i="12"/>
  <c r="BL103" i="12"/>
  <c r="BL99" i="12"/>
  <c r="BL95" i="12"/>
  <c r="BL91" i="12"/>
  <c r="BL87" i="12"/>
  <c r="BL116" i="12"/>
  <c r="BL112" i="12"/>
  <c r="BL108" i="12"/>
  <c r="BL104" i="12"/>
  <c r="BL100" i="12"/>
  <c r="BL96" i="12"/>
  <c r="BL92" i="12"/>
  <c r="BL88" i="12"/>
  <c r="BL90" i="12"/>
  <c r="BL84" i="12"/>
  <c r="BL80" i="12"/>
  <c r="BL76" i="12"/>
  <c r="BL72" i="12"/>
  <c r="BL68" i="12"/>
  <c r="BL64" i="12"/>
  <c r="BL85" i="12"/>
  <c r="BL81" i="12"/>
  <c r="BL77" i="12"/>
  <c r="BL73" i="12"/>
  <c r="BL69" i="12"/>
  <c r="BL65" i="12"/>
  <c r="BL61" i="12"/>
  <c r="BL89" i="12"/>
  <c r="BL86" i="12"/>
  <c r="BL82" i="12"/>
  <c r="BL78" i="12"/>
  <c r="BL74" i="12"/>
  <c r="BL70" i="12"/>
  <c r="BL66" i="12"/>
  <c r="BL83" i="12"/>
  <c r="BL79" i="12"/>
  <c r="BL75" i="12"/>
  <c r="BL71" i="12"/>
  <c r="BL67" i="12"/>
  <c r="BL63" i="12"/>
  <c r="BL57" i="12"/>
  <c r="BL53" i="12"/>
  <c r="BL49" i="12"/>
  <c r="BL45" i="12"/>
  <c r="BL41" i="12"/>
  <c r="BL37" i="12"/>
  <c r="BL33" i="12"/>
  <c r="BL29" i="12"/>
  <c r="BL25" i="12"/>
  <c r="BL21" i="12"/>
  <c r="BL17" i="12"/>
  <c r="BL58" i="12"/>
  <c r="BL54" i="12"/>
  <c r="BL50" i="12"/>
  <c r="BL46" i="12"/>
  <c r="BL42" i="12"/>
  <c r="BL38" i="12"/>
  <c r="BL34" i="12"/>
  <c r="BL30" i="12"/>
  <c r="BL26" i="12"/>
  <c r="BL22" i="12"/>
  <c r="BL18" i="12"/>
  <c r="BL59" i="12"/>
  <c r="BL55" i="12"/>
  <c r="BL51" i="12"/>
  <c r="BL47" i="12"/>
  <c r="BL43" i="12"/>
  <c r="BL39" i="12"/>
  <c r="BL35" i="12"/>
  <c r="BL31" i="12"/>
  <c r="BL27" i="12"/>
  <c r="BL23" i="12"/>
  <c r="BL19" i="12"/>
  <c r="BL15" i="12"/>
  <c r="BL11" i="12"/>
  <c r="BL62" i="12"/>
  <c r="BL60" i="12"/>
  <c r="BL56" i="12"/>
  <c r="BL52" i="12"/>
  <c r="BL48" i="12"/>
  <c r="BL44" i="12"/>
  <c r="BL40" i="12"/>
  <c r="BL36" i="12"/>
  <c r="BL32" i="12"/>
  <c r="BL28" i="12"/>
  <c r="BL24" i="12"/>
  <c r="BL20" i="12"/>
  <c r="BL16" i="12"/>
  <c r="BL12" i="12"/>
  <c r="CB250" i="12"/>
  <c r="CB251" i="12"/>
  <c r="CB247" i="12"/>
  <c r="CB248" i="12"/>
  <c r="CB246" i="12"/>
  <c r="CB245" i="12"/>
  <c r="CB249" i="12"/>
  <c r="CB241" i="12"/>
  <c r="CB242" i="12"/>
  <c r="CB244" i="12"/>
  <c r="CB243" i="12"/>
  <c r="CB239" i="12"/>
  <c r="CB237" i="12"/>
  <c r="CB238" i="12"/>
  <c r="CB240" i="12"/>
  <c r="CB236" i="12"/>
  <c r="CB232" i="12"/>
  <c r="CB233" i="12"/>
  <c r="CB234" i="12"/>
  <c r="CB235" i="12"/>
  <c r="CB231" i="12"/>
  <c r="CB229" i="12"/>
  <c r="CB225" i="12"/>
  <c r="CB230" i="12"/>
  <c r="CB226" i="12"/>
  <c r="CB227" i="12"/>
  <c r="CB228" i="12"/>
  <c r="CB224" i="12"/>
  <c r="CB223" i="12"/>
  <c r="CB219" i="12"/>
  <c r="CB220" i="12"/>
  <c r="CB221" i="12"/>
  <c r="CB222" i="12"/>
  <c r="CB218" i="12"/>
  <c r="CB216" i="12"/>
  <c r="CB212" i="12"/>
  <c r="CB208" i="12"/>
  <c r="CB217" i="12"/>
  <c r="CB213" i="12"/>
  <c r="CB209" i="12"/>
  <c r="CB214" i="12"/>
  <c r="CB210" i="12"/>
  <c r="CB206" i="12"/>
  <c r="CB215" i="12"/>
  <c r="CB211" i="12"/>
  <c r="CB207" i="12"/>
  <c r="CB201" i="12"/>
  <c r="CB197" i="12"/>
  <c r="CB193" i="12"/>
  <c r="CB202" i="12"/>
  <c r="CB198" i="12"/>
  <c r="CB194" i="12"/>
  <c r="CB205" i="12"/>
  <c r="CB203" i="12"/>
  <c r="CB199" i="12"/>
  <c r="CB195" i="12"/>
  <c r="CB204" i="12"/>
  <c r="CB200" i="12"/>
  <c r="CB196" i="12"/>
  <c r="CB190" i="12"/>
  <c r="CB186" i="12"/>
  <c r="CB182" i="12"/>
  <c r="CB191" i="12"/>
  <c r="CB187" i="12"/>
  <c r="CB183" i="12"/>
  <c r="CB192" i="12"/>
  <c r="CB188" i="12"/>
  <c r="CB184" i="12"/>
  <c r="CB180" i="12"/>
  <c r="CB189" i="12"/>
  <c r="CB185" i="12"/>
  <c r="CB181" i="12"/>
  <c r="CB179" i="12"/>
  <c r="CB175" i="12"/>
  <c r="CB171" i="12"/>
  <c r="CB167" i="12"/>
  <c r="CB176" i="12"/>
  <c r="CB172" i="12"/>
  <c r="CB168" i="12"/>
  <c r="CB177" i="12"/>
  <c r="CB173" i="12"/>
  <c r="CB169" i="12"/>
  <c r="CB178" i="12"/>
  <c r="CB174" i="12"/>
  <c r="CB170" i="12"/>
  <c r="CB165" i="12"/>
  <c r="CB161" i="12"/>
  <c r="CB157" i="12"/>
  <c r="CB153" i="12"/>
  <c r="CB149" i="12"/>
  <c r="CB145" i="12"/>
  <c r="CB141" i="12"/>
  <c r="CB166" i="12"/>
  <c r="CB162" i="12"/>
  <c r="CB158" i="12"/>
  <c r="CB154" i="12"/>
  <c r="CB150" i="12"/>
  <c r="CB146" i="12"/>
  <c r="CB142" i="12"/>
  <c r="CB163" i="12"/>
  <c r="CB159" i="12"/>
  <c r="CB155" i="12"/>
  <c r="CB151" i="12"/>
  <c r="CB147" i="12"/>
  <c r="CB143" i="12"/>
  <c r="CB164" i="12"/>
  <c r="CB160" i="12"/>
  <c r="CB156" i="12"/>
  <c r="CB152" i="12"/>
  <c r="CB148" i="12"/>
  <c r="CB144" i="12"/>
  <c r="CB140" i="12"/>
  <c r="CB136" i="12"/>
  <c r="CB132" i="12"/>
  <c r="CB128" i="12"/>
  <c r="CB124" i="12"/>
  <c r="CB120" i="12"/>
  <c r="CB137" i="12"/>
  <c r="CB133" i="12"/>
  <c r="CB129" i="12"/>
  <c r="CB125" i="12"/>
  <c r="CB121" i="12"/>
  <c r="CB138" i="12"/>
  <c r="CB134" i="12"/>
  <c r="CB130" i="12"/>
  <c r="CB126" i="12"/>
  <c r="CB122" i="12"/>
  <c r="CB118" i="12"/>
  <c r="CB139" i="12"/>
  <c r="CB135" i="12"/>
  <c r="CB131" i="12"/>
  <c r="CB127" i="12"/>
  <c r="CB123" i="12"/>
  <c r="CB119" i="12"/>
  <c r="CB113" i="12"/>
  <c r="CB109" i="12"/>
  <c r="CB105" i="12"/>
  <c r="CB101" i="12"/>
  <c r="CB97" i="12"/>
  <c r="CB93" i="12"/>
  <c r="CB117" i="12"/>
  <c r="CB114" i="12"/>
  <c r="CB110" i="12"/>
  <c r="CB106" i="12"/>
  <c r="CB102" i="12"/>
  <c r="CB98" i="12"/>
  <c r="CB94" i="12"/>
  <c r="CB115" i="12"/>
  <c r="CB111" i="12"/>
  <c r="CB107" i="12"/>
  <c r="CB103" i="12"/>
  <c r="CB99" i="12"/>
  <c r="CB95" i="12"/>
  <c r="CB91" i="12"/>
  <c r="CB87" i="12"/>
  <c r="CB116" i="12"/>
  <c r="CB112" i="12"/>
  <c r="CB108" i="12"/>
  <c r="CB104" i="12"/>
  <c r="CB100" i="12"/>
  <c r="CB96" i="12"/>
  <c r="CB92" i="12"/>
  <c r="CB88" i="12"/>
  <c r="CB90" i="12"/>
  <c r="CB84" i="12"/>
  <c r="CB80" i="12"/>
  <c r="CB76" i="12"/>
  <c r="CB72" i="12"/>
  <c r="CB68" i="12"/>
  <c r="CB64" i="12"/>
  <c r="CB85" i="12"/>
  <c r="CB81" i="12"/>
  <c r="CB77" i="12"/>
  <c r="CB73" i="12"/>
  <c r="CB69" i="12"/>
  <c r="CB65" i="12"/>
  <c r="CB61" i="12"/>
  <c r="CB89" i="12"/>
  <c r="CB86" i="12"/>
  <c r="CB82" i="12"/>
  <c r="CB78" i="12"/>
  <c r="CB74" i="12"/>
  <c r="CB70" i="12"/>
  <c r="CB66" i="12"/>
  <c r="CB83" i="12"/>
  <c r="CB79" i="12"/>
  <c r="CB75" i="12"/>
  <c r="CB71" i="12"/>
  <c r="CB67" i="12"/>
  <c r="CB63" i="12"/>
  <c r="CB57" i="12"/>
  <c r="CB53" i="12"/>
  <c r="CB49" i="12"/>
  <c r="CB45" i="12"/>
  <c r="CB41" i="12"/>
  <c r="CB37" i="12"/>
  <c r="CB33" i="12"/>
  <c r="CB29" i="12"/>
  <c r="CB25" i="12"/>
  <c r="CB21" i="12"/>
  <c r="CB17" i="12"/>
  <c r="CB58" i="12"/>
  <c r="CB54" i="12"/>
  <c r="CB50" i="12"/>
  <c r="CB46" i="12"/>
  <c r="CB42" i="12"/>
  <c r="CB38" i="12"/>
  <c r="CB34" i="12"/>
  <c r="CB30" i="12"/>
  <c r="CB26" i="12"/>
  <c r="CB22" i="12"/>
  <c r="CB18" i="12"/>
  <c r="CB59" i="12"/>
  <c r="CB55" i="12"/>
  <c r="CB51" i="12"/>
  <c r="CB47" i="12"/>
  <c r="CB43" i="12"/>
  <c r="CB39" i="12"/>
  <c r="CB35" i="12"/>
  <c r="CB31" i="12"/>
  <c r="CB27" i="12"/>
  <c r="CB23" i="12"/>
  <c r="CB19" i="12"/>
  <c r="CB15" i="12"/>
  <c r="CB11" i="12"/>
  <c r="CB62" i="12"/>
  <c r="CB60" i="12"/>
  <c r="CB56" i="12"/>
  <c r="CB52" i="12"/>
  <c r="CB48" i="12"/>
  <c r="CB44" i="12"/>
  <c r="CB40" i="12"/>
  <c r="CB36" i="12"/>
  <c r="CB32" i="12"/>
  <c r="CB28" i="12"/>
  <c r="CB24" i="12"/>
  <c r="CB20" i="12"/>
  <c r="CB16" i="12"/>
  <c r="CB12" i="12"/>
  <c r="V3" i="12"/>
  <c r="AT3" i="12"/>
  <c r="BN3" i="12"/>
  <c r="CH3" i="12"/>
  <c r="CX3" i="12"/>
  <c r="L5" i="12"/>
  <c r="X5" i="12"/>
  <c r="AR5" i="12"/>
  <c r="BL5" i="12"/>
  <c r="BT5" i="12"/>
  <c r="CB5" i="12"/>
  <c r="CJ5" i="12"/>
  <c r="CR5" i="12"/>
  <c r="J7" i="12"/>
  <c r="R7" i="12"/>
  <c r="Z7" i="12"/>
  <c r="AH7" i="12"/>
  <c r="AP7" i="12"/>
  <c r="BB7" i="12"/>
  <c r="BN7" i="12"/>
  <c r="BV7" i="12"/>
  <c r="CD7" i="12"/>
  <c r="CL7" i="12"/>
  <c r="CT7" i="12"/>
  <c r="DB7" i="12"/>
  <c r="H9" i="12"/>
  <c r="P9" i="12"/>
  <c r="X9" i="12"/>
  <c r="AF9" i="12"/>
  <c r="AN9" i="12"/>
  <c r="AV9" i="12"/>
  <c r="BD9" i="12"/>
  <c r="BL9" i="12"/>
  <c r="CB9" i="12"/>
  <c r="CN9" i="12"/>
  <c r="J12" i="12"/>
  <c r="R12" i="12"/>
  <c r="Z12" i="12"/>
  <c r="AH12" i="12"/>
  <c r="AP12" i="12"/>
  <c r="AX12" i="12"/>
  <c r="BF12" i="12"/>
  <c r="BN12" i="12"/>
  <c r="BV12" i="12"/>
  <c r="CD12" i="12"/>
  <c r="CL12" i="12"/>
  <c r="CT12" i="12"/>
  <c r="DB12" i="12"/>
  <c r="CZ14" i="12"/>
  <c r="D250" i="12"/>
  <c r="D251" i="12"/>
  <c r="D249" i="12"/>
  <c r="D247" i="12"/>
  <c r="D248" i="12"/>
  <c r="D245" i="12"/>
  <c r="D246" i="12"/>
  <c r="D241" i="12"/>
  <c r="D242" i="12"/>
  <c r="D243" i="12"/>
  <c r="D237" i="12"/>
  <c r="D238" i="12"/>
  <c r="D244" i="12"/>
  <c r="D240" i="12"/>
  <c r="D239" i="12"/>
  <c r="D236" i="12"/>
  <c r="D232" i="12"/>
  <c r="D233" i="12"/>
  <c r="D234" i="12"/>
  <c r="D235" i="12"/>
  <c r="D229" i="12"/>
  <c r="D225" i="12"/>
  <c r="D230" i="12"/>
  <c r="D226" i="12"/>
  <c r="D231" i="12"/>
  <c r="D227" i="12"/>
  <c r="D228" i="12"/>
  <c r="D223" i="12"/>
  <c r="D219" i="12"/>
  <c r="D224" i="12"/>
  <c r="D220" i="12"/>
  <c r="D221" i="12"/>
  <c r="D222" i="12"/>
  <c r="D216" i="12"/>
  <c r="D212" i="12"/>
  <c r="D208" i="12"/>
  <c r="D217" i="12"/>
  <c r="D213" i="12"/>
  <c r="D209" i="12"/>
  <c r="D218" i="12"/>
  <c r="D214" i="12"/>
  <c r="D210" i="12"/>
  <c r="D206" i="12"/>
  <c r="D215" i="12"/>
  <c r="D211" i="12"/>
  <c r="D207" i="12"/>
  <c r="D205" i="12"/>
  <c r="D201" i="12"/>
  <c r="D197" i="12"/>
  <c r="D193" i="12"/>
  <c r="D202" i="12"/>
  <c r="D198" i="12"/>
  <c r="D194" i="12"/>
  <c r="D203" i="12"/>
  <c r="D199" i="12"/>
  <c r="D195" i="12"/>
  <c r="D204" i="12"/>
  <c r="D200" i="12"/>
  <c r="D196" i="12"/>
  <c r="D190" i="12"/>
  <c r="D186" i="12"/>
  <c r="D182" i="12"/>
  <c r="D191" i="12"/>
  <c r="D187" i="12"/>
  <c r="D183" i="12"/>
  <c r="D192" i="12"/>
  <c r="D188" i="12"/>
  <c r="D184" i="12"/>
  <c r="D189" i="12"/>
  <c r="D185" i="12"/>
  <c r="D181" i="12"/>
  <c r="D179" i="12"/>
  <c r="D175" i="12"/>
  <c r="D171" i="12"/>
  <c r="D176" i="12"/>
  <c r="D172" i="12"/>
  <c r="D168" i="12"/>
  <c r="D177" i="12"/>
  <c r="D173" i="12"/>
  <c r="D169" i="12"/>
  <c r="D180" i="12"/>
  <c r="D178" i="12"/>
  <c r="D174" i="12"/>
  <c r="D170" i="12"/>
  <c r="D165" i="12"/>
  <c r="D161" i="12"/>
  <c r="D157" i="12"/>
  <c r="D153" i="12"/>
  <c r="D149" i="12"/>
  <c r="D145" i="12"/>
  <c r="D166" i="12"/>
  <c r="D162" i="12"/>
  <c r="D158" i="12"/>
  <c r="D154" i="12"/>
  <c r="D150" i="12"/>
  <c r="D146" i="12"/>
  <c r="D142" i="12"/>
  <c r="D167" i="12"/>
  <c r="D163" i="12"/>
  <c r="D159" i="12"/>
  <c r="D155" i="12"/>
  <c r="D151" i="12"/>
  <c r="D147" i="12"/>
  <c r="D143" i="12"/>
  <c r="D164" i="12"/>
  <c r="D160" i="12"/>
  <c r="D156" i="12"/>
  <c r="D152" i="12"/>
  <c r="D148" i="12"/>
  <c r="D144" i="12"/>
  <c r="D140" i="12"/>
  <c r="D136" i="12"/>
  <c r="D132" i="12"/>
  <c r="D128" i="12"/>
  <c r="D124" i="12"/>
  <c r="D120" i="12"/>
  <c r="D141" i="12"/>
  <c r="D137" i="12"/>
  <c r="D133" i="12"/>
  <c r="D129" i="12"/>
  <c r="D125" i="12"/>
  <c r="D121" i="12"/>
  <c r="D138" i="12"/>
  <c r="D134" i="12"/>
  <c r="D130" i="12"/>
  <c r="D126" i="12"/>
  <c r="D122" i="12"/>
  <c r="D118" i="12"/>
  <c r="D139" i="12"/>
  <c r="D135" i="12"/>
  <c r="D131" i="12"/>
  <c r="D127" i="12"/>
  <c r="D123" i="12"/>
  <c r="D119" i="12"/>
  <c r="D113" i="12"/>
  <c r="D109" i="12"/>
  <c r="D105" i="12"/>
  <c r="D101" i="12"/>
  <c r="D97" i="12"/>
  <c r="D116" i="12"/>
  <c r="D114" i="12"/>
  <c r="D110" i="12"/>
  <c r="D106" i="12"/>
  <c r="D102" i="12"/>
  <c r="D98" i="12"/>
  <c r="D94" i="12"/>
  <c r="D115" i="12"/>
  <c r="D111" i="12"/>
  <c r="D107" i="12"/>
  <c r="D103" i="12"/>
  <c r="D99" i="12"/>
  <c r="D95" i="12"/>
  <c r="D91" i="12"/>
  <c r="D117" i="12"/>
  <c r="D112" i="12"/>
  <c r="D108" i="12"/>
  <c r="D104" i="12"/>
  <c r="D100" i="12"/>
  <c r="D96" i="12"/>
  <c r="D92" i="12"/>
  <c r="D88" i="12"/>
  <c r="D89" i="12"/>
  <c r="D84" i="12"/>
  <c r="D80" i="12"/>
  <c r="D76" i="12"/>
  <c r="D72" i="12"/>
  <c r="D68" i="12"/>
  <c r="D93" i="12"/>
  <c r="D85" i="12"/>
  <c r="D81" i="12"/>
  <c r="D77" i="12"/>
  <c r="D73" i="12"/>
  <c r="D69" i="12"/>
  <c r="D65" i="12"/>
  <c r="D61" i="12"/>
  <c r="D90" i="12"/>
  <c r="D86" i="12"/>
  <c r="D82" i="12"/>
  <c r="D78" i="12"/>
  <c r="D74" i="12"/>
  <c r="D70" i="12"/>
  <c r="D66" i="12"/>
  <c r="D87" i="12"/>
  <c r="D83" i="12"/>
  <c r="D79" i="12"/>
  <c r="D75" i="12"/>
  <c r="D71" i="12"/>
  <c r="D67" i="12"/>
  <c r="D63" i="12"/>
  <c r="D57" i="12"/>
  <c r="D53" i="12"/>
  <c r="D49" i="12"/>
  <c r="D45" i="12"/>
  <c r="D41" i="12"/>
  <c r="D37" i="12"/>
  <c r="D33" i="12"/>
  <c r="D29" i="12"/>
  <c r="D25" i="12"/>
  <c r="D21" i="12"/>
  <c r="D17" i="12"/>
  <c r="D64" i="12"/>
  <c r="D62" i="12"/>
  <c r="D58" i="12"/>
  <c r="D54" i="12"/>
  <c r="D50" i="12"/>
  <c r="D46" i="12"/>
  <c r="D42" i="12"/>
  <c r="D38" i="12"/>
  <c r="D34" i="12"/>
  <c r="D30" i="12"/>
  <c r="D26" i="12"/>
  <c r="D22" i="12"/>
  <c r="D18" i="12"/>
  <c r="D59" i="12"/>
  <c r="D55" i="12"/>
  <c r="D51" i="12"/>
  <c r="D47" i="12"/>
  <c r="D43" i="12"/>
  <c r="D39" i="12"/>
  <c r="D35" i="12"/>
  <c r="D31" i="12"/>
  <c r="D27" i="12"/>
  <c r="D23" i="12"/>
  <c r="D19" i="12"/>
  <c r="D15" i="12"/>
  <c r="D11" i="12"/>
  <c r="D60" i="12"/>
  <c r="D56" i="12"/>
  <c r="D52" i="12"/>
  <c r="D48" i="12"/>
  <c r="D44" i="12"/>
  <c r="D40" i="12"/>
  <c r="D36" i="12"/>
  <c r="D32" i="12"/>
  <c r="D28" i="12"/>
  <c r="D24" i="12"/>
  <c r="D20" i="12"/>
  <c r="D16" i="12"/>
  <c r="D12" i="12"/>
  <c r="T250" i="12"/>
  <c r="T251" i="12"/>
  <c r="T249" i="12"/>
  <c r="T247" i="12"/>
  <c r="T248" i="12"/>
  <c r="T245" i="12"/>
  <c r="T246" i="12"/>
  <c r="T241" i="12"/>
  <c r="T242" i="12"/>
  <c r="T243" i="12"/>
  <c r="T239" i="12"/>
  <c r="T237" i="12"/>
  <c r="T240" i="12"/>
  <c r="T238" i="12"/>
  <c r="T244" i="12"/>
  <c r="T236" i="12"/>
  <c r="T232" i="12"/>
  <c r="T233" i="12"/>
  <c r="T234" i="12"/>
  <c r="T235" i="12"/>
  <c r="T231" i="12"/>
  <c r="T229" i="12"/>
  <c r="T225" i="12"/>
  <c r="T230" i="12"/>
  <c r="T226" i="12"/>
  <c r="T227" i="12"/>
  <c r="T228" i="12"/>
  <c r="T223" i="12"/>
  <c r="T219" i="12"/>
  <c r="T224" i="12"/>
  <c r="T220" i="12"/>
  <c r="T221" i="12"/>
  <c r="T222" i="12"/>
  <c r="T216" i="12"/>
  <c r="T212" i="12"/>
  <c r="T208" i="12"/>
  <c r="T217" i="12"/>
  <c r="T213" i="12"/>
  <c r="T209" i="12"/>
  <c r="T218" i="12"/>
  <c r="T214" i="12"/>
  <c r="T210" i="12"/>
  <c r="T206" i="12"/>
  <c r="T215" i="12"/>
  <c r="T211" i="12"/>
  <c r="T207" i="12"/>
  <c r="T205" i="12"/>
  <c r="T201" i="12"/>
  <c r="T197" i="12"/>
  <c r="T193" i="12"/>
  <c r="T202" i="12"/>
  <c r="T198" i="12"/>
  <c r="T194" i="12"/>
  <c r="T203" i="12"/>
  <c r="T199" i="12"/>
  <c r="T195" i="12"/>
  <c r="T204" i="12"/>
  <c r="T200" i="12"/>
  <c r="T196" i="12"/>
  <c r="T190" i="12"/>
  <c r="T186" i="12"/>
  <c r="T182" i="12"/>
  <c r="T191" i="12"/>
  <c r="T187" i="12"/>
  <c r="T183" i="12"/>
  <c r="T192" i="12"/>
  <c r="T188" i="12"/>
  <c r="T184" i="12"/>
  <c r="T180" i="12"/>
  <c r="T189" i="12"/>
  <c r="T185" i="12"/>
  <c r="T181" i="12"/>
  <c r="T179" i="12"/>
  <c r="T175" i="12"/>
  <c r="T171" i="12"/>
  <c r="T176" i="12"/>
  <c r="T172" i="12"/>
  <c r="T168" i="12"/>
  <c r="T177" i="12"/>
  <c r="T173" i="12"/>
  <c r="T169" i="12"/>
  <c r="T178" i="12"/>
  <c r="T174" i="12"/>
  <c r="T170" i="12"/>
  <c r="T165" i="12"/>
  <c r="T161" i="12"/>
  <c r="T157" i="12"/>
  <c r="T153" i="12"/>
  <c r="T149" i="12"/>
  <c r="T145" i="12"/>
  <c r="T166" i="12"/>
  <c r="T162" i="12"/>
  <c r="T158" i="12"/>
  <c r="T154" i="12"/>
  <c r="T150" i="12"/>
  <c r="T146" i="12"/>
  <c r="T142" i="12"/>
  <c r="T167" i="12"/>
  <c r="T163" i="12"/>
  <c r="T159" i="12"/>
  <c r="T155" i="12"/>
  <c r="T151" i="12"/>
  <c r="T147" i="12"/>
  <c r="T143" i="12"/>
  <c r="T164" i="12"/>
  <c r="T160" i="12"/>
  <c r="T156" i="12"/>
  <c r="T152" i="12"/>
  <c r="T148" i="12"/>
  <c r="T144" i="12"/>
  <c r="T140" i="12"/>
  <c r="T136" i="12"/>
  <c r="T132" i="12"/>
  <c r="T128" i="12"/>
  <c r="T124" i="12"/>
  <c r="T120" i="12"/>
  <c r="T141" i="12"/>
  <c r="T137" i="12"/>
  <c r="T133" i="12"/>
  <c r="T129" i="12"/>
  <c r="T125" i="12"/>
  <c r="T121" i="12"/>
  <c r="T138" i="12"/>
  <c r="T134" i="12"/>
  <c r="T130" i="12"/>
  <c r="T126" i="12"/>
  <c r="T122" i="12"/>
  <c r="T118" i="12"/>
  <c r="T139" i="12"/>
  <c r="T135" i="12"/>
  <c r="T131" i="12"/>
  <c r="T127" i="12"/>
  <c r="T123" i="12"/>
  <c r="T119" i="12"/>
  <c r="T113" i="12"/>
  <c r="T109" i="12"/>
  <c r="T105" i="12"/>
  <c r="T101" i="12"/>
  <c r="T97" i="12"/>
  <c r="T116" i="12"/>
  <c r="T114" i="12"/>
  <c r="T110" i="12"/>
  <c r="T106" i="12"/>
  <c r="T102" i="12"/>
  <c r="T98" i="12"/>
  <c r="T94" i="12"/>
  <c r="T115" i="12"/>
  <c r="T111" i="12"/>
  <c r="T107" i="12"/>
  <c r="T103" i="12"/>
  <c r="T99" i="12"/>
  <c r="T95" i="12"/>
  <c r="T91" i="12"/>
  <c r="T117" i="12"/>
  <c r="T112" i="12"/>
  <c r="T108" i="12"/>
  <c r="T104" i="12"/>
  <c r="T100" i="12"/>
  <c r="T96" i="12"/>
  <c r="T92" i="12"/>
  <c r="T88" i="12"/>
  <c r="T89" i="12"/>
  <c r="T84" i="12"/>
  <c r="T80" i="12"/>
  <c r="T76" i="12"/>
  <c r="T72" i="12"/>
  <c r="T68" i="12"/>
  <c r="T64" i="12"/>
  <c r="T93" i="12"/>
  <c r="T85" i="12"/>
  <c r="T81" i="12"/>
  <c r="T77" i="12"/>
  <c r="T73" i="12"/>
  <c r="T69" i="12"/>
  <c r="T65" i="12"/>
  <c r="T61" i="12"/>
  <c r="T90" i="12"/>
  <c r="T86" i="12"/>
  <c r="T82" i="12"/>
  <c r="T78" i="12"/>
  <c r="T74" i="12"/>
  <c r="T70" i="12"/>
  <c r="T66" i="12"/>
  <c r="T87" i="12"/>
  <c r="T83" i="12"/>
  <c r="T79" i="12"/>
  <c r="T75" i="12"/>
  <c r="T71" i="12"/>
  <c r="T67" i="12"/>
  <c r="T63" i="12"/>
  <c r="T57" i="12"/>
  <c r="T53" i="12"/>
  <c r="T49" i="12"/>
  <c r="T45" i="12"/>
  <c r="T41" i="12"/>
  <c r="T37" i="12"/>
  <c r="T33" i="12"/>
  <c r="T29" i="12"/>
  <c r="T25" i="12"/>
  <c r="T21" i="12"/>
  <c r="T17" i="12"/>
  <c r="T62" i="12"/>
  <c r="T58" i="12"/>
  <c r="T54" i="12"/>
  <c r="T50" i="12"/>
  <c r="T46" i="12"/>
  <c r="T42" i="12"/>
  <c r="T38" i="12"/>
  <c r="T34" i="12"/>
  <c r="T30" i="12"/>
  <c r="T26" i="12"/>
  <c r="T22" i="12"/>
  <c r="T18" i="12"/>
  <c r="T59" i="12"/>
  <c r="T55" i="12"/>
  <c r="T51" i="12"/>
  <c r="T47" i="12"/>
  <c r="T43" i="12"/>
  <c r="T39" i="12"/>
  <c r="T35" i="12"/>
  <c r="T31" i="12"/>
  <c r="T27" i="12"/>
  <c r="T23" i="12"/>
  <c r="T19" i="12"/>
  <c r="T15" i="12"/>
  <c r="T11" i="12"/>
  <c r="T60" i="12"/>
  <c r="T56" i="12"/>
  <c r="T52" i="12"/>
  <c r="T48" i="12"/>
  <c r="T44" i="12"/>
  <c r="T40" i="12"/>
  <c r="T36" i="12"/>
  <c r="T32" i="12"/>
  <c r="T28" i="12"/>
  <c r="T24" i="12"/>
  <c r="T20" i="12"/>
  <c r="T16" i="12"/>
  <c r="T12" i="12"/>
  <c r="AJ250" i="12"/>
  <c r="AJ251" i="12"/>
  <c r="AJ249" i="12"/>
  <c r="AJ247" i="12"/>
  <c r="AJ248" i="12"/>
  <c r="AJ245" i="12"/>
  <c r="AJ246" i="12"/>
  <c r="AJ244" i="12"/>
  <c r="AJ241" i="12"/>
  <c r="AJ242" i="12"/>
  <c r="AJ243" i="12"/>
  <c r="AJ239" i="12"/>
  <c r="AJ237" i="12"/>
  <c r="AJ240" i="12"/>
  <c r="AJ238" i="12"/>
  <c r="AJ236" i="12"/>
  <c r="AJ232" i="12"/>
  <c r="AJ233" i="12"/>
  <c r="AJ234" i="12"/>
  <c r="AJ235" i="12"/>
  <c r="AJ231" i="12"/>
  <c r="AJ229" i="12"/>
  <c r="AJ225" i="12"/>
  <c r="AJ230" i="12"/>
  <c r="AJ226" i="12"/>
  <c r="AJ227" i="12"/>
  <c r="AJ228" i="12"/>
  <c r="AJ223" i="12"/>
  <c r="AJ219" i="12"/>
  <c r="AJ224" i="12"/>
  <c r="AJ220" i="12"/>
  <c r="AJ221" i="12"/>
  <c r="AJ222" i="12"/>
  <c r="AJ218" i="12"/>
  <c r="AJ216" i="12"/>
  <c r="AJ212" i="12"/>
  <c r="AJ208" i="12"/>
  <c r="AJ217" i="12"/>
  <c r="AJ213" i="12"/>
  <c r="AJ209" i="12"/>
  <c r="AJ214" i="12"/>
  <c r="AJ210" i="12"/>
  <c r="AJ206" i="12"/>
  <c r="AJ215" i="12"/>
  <c r="AJ211" i="12"/>
  <c r="AJ207" i="12"/>
  <c r="AJ205" i="12"/>
  <c r="AJ201" i="12"/>
  <c r="AJ197" i="12"/>
  <c r="AJ193" i="12"/>
  <c r="AJ202" i="12"/>
  <c r="AJ198" i="12"/>
  <c r="AJ194" i="12"/>
  <c r="AJ203" i="12"/>
  <c r="AJ199" i="12"/>
  <c r="AJ195" i="12"/>
  <c r="AJ204" i="12"/>
  <c r="AJ200" i="12"/>
  <c r="AJ196" i="12"/>
  <c r="AJ190" i="12"/>
  <c r="AJ186" i="12"/>
  <c r="AJ182" i="12"/>
  <c r="AJ191" i="12"/>
  <c r="AJ187" i="12"/>
  <c r="AJ183" i="12"/>
  <c r="AJ192" i="12"/>
  <c r="AJ188" i="12"/>
  <c r="AJ184" i="12"/>
  <c r="AJ180" i="12"/>
  <c r="AJ189" i="12"/>
  <c r="AJ185" i="12"/>
  <c r="AJ181" i="12"/>
  <c r="AJ179" i="12"/>
  <c r="AJ175" i="12"/>
  <c r="AJ171" i="12"/>
  <c r="AJ167" i="12"/>
  <c r="AJ176" i="12"/>
  <c r="AJ172" i="12"/>
  <c r="AJ168" i="12"/>
  <c r="AJ177" i="12"/>
  <c r="AJ173" i="12"/>
  <c r="AJ169" i="12"/>
  <c r="AJ178" i="12"/>
  <c r="AJ174" i="12"/>
  <c r="AJ170" i="12"/>
  <c r="AJ165" i="12"/>
  <c r="AJ161" i="12"/>
  <c r="AJ157" i="12"/>
  <c r="AJ153" i="12"/>
  <c r="AJ149" i="12"/>
  <c r="AJ145" i="12"/>
  <c r="AJ166" i="12"/>
  <c r="AJ162" i="12"/>
  <c r="AJ158" i="12"/>
  <c r="AJ154" i="12"/>
  <c r="AJ150" i="12"/>
  <c r="AJ146" i="12"/>
  <c r="AJ142" i="12"/>
  <c r="AJ163" i="12"/>
  <c r="AJ159" i="12"/>
  <c r="AJ155" i="12"/>
  <c r="AJ151" i="12"/>
  <c r="AJ147" i="12"/>
  <c r="AJ143" i="12"/>
  <c r="AJ164" i="12"/>
  <c r="AJ160" i="12"/>
  <c r="AJ156" i="12"/>
  <c r="AJ152" i="12"/>
  <c r="AJ148" i="12"/>
  <c r="AJ144" i="12"/>
  <c r="AJ140" i="12"/>
  <c r="AJ136" i="12"/>
  <c r="AJ132" i="12"/>
  <c r="AJ128" i="12"/>
  <c r="AJ124" i="12"/>
  <c r="AJ120" i="12"/>
  <c r="AJ141" i="12"/>
  <c r="AJ137" i="12"/>
  <c r="AJ133" i="12"/>
  <c r="AJ129" i="12"/>
  <c r="AJ125" i="12"/>
  <c r="AJ121" i="12"/>
  <c r="AJ138" i="12"/>
  <c r="AJ134" i="12"/>
  <c r="AJ130" i="12"/>
  <c r="AJ126" i="12"/>
  <c r="AJ122" i="12"/>
  <c r="AJ118" i="12"/>
  <c r="AJ139" i="12"/>
  <c r="AJ135" i="12"/>
  <c r="AJ131" i="12"/>
  <c r="AJ127" i="12"/>
  <c r="AJ123" i="12"/>
  <c r="AJ119" i="12"/>
  <c r="AJ113" i="12"/>
  <c r="AJ109" i="12"/>
  <c r="AJ105" i="12"/>
  <c r="AJ101" i="12"/>
  <c r="AJ97" i="12"/>
  <c r="AJ116" i="12"/>
  <c r="AJ114" i="12"/>
  <c r="AJ110" i="12"/>
  <c r="AJ106" i="12"/>
  <c r="AJ102" i="12"/>
  <c r="AJ98" i="12"/>
  <c r="AJ94" i="12"/>
  <c r="AJ115" i="12"/>
  <c r="AJ111" i="12"/>
  <c r="AJ107" i="12"/>
  <c r="AJ103" i="12"/>
  <c r="AJ99" i="12"/>
  <c r="AJ95" i="12"/>
  <c r="AJ91" i="12"/>
  <c r="AJ117" i="12"/>
  <c r="AJ112" i="12"/>
  <c r="AJ108" i="12"/>
  <c r="AJ104" i="12"/>
  <c r="AJ100" i="12"/>
  <c r="AJ96" i="12"/>
  <c r="AJ92" i="12"/>
  <c r="AJ88" i="12"/>
  <c r="AJ89" i="12"/>
  <c r="AJ84" i="12"/>
  <c r="AJ80" i="12"/>
  <c r="AJ76" i="12"/>
  <c r="AJ72" i="12"/>
  <c r="AJ68" i="12"/>
  <c r="AJ64" i="12"/>
  <c r="AJ93" i="12"/>
  <c r="AJ85" i="12"/>
  <c r="AJ81" i="12"/>
  <c r="AJ77" i="12"/>
  <c r="AJ73" i="12"/>
  <c r="AJ69" i="12"/>
  <c r="AJ65" i="12"/>
  <c r="AJ61" i="12"/>
  <c r="AJ90" i="12"/>
  <c r="AJ86" i="12"/>
  <c r="AJ82" i="12"/>
  <c r="AJ78" i="12"/>
  <c r="AJ74" i="12"/>
  <c r="AJ70" i="12"/>
  <c r="AJ66" i="12"/>
  <c r="AJ87" i="12"/>
  <c r="AJ83" i="12"/>
  <c r="AJ79" i="12"/>
  <c r="AJ75" i="12"/>
  <c r="AJ71" i="12"/>
  <c r="AJ67" i="12"/>
  <c r="AJ63" i="12"/>
  <c r="AJ57" i="12"/>
  <c r="AJ53" i="12"/>
  <c r="AJ49" i="12"/>
  <c r="AJ45" i="12"/>
  <c r="AJ41" i="12"/>
  <c r="AJ37" i="12"/>
  <c r="AJ33" i="12"/>
  <c r="AJ29" i="12"/>
  <c r="AJ25" i="12"/>
  <c r="AJ21" i="12"/>
  <c r="AJ17" i="12"/>
  <c r="AJ62" i="12"/>
  <c r="AJ58" i="12"/>
  <c r="AJ54" i="12"/>
  <c r="AJ50" i="12"/>
  <c r="AJ46" i="12"/>
  <c r="AJ42" i="12"/>
  <c r="AJ38" i="12"/>
  <c r="AJ34" i="12"/>
  <c r="AJ30" i="12"/>
  <c r="AJ26" i="12"/>
  <c r="AJ22" i="12"/>
  <c r="AJ18" i="12"/>
  <c r="AJ59" i="12"/>
  <c r="AJ55" i="12"/>
  <c r="AJ51" i="12"/>
  <c r="AJ47" i="12"/>
  <c r="AJ43" i="12"/>
  <c r="AJ39" i="12"/>
  <c r="AJ35" i="12"/>
  <c r="AJ31" i="12"/>
  <c r="AJ27" i="12"/>
  <c r="AJ23" i="12"/>
  <c r="AJ19" i="12"/>
  <c r="AJ15" i="12"/>
  <c r="AJ11" i="12"/>
  <c r="AJ60" i="12"/>
  <c r="AJ56" i="12"/>
  <c r="AJ52" i="12"/>
  <c r="AJ48" i="12"/>
  <c r="AJ44" i="12"/>
  <c r="AJ40" i="12"/>
  <c r="AJ36" i="12"/>
  <c r="AJ32" i="12"/>
  <c r="AJ28" i="12"/>
  <c r="AJ24" i="12"/>
  <c r="AJ20" i="12"/>
  <c r="AJ16" i="12"/>
  <c r="AJ12" i="12"/>
  <c r="AZ250" i="12"/>
  <c r="AZ251" i="12"/>
  <c r="AZ249" i="12"/>
  <c r="AZ247" i="12"/>
  <c r="AZ248" i="12"/>
  <c r="AZ245" i="12"/>
  <c r="AZ246" i="12"/>
  <c r="AZ244" i="12"/>
  <c r="AZ241" i="12"/>
  <c r="AZ242" i="12"/>
  <c r="AZ243" i="12"/>
  <c r="AZ239" i="12"/>
  <c r="AZ237" i="12"/>
  <c r="AZ240" i="12"/>
  <c r="AZ238" i="12"/>
  <c r="AZ236" i="12"/>
  <c r="AZ232" i="12"/>
  <c r="AZ233" i="12"/>
  <c r="AZ234" i="12"/>
  <c r="AZ235" i="12"/>
  <c r="AZ231" i="12"/>
  <c r="AZ229" i="12"/>
  <c r="AZ225" i="12"/>
  <c r="AZ230" i="12"/>
  <c r="AZ226" i="12"/>
  <c r="AZ227" i="12"/>
  <c r="AZ228" i="12"/>
  <c r="AZ223" i="12"/>
  <c r="AZ219" i="12"/>
  <c r="AZ224" i="12"/>
  <c r="AZ220" i="12"/>
  <c r="AZ221" i="12"/>
  <c r="AZ222" i="12"/>
  <c r="AZ218" i="12"/>
  <c r="AZ216" i="12"/>
  <c r="AZ212" i="12"/>
  <c r="AZ208" i="12"/>
  <c r="AZ217" i="12"/>
  <c r="AZ213" i="12"/>
  <c r="AZ209" i="12"/>
  <c r="AZ214" i="12"/>
  <c r="AZ210" i="12"/>
  <c r="AZ206" i="12"/>
  <c r="AZ215" i="12"/>
  <c r="AZ211" i="12"/>
  <c r="AZ207" i="12"/>
  <c r="AZ205" i="12"/>
  <c r="AZ201" i="12"/>
  <c r="AZ197" i="12"/>
  <c r="AZ193" i="12"/>
  <c r="AZ202" i="12"/>
  <c r="AZ198" i="12"/>
  <c r="AZ194" i="12"/>
  <c r="AZ203" i="12"/>
  <c r="AZ199" i="12"/>
  <c r="AZ195" i="12"/>
  <c r="AZ204" i="12"/>
  <c r="AZ200" i="12"/>
  <c r="AZ196" i="12"/>
  <c r="AZ190" i="12"/>
  <c r="AZ186" i="12"/>
  <c r="AZ182" i="12"/>
  <c r="AZ191" i="12"/>
  <c r="AZ187" i="12"/>
  <c r="AZ183" i="12"/>
  <c r="AZ192" i="12"/>
  <c r="AZ188" i="12"/>
  <c r="AZ184" i="12"/>
  <c r="AZ180" i="12"/>
  <c r="AZ189" i="12"/>
  <c r="AZ185" i="12"/>
  <c r="AZ181" i="12"/>
  <c r="AZ179" i="12"/>
  <c r="AZ175" i="12"/>
  <c r="AZ171" i="12"/>
  <c r="AZ167" i="12"/>
  <c r="AZ176" i="12"/>
  <c r="AZ172" i="12"/>
  <c r="AZ168" i="12"/>
  <c r="AZ177" i="12"/>
  <c r="AZ173" i="12"/>
  <c r="AZ169" i="12"/>
  <c r="AZ178" i="12"/>
  <c r="AZ174" i="12"/>
  <c r="AZ170" i="12"/>
  <c r="AZ165" i="12"/>
  <c r="AZ161" i="12"/>
  <c r="AZ157" i="12"/>
  <c r="AZ153" i="12"/>
  <c r="AZ149" i="12"/>
  <c r="AZ145" i="12"/>
  <c r="AZ166" i="12"/>
  <c r="AZ162" i="12"/>
  <c r="AZ158" i="12"/>
  <c r="AZ154" i="12"/>
  <c r="AZ150" i="12"/>
  <c r="AZ146" i="12"/>
  <c r="AZ142" i="12"/>
  <c r="AZ163" i="12"/>
  <c r="AZ159" i="12"/>
  <c r="AZ155" i="12"/>
  <c r="AZ151" i="12"/>
  <c r="AZ147" i="12"/>
  <c r="AZ143" i="12"/>
  <c r="AZ164" i="12"/>
  <c r="AZ160" i="12"/>
  <c r="AZ156" i="12"/>
  <c r="AZ152" i="12"/>
  <c r="AZ148" i="12"/>
  <c r="AZ144" i="12"/>
  <c r="AZ140" i="12"/>
  <c r="AZ136" i="12"/>
  <c r="AZ132" i="12"/>
  <c r="AZ128" i="12"/>
  <c r="AZ124" i="12"/>
  <c r="AZ120" i="12"/>
  <c r="AZ137" i="12"/>
  <c r="AZ133" i="12"/>
  <c r="AZ129" i="12"/>
  <c r="AZ125" i="12"/>
  <c r="AZ121" i="12"/>
  <c r="AZ141" i="12"/>
  <c r="AZ138" i="12"/>
  <c r="AZ134" i="12"/>
  <c r="AZ130" i="12"/>
  <c r="AZ126" i="12"/>
  <c r="AZ122" i="12"/>
  <c r="AZ118" i="12"/>
  <c r="AZ139" i="12"/>
  <c r="AZ135" i="12"/>
  <c r="AZ131" i="12"/>
  <c r="AZ127" i="12"/>
  <c r="AZ123" i="12"/>
  <c r="AZ119" i="12"/>
  <c r="AZ113" i="12"/>
  <c r="AZ109" i="12"/>
  <c r="AZ105" i="12"/>
  <c r="AZ101" i="12"/>
  <c r="AZ97" i="12"/>
  <c r="AZ93" i="12"/>
  <c r="AZ116" i="12"/>
  <c r="AZ114" i="12"/>
  <c r="AZ110" i="12"/>
  <c r="AZ106" i="12"/>
  <c r="AZ102" i="12"/>
  <c r="AZ98" i="12"/>
  <c r="AZ94" i="12"/>
  <c r="AZ115" i="12"/>
  <c r="AZ111" i="12"/>
  <c r="AZ107" i="12"/>
  <c r="AZ103" i="12"/>
  <c r="AZ99" i="12"/>
  <c r="AZ95" i="12"/>
  <c r="AZ91" i="12"/>
  <c r="AZ87" i="12"/>
  <c r="AZ117" i="12"/>
  <c r="AZ112" i="12"/>
  <c r="AZ108" i="12"/>
  <c r="AZ104" i="12"/>
  <c r="AZ100" i="12"/>
  <c r="AZ96" i="12"/>
  <c r="AZ92" i="12"/>
  <c r="AZ88" i="12"/>
  <c r="AZ89" i="12"/>
  <c r="AZ84" i="12"/>
  <c r="AZ80" i="12"/>
  <c r="AZ76" i="12"/>
  <c r="AZ72" i="12"/>
  <c r="AZ68" i="12"/>
  <c r="AZ64" i="12"/>
  <c r="AZ85" i="12"/>
  <c r="AZ81" i="12"/>
  <c r="AZ77" i="12"/>
  <c r="AZ73" i="12"/>
  <c r="AZ69" i="12"/>
  <c r="AZ65" i="12"/>
  <c r="AZ61" i="12"/>
  <c r="AZ90" i="12"/>
  <c r="AZ86" i="12"/>
  <c r="AZ82" i="12"/>
  <c r="AZ78" i="12"/>
  <c r="AZ74" i="12"/>
  <c r="AZ70" i="12"/>
  <c r="AZ66" i="12"/>
  <c r="AZ83" i="12"/>
  <c r="AZ79" i="12"/>
  <c r="AZ75" i="12"/>
  <c r="AZ71" i="12"/>
  <c r="AZ67" i="12"/>
  <c r="AZ63" i="12"/>
  <c r="AZ57" i="12"/>
  <c r="AZ53" i="12"/>
  <c r="AZ49" i="12"/>
  <c r="AZ45" i="12"/>
  <c r="AZ41" i="12"/>
  <c r="AZ37" i="12"/>
  <c r="AZ33" i="12"/>
  <c r="AZ29" i="12"/>
  <c r="AZ25" i="12"/>
  <c r="AZ21" i="12"/>
  <c r="AZ17" i="12"/>
  <c r="AZ62" i="12"/>
  <c r="AZ58" i="12"/>
  <c r="AZ54" i="12"/>
  <c r="AZ50" i="12"/>
  <c r="AZ46" i="12"/>
  <c r="AZ42" i="12"/>
  <c r="AZ38" i="12"/>
  <c r="AZ34" i="12"/>
  <c r="AZ30" i="12"/>
  <c r="AZ26" i="12"/>
  <c r="AZ22" i="12"/>
  <c r="AZ18" i="12"/>
  <c r="AZ59" i="12"/>
  <c r="AZ55" i="12"/>
  <c r="AZ51" i="12"/>
  <c r="AZ47" i="12"/>
  <c r="AZ43" i="12"/>
  <c r="AZ39" i="12"/>
  <c r="AZ35" i="12"/>
  <c r="AZ31" i="12"/>
  <c r="AZ27" i="12"/>
  <c r="AZ23" i="12"/>
  <c r="AZ19" i="12"/>
  <c r="AZ15" i="12"/>
  <c r="AZ11" i="12"/>
  <c r="AZ60" i="12"/>
  <c r="AZ56" i="12"/>
  <c r="AZ52" i="12"/>
  <c r="AZ48" i="12"/>
  <c r="AZ44" i="12"/>
  <c r="AZ40" i="12"/>
  <c r="AZ36" i="12"/>
  <c r="AZ32" i="12"/>
  <c r="AZ28" i="12"/>
  <c r="AZ24" i="12"/>
  <c r="AZ20" i="12"/>
  <c r="AZ16" i="12"/>
  <c r="AZ12" i="12"/>
  <c r="BT250" i="12"/>
  <c r="BT251" i="12"/>
  <c r="BT247" i="12"/>
  <c r="BT248" i="12"/>
  <c r="BT245" i="12"/>
  <c r="BT249" i="12"/>
  <c r="BT246" i="12"/>
  <c r="BT241" i="12"/>
  <c r="BT242" i="12"/>
  <c r="BT244" i="12"/>
  <c r="BT243" i="12"/>
  <c r="BT239" i="12"/>
  <c r="BT240" i="12"/>
  <c r="BT237" i="12"/>
  <c r="BT238" i="12"/>
  <c r="BT236" i="12"/>
  <c r="BT232" i="12"/>
  <c r="BT233" i="12"/>
  <c r="BT234" i="12"/>
  <c r="BT235" i="12"/>
  <c r="BT231" i="12"/>
  <c r="BT229" i="12"/>
  <c r="BT225" i="12"/>
  <c r="BT230" i="12"/>
  <c r="BT226" i="12"/>
  <c r="BT227" i="12"/>
  <c r="BT228" i="12"/>
  <c r="BT223" i="12"/>
  <c r="BT219" i="12"/>
  <c r="BT224" i="12"/>
  <c r="BT220" i="12"/>
  <c r="BT221" i="12"/>
  <c r="BT222" i="12"/>
  <c r="BT218" i="12"/>
  <c r="BT216" i="12"/>
  <c r="BT212" i="12"/>
  <c r="BT208" i="12"/>
  <c r="BT217" i="12"/>
  <c r="BT213" i="12"/>
  <c r="BT209" i="12"/>
  <c r="BT214" i="12"/>
  <c r="BT210" i="12"/>
  <c r="BT206" i="12"/>
  <c r="BT215" i="12"/>
  <c r="BT211" i="12"/>
  <c r="BT207" i="12"/>
  <c r="BT201" i="12"/>
  <c r="BT197" i="12"/>
  <c r="BT193" i="12"/>
  <c r="BT202" i="12"/>
  <c r="BT198" i="12"/>
  <c r="BT194" i="12"/>
  <c r="BT205" i="12"/>
  <c r="BT203" i="12"/>
  <c r="BT199" i="12"/>
  <c r="BT195" i="12"/>
  <c r="BT204" i="12"/>
  <c r="BT200" i="12"/>
  <c r="BT196" i="12"/>
  <c r="BT190" i="12"/>
  <c r="BT186" i="12"/>
  <c r="BT182" i="12"/>
  <c r="BT191" i="12"/>
  <c r="BT187" i="12"/>
  <c r="BT183" i="12"/>
  <c r="BT192" i="12"/>
  <c r="BT188" i="12"/>
  <c r="BT184" i="12"/>
  <c r="BT180" i="12"/>
  <c r="BT189" i="12"/>
  <c r="BT185" i="12"/>
  <c r="BT181" i="12"/>
  <c r="BT179" i="12"/>
  <c r="BT175" i="12"/>
  <c r="BT171" i="12"/>
  <c r="BT167" i="12"/>
  <c r="BT176" i="12"/>
  <c r="BT172" i="12"/>
  <c r="BT168" i="12"/>
  <c r="BT177" i="12"/>
  <c r="BT173" i="12"/>
  <c r="BT169" i="12"/>
  <c r="BT178" i="12"/>
  <c r="BT174" i="12"/>
  <c r="BT170" i="12"/>
  <c r="BT165" i="12"/>
  <c r="BT161" i="12"/>
  <c r="BT157" i="12"/>
  <c r="BT153" i="12"/>
  <c r="BT149" i="12"/>
  <c r="BT145" i="12"/>
  <c r="BT166" i="12"/>
  <c r="BT162" i="12"/>
  <c r="BT158" i="12"/>
  <c r="BT154" i="12"/>
  <c r="BT150" i="12"/>
  <c r="BT146" i="12"/>
  <c r="BT142" i="12"/>
  <c r="BT163" i="12"/>
  <c r="BT159" i="12"/>
  <c r="BT155" i="12"/>
  <c r="BT151" i="12"/>
  <c r="BT147" i="12"/>
  <c r="BT143" i="12"/>
  <c r="BT164" i="12"/>
  <c r="BT160" i="12"/>
  <c r="BT156" i="12"/>
  <c r="BT152" i="12"/>
  <c r="BT148" i="12"/>
  <c r="BT144" i="12"/>
  <c r="BT140" i="12"/>
  <c r="BT136" i="12"/>
  <c r="BT132" i="12"/>
  <c r="BT128" i="12"/>
  <c r="BT124" i="12"/>
  <c r="BT120" i="12"/>
  <c r="BT137" i="12"/>
  <c r="BT133" i="12"/>
  <c r="BT129" i="12"/>
  <c r="BT125" i="12"/>
  <c r="BT121" i="12"/>
  <c r="BT138" i="12"/>
  <c r="BT134" i="12"/>
  <c r="BT130" i="12"/>
  <c r="BT126" i="12"/>
  <c r="BT122" i="12"/>
  <c r="BT118" i="12"/>
  <c r="BT141" i="12"/>
  <c r="BT139" i="12"/>
  <c r="BT135" i="12"/>
  <c r="BT131" i="12"/>
  <c r="BT127" i="12"/>
  <c r="BT123" i="12"/>
  <c r="BT119" i="12"/>
  <c r="BT113" i="12"/>
  <c r="BT109" i="12"/>
  <c r="BT105" i="12"/>
  <c r="BT101" i="12"/>
  <c r="BT97" i="12"/>
  <c r="BT93" i="12"/>
  <c r="BT117" i="12"/>
  <c r="BT114" i="12"/>
  <c r="BT110" i="12"/>
  <c r="BT106" i="12"/>
  <c r="BT102" i="12"/>
  <c r="BT98" i="12"/>
  <c r="BT94" i="12"/>
  <c r="BT115" i="12"/>
  <c r="BT111" i="12"/>
  <c r="BT107" i="12"/>
  <c r="BT103" i="12"/>
  <c r="BT99" i="12"/>
  <c r="BT95" i="12"/>
  <c r="BT91" i="12"/>
  <c r="BT87" i="12"/>
  <c r="BT116" i="12"/>
  <c r="BT112" i="12"/>
  <c r="BT108" i="12"/>
  <c r="BT104" i="12"/>
  <c r="BT100" i="12"/>
  <c r="BT96" i="12"/>
  <c r="BT92" i="12"/>
  <c r="BT88" i="12"/>
  <c r="BT90" i="12"/>
  <c r="BT84" i="12"/>
  <c r="BT80" i="12"/>
  <c r="BT76" i="12"/>
  <c r="BT72" i="12"/>
  <c r="BT68" i="12"/>
  <c r="BT64" i="12"/>
  <c r="BT85" i="12"/>
  <c r="BT81" i="12"/>
  <c r="BT77" i="12"/>
  <c r="BT73" i="12"/>
  <c r="BT69" i="12"/>
  <c r="BT65" i="12"/>
  <c r="BT61" i="12"/>
  <c r="BT89" i="12"/>
  <c r="BT86" i="12"/>
  <c r="BT82" i="12"/>
  <c r="BT78" i="12"/>
  <c r="BT74" i="12"/>
  <c r="BT70" i="12"/>
  <c r="BT66" i="12"/>
  <c r="BT83" i="12"/>
  <c r="BT79" i="12"/>
  <c r="BT75" i="12"/>
  <c r="BT71" i="12"/>
  <c r="BT67" i="12"/>
  <c r="BT63" i="12"/>
  <c r="BT57" i="12"/>
  <c r="BT53" i="12"/>
  <c r="BT49" i="12"/>
  <c r="BT45" i="12"/>
  <c r="BT41" i="12"/>
  <c r="BT37" i="12"/>
  <c r="BT33" i="12"/>
  <c r="BT29" i="12"/>
  <c r="BT25" i="12"/>
  <c r="BT21" i="12"/>
  <c r="BT17" i="12"/>
  <c r="BT58" i="12"/>
  <c r="BT54" i="12"/>
  <c r="BT50" i="12"/>
  <c r="BT46" i="12"/>
  <c r="BT42" i="12"/>
  <c r="BT38" i="12"/>
  <c r="BT34" i="12"/>
  <c r="BT30" i="12"/>
  <c r="BT26" i="12"/>
  <c r="BT22" i="12"/>
  <c r="BT18" i="12"/>
  <c r="BT59" i="12"/>
  <c r="BT55" i="12"/>
  <c r="BT51" i="12"/>
  <c r="BT47" i="12"/>
  <c r="BT43" i="12"/>
  <c r="BT39" i="12"/>
  <c r="BT35" i="12"/>
  <c r="BT31" i="12"/>
  <c r="BT27" i="12"/>
  <c r="BT23" i="12"/>
  <c r="BT19" i="12"/>
  <c r="BT15" i="12"/>
  <c r="BT11" i="12"/>
  <c r="BT62" i="12"/>
  <c r="BT60" i="12"/>
  <c r="BT56" i="12"/>
  <c r="BT52" i="12"/>
  <c r="BT48" i="12"/>
  <c r="BT44" i="12"/>
  <c r="BT40" i="12"/>
  <c r="BT36" i="12"/>
  <c r="BT32" i="12"/>
  <c r="BT28" i="12"/>
  <c r="BT24" i="12"/>
  <c r="BT20" i="12"/>
  <c r="BT16" i="12"/>
  <c r="BT12" i="12"/>
  <c r="CJ250" i="12"/>
  <c r="CJ251" i="12"/>
  <c r="CJ247" i="12"/>
  <c r="CJ248" i="12"/>
  <c r="CJ249" i="12"/>
  <c r="CJ246" i="12"/>
  <c r="CJ245" i="12"/>
  <c r="CJ241" i="12"/>
  <c r="CJ242" i="12"/>
  <c r="CJ244" i="12"/>
  <c r="CJ243" i="12"/>
  <c r="CJ239" i="12"/>
  <c r="CJ240" i="12"/>
  <c r="CJ237" i="12"/>
  <c r="CJ238" i="12"/>
  <c r="CJ236" i="12"/>
  <c r="CJ232" i="12"/>
  <c r="CJ233" i="12"/>
  <c r="CJ234" i="12"/>
  <c r="CJ235" i="12"/>
  <c r="CJ231" i="12"/>
  <c r="CJ229" i="12"/>
  <c r="CJ225" i="12"/>
  <c r="CJ230" i="12"/>
  <c r="CJ226" i="12"/>
  <c r="CJ227" i="12"/>
  <c r="CJ228" i="12"/>
  <c r="CJ224" i="12"/>
  <c r="CJ223" i="12"/>
  <c r="CJ219" i="12"/>
  <c r="CJ220" i="12"/>
  <c r="CJ221" i="12"/>
  <c r="CJ222" i="12"/>
  <c r="CJ218" i="12"/>
  <c r="CJ216" i="12"/>
  <c r="CJ212" i="12"/>
  <c r="CJ208" i="12"/>
  <c r="CJ217" i="12"/>
  <c r="CJ213" i="12"/>
  <c r="CJ209" i="12"/>
  <c r="CJ214" i="12"/>
  <c r="CJ210" i="12"/>
  <c r="CJ206" i="12"/>
  <c r="CJ215" i="12"/>
  <c r="CJ211" i="12"/>
  <c r="CJ207" i="12"/>
  <c r="CJ201" i="12"/>
  <c r="CJ197" i="12"/>
  <c r="CJ193" i="12"/>
  <c r="CJ202" i="12"/>
  <c r="CJ198" i="12"/>
  <c r="CJ194" i="12"/>
  <c r="CJ203" i="12"/>
  <c r="CJ199" i="12"/>
  <c r="CJ195" i="12"/>
  <c r="CJ205" i="12"/>
  <c r="CJ204" i="12"/>
  <c r="CJ200" i="12"/>
  <c r="CJ196" i="12"/>
  <c r="CJ190" i="12"/>
  <c r="CJ186" i="12"/>
  <c r="CJ182" i="12"/>
  <c r="CJ191" i="12"/>
  <c r="CJ187" i="12"/>
  <c r="CJ183" i="12"/>
  <c r="CJ192" i="12"/>
  <c r="CJ188" i="12"/>
  <c r="CJ184" i="12"/>
  <c r="CJ180" i="12"/>
  <c r="CJ189" i="12"/>
  <c r="CJ185" i="12"/>
  <c r="CJ181" i="12"/>
  <c r="CJ179" i="12"/>
  <c r="CJ175" i="12"/>
  <c r="CJ171" i="12"/>
  <c r="CJ167" i="12"/>
  <c r="CJ176" i="12"/>
  <c r="CJ172" i="12"/>
  <c r="CJ168" i="12"/>
  <c r="CJ177" i="12"/>
  <c r="CJ173" i="12"/>
  <c r="CJ169" i="12"/>
  <c r="CJ178" i="12"/>
  <c r="CJ174" i="12"/>
  <c r="CJ170" i="12"/>
  <c r="CJ165" i="12"/>
  <c r="CJ161" i="12"/>
  <c r="CJ157" i="12"/>
  <c r="CJ153" i="12"/>
  <c r="CJ149" i="12"/>
  <c r="CJ145" i="12"/>
  <c r="CJ141" i="12"/>
  <c r="CJ166" i="12"/>
  <c r="CJ162" i="12"/>
  <c r="CJ158" i="12"/>
  <c r="CJ154" i="12"/>
  <c r="CJ150" i="12"/>
  <c r="CJ146" i="12"/>
  <c r="CJ142" i="12"/>
  <c r="CJ163" i="12"/>
  <c r="CJ159" i="12"/>
  <c r="CJ155" i="12"/>
  <c r="CJ151" i="12"/>
  <c r="CJ147" i="12"/>
  <c r="CJ143" i="12"/>
  <c r="CJ164" i="12"/>
  <c r="CJ160" i="12"/>
  <c r="CJ156" i="12"/>
  <c r="CJ152" i="12"/>
  <c r="CJ148" i="12"/>
  <c r="CJ144" i="12"/>
  <c r="CJ140" i="12"/>
  <c r="CJ136" i="12"/>
  <c r="CJ132" i="12"/>
  <c r="CJ128" i="12"/>
  <c r="CJ124" i="12"/>
  <c r="CJ120" i="12"/>
  <c r="CJ137" i="12"/>
  <c r="CJ133" i="12"/>
  <c r="CJ129" i="12"/>
  <c r="CJ125" i="12"/>
  <c r="CJ121" i="12"/>
  <c r="CJ138" i="12"/>
  <c r="CJ134" i="12"/>
  <c r="CJ130" i="12"/>
  <c r="CJ126" i="12"/>
  <c r="CJ122" i="12"/>
  <c r="CJ118" i="12"/>
  <c r="CJ139" i="12"/>
  <c r="CJ135" i="12"/>
  <c r="CJ131" i="12"/>
  <c r="CJ127" i="12"/>
  <c r="CJ123" i="12"/>
  <c r="CJ119" i="12"/>
  <c r="CJ113" i="12"/>
  <c r="CJ109" i="12"/>
  <c r="CJ105" i="12"/>
  <c r="CJ101" i="12"/>
  <c r="CJ97" i="12"/>
  <c r="CJ93" i="12"/>
  <c r="CJ117" i="12"/>
  <c r="CJ114" i="12"/>
  <c r="CJ110" i="12"/>
  <c r="CJ106" i="12"/>
  <c r="CJ102" i="12"/>
  <c r="CJ98" i="12"/>
  <c r="CJ94" i="12"/>
  <c r="CJ115" i="12"/>
  <c r="CJ111" i="12"/>
  <c r="CJ107" i="12"/>
  <c r="CJ103" i="12"/>
  <c r="CJ99" i="12"/>
  <c r="CJ95" i="12"/>
  <c r="CJ91" i="12"/>
  <c r="CJ87" i="12"/>
  <c r="CJ116" i="12"/>
  <c r="CJ112" i="12"/>
  <c r="CJ108" i="12"/>
  <c r="CJ104" i="12"/>
  <c r="CJ100" i="12"/>
  <c r="CJ96" i="12"/>
  <c r="CJ92" i="12"/>
  <c r="CJ88" i="12"/>
  <c r="CJ90" i="12"/>
  <c r="CJ84" i="12"/>
  <c r="CJ80" i="12"/>
  <c r="CJ76" i="12"/>
  <c r="CJ72" i="12"/>
  <c r="CJ68" i="12"/>
  <c r="CJ64" i="12"/>
  <c r="CJ85" i="12"/>
  <c r="CJ81" i="12"/>
  <c r="CJ77" i="12"/>
  <c r="CJ73" i="12"/>
  <c r="CJ69" i="12"/>
  <c r="CJ65" i="12"/>
  <c r="CJ61" i="12"/>
  <c r="CJ89" i="12"/>
  <c r="CJ86" i="12"/>
  <c r="CJ82" i="12"/>
  <c r="CJ78" i="12"/>
  <c r="CJ74" i="12"/>
  <c r="CJ70" i="12"/>
  <c r="CJ66" i="12"/>
  <c r="CJ83" i="12"/>
  <c r="CJ79" i="12"/>
  <c r="CJ75" i="12"/>
  <c r="CJ71" i="12"/>
  <c r="CJ67" i="12"/>
  <c r="CJ63" i="12"/>
  <c r="CJ57" i="12"/>
  <c r="CJ53" i="12"/>
  <c r="CJ49" i="12"/>
  <c r="CJ45" i="12"/>
  <c r="CJ41" i="12"/>
  <c r="CJ37" i="12"/>
  <c r="CJ33" i="12"/>
  <c r="CJ29" i="12"/>
  <c r="CJ25" i="12"/>
  <c r="CJ21" i="12"/>
  <c r="CJ17" i="12"/>
  <c r="CJ58" i="12"/>
  <c r="CJ54" i="12"/>
  <c r="CJ50" i="12"/>
  <c r="CJ46" i="12"/>
  <c r="CJ42" i="12"/>
  <c r="CJ38" i="12"/>
  <c r="CJ34" i="12"/>
  <c r="CJ30" i="12"/>
  <c r="CJ26" i="12"/>
  <c r="CJ22" i="12"/>
  <c r="CJ18" i="12"/>
  <c r="CJ59" i="12"/>
  <c r="CJ55" i="12"/>
  <c r="CJ51" i="12"/>
  <c r="CJ47" i="12"/>
  <c r="CJ43" i="12"/>
  <c r="CJ39" i="12"/>
  <c r="CJ35" i="12"/>
  <c r="CJ31" i="12"/>
  <c r="CJ27" i="12"/>
  <c r="CJ23" i="12"/>
  <c r="CJ19" i="12"/>
  <c r="CJ15" i="12"/>
  <c r="CJ11" i="12"/>
  <c r="CJ62" i="12"/>
  <c r="CJ60" i="12"/>
  <c r="CJ56" i="12"/>
  <c r="CJ52" i="12"/>
  <c r="CJ48" i="12"/>
  <c r="CJ44" i="12"/>
  <c r="CJ40" i="12"/>
  <c r="CJ36" i="12"/>
  <c r="CJ32" i="12"/>
  <c r="CJ28" i="12"/>
  <c r="CJ24" i="12"/>
  <c r="CJ20" i="12"/>
  <c r="CJ16" i="12"/>
  <c r="CJ12" i="12"/>
  <c r="CV250" i="12"/>
  <c r="CV251" i="12"/>
  <c r="CV249" i="12"/>
  <c r="CV248" i="12"/>
  <c r="CV247" i="12"/>
  <c r="CV245" i="12"/>
  <c r="CV246" i="12"/>
  <c r="CV244" i="12"/>
  <c r="CV241" i="12"/>
  <c r="CV242" i="12"/>
  <c r="CV243" i="12"/>
  <c r="CV239" i="12"/>
  <c r="CV237" i="12"/>
  <c r="CV240" i="12"/>
  <c r="CV238" i="12"/>
  <c r="CV232" i="12"/>
  <c r="CV233" i="12"/>
  <c r="CV234" i="12"/>
  <c r="CV236" i="12"/>
  <c r="CV235" i="12"/>
  <c r="CV231" i="12"/>
  <c r="CV229" i="12"/>
  <c r="CV225" i="12"/>
  <c r="CV230" i="12"/>
  <c r="CV226" i="12"/>
  <c r="CV227" i="12"/>
  <c r="CV228" i="12"/>
  <c r="CV224" i="12"/>
  <c r="CV223" i="12"/>
  <c r="CV219" i="12"/>
  <c r="CV220" i="12"/>
  <c r="CV221" i="12"/>
  <c r="CV222" i="12"/>
  <c r="CV218" i="12"/>
  <c r="CV216" i="12"/>
  <c r="CV212" i="12"/>
  <c r="CV208" i="12"/>
  <c r="CV217" i="12"/>
  <c r="CV213" i="12"/>
  <c r="CV209" i="12"/>
  <c r="CV205" i="12"/>
  <c r="CV214" i="12"/>
  <c r="CV210" i="12"/>
  <c r="CV206" i="12"/>
  <c r="CV215" i="12"/>
  <c r="CV211" i="12"/>
  <c r="CV207" i="12"/>
  <c r="CV201" i="12"/>
  <c r="CV197" i="12"/>
  <c r="CV193" i="12"/>
  <c r="CV202" i="12"/>
  <c r="CV198" i="12"/>
  <c r="CV194" i="12"/>
  <c r="CV203" i="12"/>
  <c r="CV199" i="12"/>
  <c r="CV195" i="12"/>
  <c r="CV204" i="12"/>
  <c r="CV200" i="12"/>
  <c r="CV196" i="12"/>
  <c r="CV192" i="12"/>
  <c r="CV190" i="12"/>
  <c r="CV186" i="12"/>
  <c r="CV182" i="12"/>
  <c r="CV191" i="12"/>
  <c r="CV187" i="12"/>
  <c r="CV183" i="12"/>
  <c r="CV188" i="12"/>
  <c r="CV184" i="12"/>
  <c r="CV180" i="12"/>
  <c r="CV189" i="12"/>
  <c r="CV185" i="12"/>
  <c r="CV181" i="12"/>
  <c r="CV175" i="12"/>
  <c r="CV171" i="12"/>
  <c r="CV167" i="12"/>
  <c r="CV176" i="12"/>
  <c r="CV172" i="12"/>
  <c r="CV168" i="12"/>
  <c r="CV179" i="12"/>
  <c r="CV177" i="12"/>
  <c r="CV173" i="12"/>
  <c r="CV169" i="12"/>
  <c r="CV178" i="12"/>
  <c r="CV174" i="12"/>
  <c r="CV170" i="12"/>
  <c r="CV165" i="12"/>
  <c r="CV161" i="12"/>
  <c r="CV157" i="12"/>
  <c r="CV153" i="12"/>
  <c r="CV149" i="12"/>
  <c r="CV145" i="12"/>
  <c r="CV141" i="12"/>
  <c r="CV166" i="12"/>
  <c r="CV162" i="12"/>
  <c r="CV158" i="12"/>
  <c r="CV154" i="12"/>
  <c r="CV150" i="12"/>
  <c r="CV146" i="12"/>
  <c r="CV142" i="12"/>
  <c r="CV163" i="12"/>
  <c r="CV159" i="12"/>
  <c r="CV155" i="12"/>
  <c r="CV151" i="12"/>
  <c r="CV147" i="12"/>
  <c r="CV143" i="12"/>
  <c r="CV164" i="12"/>
  <c r="CV160" i="12"/>
  <c r="CV156" i="12"/>
  <c r="CV152" i="12"/>
  <c r="CV148" i="12"/>
  <c r="CV144" i="12"/>
  <c r="CV140" i="12"/>
  <c r="CV136" i="12"/>
  <c r="CV132" i="12"/>
  <c r="CV128" i="12"/>
  <c r="CV124" i="12"/>
  <c r="CV120" i="12"/>
  <c r="CV137" i="12"/>
  <c r="CV133" i="12"/>
  <c r="CV129" i="12"/>
  <c r="CV125" i="12"/>
  <c r="CV121" i="12"/>
  <c r="CV138" i="12"/>
  <c r="CV134" i="12"/>
  <c r="CV130" i="12"/>
  <c r="CV126" i="12"/>
  <c r="CV122" i="12"/>
  <c r="CV118" i="12"/>
  <c r="CV139" i="12"/>
  <c r="CV135" i="12"/>
  <c r="CV131" i="12"/>
  <c r="CV127" i="12"/>
  <c r="CV123" i="12"/>
  <c r="CV119" i="12"/>
  <c r="CV113" i="12"/>
  <c r="CV109" i="12"/>
  <c r="CV105" i="12"/>
  <c r="CV101" i="12"/>
  <c r="CV97" i="12"/>
  <c r="CV93" i="12"/>
  <c r="CV116" i="12"/>
  <c r="CV114" i="12"/>
  <c r="CV110" i="12"/>
  <c r="CV106" i="12"/>
  <c r="CV102" i="12"/>
  <c r="CV98" i="12"/>
  <c r="CV94" i="12"/>
  <c r="CV115" i="12"/>
  <c r="CV111" i="12"/>
  <c r="CV107" i="12"/>
  <c r="CV103" i="12"/>
  <c r="CV99" i="12"/>
  <c r="CV95" i="12"/>
  <c r="CV91" i="12"/>
  <c r="CV87" i="12"/>
  <c r="CV117" i="12"/>
  <c r="CV112" i="12"/>
  <c r="CV108" i="12"/>
  <c r="CV104" i="12"/>
  <c r="CV100" i="12"/>
  <c r="CV96" i="12"/>
  <c r="CV92" i="12"/>
  <c r="CV88" i="12"/>
  <c r="CV89" i="12"/>
  <c r="CV84" i="12"/>
  <c r="CV80" i="12"/>
  <c r="CV76" i="12"/>
  <c r="CV72" i="12"/>
  <c r="CV68" i="12"/>
  <c r="CV64" i="12"/>
  <c r="CV85" i="12"/>
  <c r="CV81" i="12"/>
  <c r="CV77" i="12"/>
  <c r="CV73" i="12"/>
  <c r="CV69" i="12"/>
  <c r="CV65" i="12"/>
  <c r="CV61" i="12"/>
  <c r="CV90" i="12"/>
  <c r="CV86" i="12"/>
  <c r="CV82" i="12"/>
  <c r="CV78" i="12"/>
  <c r="CV74" i="12"/>
  <c r="CV70" i="12"/>
  <c r="CV66" i="12"/>
  <c r="CV83" i="12"/>
  <c r="CV79" i="12"/>
  <c r="CV75" i="12"/>
  <c r="CV71" i="12"/>
  <c r="CV67" i="12"/>
  <c r="CV63" i="12"/>
  <c r="CV57" i="12"/>
  <c r="CV53" i="12"/>
  <c r="CV49" i="12"/>
  <c r="CV45" i="12"/>
  <c r="CV41" i="12"/>
  <c r="CV37" i="12"/>
  <c r="CV33" i="12"/>
  <c r="CV29" i="12"/>
  <c r="CV25" i="12"/>
  <c r="CV21" i="12"/>
  <c r="CV17" i="12"/>
  <c r="CV62" i="12"/>
  <c r="CV60" i="12"/>
  <c r="CV58" i="12"/>
  <c r="CV54" i="12"/>
  <c r="CV50" i="12"/>
  <c r="CV46" i="12"/>
  <c r="CV42" i="12"/>
  <c r="CV38" i="12"/>
  <c r="CV34" i="12"/>
  <c r="CV30" i="12"/>
  <c r="CV26" i="12"/>
  <c r="CV22" i="12"/>
  <c r="CV18" i="12"/>
  <c r="CV59" i="12"/>
  <c r="CV55" i="12"/>
  <c r="CV51" i="12"/>
  <c r="CV47" i="12"/>
  <c r="CV43" i="12"/>
  <c r="CV39" i="12"/>
  <c r="CV35" i="12"/>
  <c r="CV31" i="12"/>
  <c r="CV27" i="12"/>
  <c r="CV23" i="12"/>
  <c r="CV19" i="12"/>
  <c r="CV15" i="12"/>
  <c r="CV11" i="12"/>
  <c r="CV56" i="12"/>
  <c r="CV52" i="12"/>
  <c r="CV48" i="12"/>
  <c r="CV44" i="12"/>
  <c r="CV40" i="12"/>
  <c r="CV36" i="12"/>
  <c r="CV32" i="12"/>
  <c r="CV28" i="12"/>
  <c r="CV24" i="12"/>
  <c r="CV20" i="12"/>
  <c r="CV16" i="12"/>
  <c r="CV12" i="12"/>
  <c r="N3" i="12"/>
  <c r="AD3" i="12"/>
  <c r="AP3" i="12"/>
  <c r="BJ3" i="12"/>
  <c r="BZ3" i="12"/>
  <c r="CP3" i="12"/>
  <c r="P5" i="12"/>
  <c r="AB5" i="12"/>
  <c r="AN5" i="12"/>
  <c r="AV5" i="12"/>
  <c r="BH5" i="12"/>
  <c r="BP5" i="12"/>
  <c r="BX5" i="12"/>
  <c r="CF5" i="12"/>
  <c r="CN5" i="12"/>
  <c r="CV5" i="12"/>
  <c r="F7" i="12"/>
  <c r="N7" i="12"/>
  <c r="V7" i="12"/>
  <c r="AD7" i="12"/>
  <c r="AL7" i="12"/>
  <c r="AX7" i="12"/>
  <c r="BF7" i="12"/>
  <c r="BR7" i="12"/>
  <c r="BZ7" i="12"/>
  <c r="CH7" i="12"/>
  <c r="CP7" i="12"/>
  <c r="CX7" i="12"/>
  <c r="D9" i="12"/>
  <c r="L9" i="12"/>
  <c r="T9" i="12"/>
  <c r="AB9" i="12"/>
  <c r="AJ9" i="12"/>
  <c r="AR9" i="12"/>
  <c r="AZ9" i="12"/>
  <c r="BH9" i="12"/>
  <c r="BP9" i="12"/>
  <c r="BX9" i="12"/>
  <c r="CF9" i="12"/>
  <c r="CJ9" i="12"/>
  <c r="CR9" i="12"/>
  <c r="CV9" i="12"/>
  <c r="CZ9" i="12"/>
  <c r="E251" i="12"/>
  <c r="E249" i="12"/>
  <c r="E248" i="12"/>
  <c r="E250" i="12"/>
  <c r="E247" i="12"/>
  <c r="E246" i="12"/>
  <c r="E242" i="12"/>
  <c r="E245" i="12"/>
  <c r="E243" i="12"/>
  <c r="E244" i="12"/>
  <c r="E240" i="12"/>
  <c r="E238" i="12"/>
  <c r="E241" i="12"/>
  <c r="E239" i="12"/>
  <c r="E233" i="12"/>
  <c r="E234" i="12"/>
  <c r="E237" i="12"/>
  <c r="E235" i="12"/>
  <c r="E236" i="12"/>
  <c r="E232" i="12"/>
  <c r="E230" i="12"/>
  <c r="E226" i="12"/>
  <c r="E231" i="12"/>
  <c r="E227" i="12"/>
  <c r="E228" i="12"/>
  <c r="E229" i="12"/>
  <c r="E225" i="12"/>
  <c r="E224" i="12"/>
  <c r="E220" i="12"/>
  <c r="E221" i="12"/>
  <c r="E222" i="12"/>
  <c r="E223" i="12"/>
  <c r="E219" i="12"/>
  <c r="E217" i="12"/>
  <c r="E213" i="12"/>
  <c r="E209" i="12"/>
  <c r="E218" i="12"/>
  <c r="E214" i="12"/>
  <c r="E210" i="12"/>
  <c r="E206" i="12"/>
  <c r="E215" i="12"/>
  <c r="E211" i="12"/>
  <c r="E207" i="12"/>
  <c r="E216" i="12"/>
  <c r="E212" i="12"/>
  <c r="E208" i="12"/>
  <c r="E202" i="12"/>
  <c r="E198" i="12"/>
  <c r="E194" i="12"/>
  <c r="E203" i="12"/>
  <c r="E199" i="12"/>
  <c r="E195" i="12"/>
  <c r="E204" i="12"/>
  <c r="E200" i="12"/>
  <c r="E196" i="12"/>
  <c r="E205" i="12"/>
  <c r="E201" i="12"/>
  <c r="E197" i="12"/>
  <c r="E193" i="12"/>
  <c r="E191" i="12"/>
  <c r="E187" i="12"/>
  <c r="E183" i="12"/>
  <c r="E192" i="12"/>
  <c r="E188" i="12"/>
  <c r="E184" i="12"/>
  <c r="E180" i="12"/>
  <c r="E189" i="12"/>
  <c r="E185" i="12"/>
  <c r="E181" i="12"/>
  <c r="E190" i="12"/>
  <c r="E186" i="12"/>
  <c r="E182" i="12"/>
  <c r="E176" i="12"/>
  <c r="E172" i="12"/>
  <c r="E168" i="12"/>
  <c r="E177" i="12"/>
  <c r="E173" i="12"/>
  <c r="E169" i="12"/>
  <c r="E178" i="12"/>
  <c r="E174" i="12"/>
  <c r="E170" i="12"/>
  <c r="E179" i="12"/>
  <c r="E175" i="12"/>
  <c r="E171" i="12"/>
  <c r="E166" i="12"/>
  <c r="E162" i="12"/>
  <c r="E158" i="12"/>
  <c r="E154" i="12"/>
  <c r="E150" i="12"/>
  <c r="E146" i="12"/>
  <c r="E142" i="12"/>
  <c r="E167" i="12"/>
  <c r="E163" i="12"/>
  <c r="E159" i="12"/>
  <c r="E155" i="12"/>
  <c r="E151" i="12"/>
  <c r="E147" i="12"/>
  <c r="E143" i="12"/>
  <c r="E164" i="12"/>
  <c r="E160" i="12"/>
  <c r="E156" i="12"/>
  <c r="E152" i="12"/>
  <c r="E148" i="12"/>
  <c r="E144" i="12"/>
  <c r="E165" i="12"/>
  <c r="E161" i="12"/>
  <c r="E157" i="12"/>
  <c r="E153" i="12"/>
  <c r="E149" i="12"/>
  <c r="E145" i="12"/>
  <c r="E141" i="12"/>
  <c r="E137" i="12"/>
  <c r="E133" i="12"/>
  <c r="E129" i="12"/>
  <c r="E125" i="12"/>
  <c r="E121" i="12"/>
  <c r="E138" i="12"/>
  <c r="E134" i="12"/>
  <c r="E130" i="12"/>
  <c r="E126" i="12"/>
  <c r="E122" i="12"/>
  <c r="E139" i="12"/>
  <c r="E135" i="12"/>
  <c r="E131" i="12"/>
  <c r="E127" i="12"/>
  <c r="E123" i="12"/>
  <c r="E119" i="12"/>
  <c r="E140" i="12"/>
  <c r="E136" i="12"/>
  <c r="E132" i="12"/>
  <c r="E128" i="12"/>
  <c r="E124" i="12"/>
  <c r="E120" i="12"/>
  <c r="E116" i="12"/>
  <c r="E114" i="12"/>
  <c r="E110" i="12"/>
  <c r="E106" i="12"/>
  <c r="E102" i="12"/>
  <c r="E98" i="12"/>
  <c r="E94" i="12"/>
  <c r="E118" i="12"/>
  <c r="E115" i="12"/>
  <c r="E111" i="12"/>
  <c r="E107" i="12"/>
  <c r="E103" i="12"/>
  <c r="E99" i="12"/>
  <c r="E95" i="12"/>
  <c r="E117" i="12"/>
  <c r="E112" i="12"/>
  <c r="E108" i="12"/>
  <c r="E104" i="12"/>
  <c r="E100" i="12"/>
  <c r="E96" i="12"/>
  <c r="E92" i="12"/>
  <c r="E88" i="12"/>
  <c r="E113" i="12"/>
  <c r="E109" i="12"/>
  <c r="E105" i="12"/>
  <c r="E101" i="12"/>
  <c r="E97" i="12"/>
  <c r="E93" i="12"/>
  <c r="E89" i="12"/>
  <c r="E91" i="12"/>
  <c r="E85" i="12"/>
  <c r="E81" i="12"/>
  <c r="E77" i="12"/>
  <c r="E73" i="12"/>
  <c r="E69" i="12"/>
  <c r="E65" i="12"/>
  <c r="E90" i="12"/>
  <c r="E86" i="12"/>
  <c r="E82" i="12"/>
  <c r="E78" i="12"/>
  <c r="E74" i="12"/>
  <c r="E70" i="12"/>
  <c r="E66" i="12"/>
  <c r="E62" i="12"/>
  <c r="E87" i="12"/>
  <c r="E83" i="12"/>
  <c r="E79" i="12"/>
  <c r="E75" i="12"/>
  <c r="E71" i="12"/>
  <c r="E67" i="12"/>
  <c r="E84" i="12"/>
  <c r="E80" i="12"/>
  <c r="E76" i="12"/>
  <c r="E72" i="12"/>
  <c r="E68" i="12"/>
  <c r="E64" i="12"/>
  <c r="E58" i="12"/>
  <c r="E54" i="12"/>
  <c r="E50" i="12"/>
  <c r="E46" i="12"/>
  <c r="E42" i="12"/>
  <c r="E38" i="12"/>
  <c r="E34" i="12"/>
  <c r="E30" i="12"/>
  <c r="E26" i="12"/>
  <c r="E22" i="12"/>
  <c r="E18" i="12"/>
  <c r="E59" i="12"/>
  <c r="E55" i="12"/>
  <c r="E51" i="12"/>
  <c r="E47" i="12"/>
  <c r="E43" i="12"/>
  <c r="E39" i="12"/>
  <c r="E35" i="12"/>
  <c r="E31" i="12"/>
  <c r="E27" i="12"/>
  <c r="E23" i="12"/>
  <c r="E19" i="12"/>
  <c r="E15" i="12"/>
  <c r="E63" i="12"/>
  <c r="E61" i="12"/>
  <c r="E60" i="12"/>
  <c r="E56" i="12"/>
  <c r="E52" i="12"/>
  <c r="E48" i="12"/>
  <c r="E44" i="12"/>
  <c r="E40" i="12"/>
  <c r="E36" i="12"/>
  <c r="E32" i="12"/>
  <c r="E28" i="12"/>
  <c r="E24" i="12"/>
  <c r="E20" i="12"/>
  <c r="E16" i="12"/>
  <c r="E12" i="12"/>
  <c r="E57" i="12"/>
  <c r="E53" i="12"/>
  <c r="E49" i="12"/>
  <c r="E45" i="12"/>
  <c r="E41" i="12"/>
  <c r="E37" i="12"/>
  <c r="E33" i="12"/>
  <c r="E29" i="12"/>
  <c r="E25" i="12"/>
  <c r="E21" i="12"/>
  <c r="E17" i="12"/>
  <c r="E13" i="12"/>
  <c r="I251" i="12"/>
  <c r="I250" i="12"/>
  <c r="I248" i="12"/>
  <c r="I249" i="12"/>
  <c r="I246" i="12"/>
  <c r="I247" i="12"/>
  <c r="I242" i="12"/>
  <c r="I243" i="12"/>
  <c r="I244" i="12"/>
  <c r="I240" i="12"/>
  <c r="I241" i="12"/>
  <c r="I238" i="12"/>
  <c r="I239" i="12"/>
  <c r="I245" i="12"/>
  <c r="I233" i="12"/>
  <c r="I234" i="12"/>
  <c r="I235" i="12"/>
  <c r="I237" i="12"/>
  <c r="I236" i="12"/>
  <c r="I232" i="12"/>
  <c r="I230" i="12"/>
  <c r="I226" i="12"/>
  <c r="I231" i="12"/>
  <c r="I227" i="12"/>
  <c r="I228" i="12"/>
  <c r="I229" i="12"/>
  <c r="I225" i="12"/>
  <c r="I224" i="12"/>
  <c r="I220" i="12"/>
  <c r="I221" i="12"/>
  <c r="I222" i="12"/>
  <c r="I223" i="12"/>
  <c r="I219" i="12"/>
  <c r="I217" i="12"/>
  <c r="I213" i="12"/>
  <c r="I209" i="12"/>
  <c r="I218" i="12"/>
  <c r="I214" i="12"/>
  <c r="I210" i="12"/>
  <c r="I206" i="12"/>
  <c r="I215" i="12"/>
  <c r="I211" i="12"/>
  <c r="I207" i="12"/>
  <c r="I216" i="12"/>
  <c r="I212" i="12"/>
  <c r="I208" i="12"/>
  <c r="I202" i="12"/>
  <c r="I198" i="12"/>
  <c r="I194" i="12"/>
  <c r="I203" i="12"/>
  <c r="I199" i="12"/>
  <c r="I195" i="12"/>
  <c r="I204" i="12"/>
  <c r="I200" i="12"/>
  <c r="I196" i="12"/>
  <c r="I205" i="12"/>
  <c r="I201" i="12"/>
  <c r="I197" i="12"/>
  <c r="I193" i="12"/>
  <c r="I191" i="12"/>
  <c r="I187" i="12"/>
  <c r="I183" i="12"/>
  <c r="I192" i="12"/>
  <c r="I188" i="12"/>
  <c r="I184" i="12"/>
  <c r="I180" i="12"/>
  <c r="I189" i="12"/>
  <c r="I185" i="12"/>
  <c r="I181" i="12"/>
  <c r="I190" i="12"/>
  <c r="I186" i="12"/>
  <c r="I182" i="12"/>
  <c r="I176" i="12"/>
  <c r="I172" i="12"/>
  <c r="I168" i="12"/>
  <c r="I177" i="12"/>
  <c r="I173" i="12"/>
  <c r="I169" i="12"/>
  <c r="I178" i="12"/>
  <c r="I174" i="12"/>
  <c r="I170" i="12"/>
  <c r="I179" i="12"/>
  <c r="I175" i="12"/>
  <c r="I171" i="12"/>
  <c r="I166" i="12"/>
  <c r="I162" i="12"/>
  <c r="I158" i="12"/>
  <c r="I154" i="12"/>
  <c r="I150" i="12"/>
  <c r="I146" i="12"/>
  <c r="I142" i="12"/>
  <c r="I167" i="12"/>
  <c r="I163" i="12"/>
  <c r="I159" i="12"/>
  <c r="I155" i="12"/>
  <c r="I151" i="12"/>
  <c r="I147" i="12"/>
  <c r="I143" i="12"/>
  <c r="I164" i="12"/>
  <c r="I160" i="12"/>
  <c r="I156" i="12"/>
  <c r="I152" i="12"/>
  <c r="I148" i="12"/>
  <c r="I144" i="12"/>
  <c r="I165" i="12"/>
  <c r="I161" i="12"/>
  <c r="I157" i="12"/>
  <c r="I153" i="12"/>
  <c r="I149" i="12"/>
  <c r="I145" i="12"/>
  <c r="I141" i="12"/>
  <c r="I137" i="12"/>
  <c r="I133" i="12"/>
  <c r="I129" i="12"/>
  <c r="I125" i="12"/>
  <c r="I121" i="12"/>
  <c r="I138" i="12"/>
  <c r="I134" i="12"/>
  <c r="I130" i="12"/>
  <c r="I126" i="12"/>
  <c r="I122" i="12"/>
  <c r="I139" i="12"/>
  <c r="I135" i="12"/>
  <c r="I131" i="12"/>
  <c r="I127" i="12"/>
  <c r="I123" i="12"/>
  <c r="I119" i="12"/>
  <c r="I140" i="12"/>
  <c r="I136" i="12"/>
  <c r="I132" i="12"/>
  <c r="I128" i="12"/>
  <c r="I124" i="12"/>
  <c r="I120" i="12"/>
  <c r="I116" i="12"/>
  <c r="I117" i="12"/>
  <c r="I114" i="12"/>
  <c r="I110" i="12"/>
  <c r="I106" i="12"/>
  <c r="I102" i="12"/>
  <c r="I98" i="12"/>
  <c r="I94" i="12"/>
  <c r="I115" i="12"/>
  <c r="I111" i="12"/>
  <c r="I107" i="12"/>
  <c r="I103" i="12"/>
  <c r="I99" i="12"/>
  <c r="I95" i="12"/>
  <c r="I112" i="12"/>
  <c r="I108" i="12"/>
  <c r="I104" i="12"/>
  <c r="I100" i="12"/>
  <c r="I96" i="12"/>
  <c r="I92" i="12"/>
  <c r="I88" i="12"/>
  <c r="I118" i="12"/>
  <c r="I113" i="12"/>
  <c r="I109" i="12"/>
  <c r="I105" i="12"/>
  <c r="I101" i="12"/>
  <c r="I97" i="12"/>
  <c r="I93" i="12"/>
  <c r="I89" i="12"/>
  <c r="I85" i="12"/>
  <c r="I81" i="12"/>
  <c r="I77" i="12"/>
  <c r="I73" i="12"/>
  <c r="I69" i="12"/>
  <c r="I65" i="12"/>
  <c r="I86" i="12"/>
  <c r="I82" i="12"/>
  <c r="I78" i="12"/>
  <c r="I74" i="12"/>
  <c r="I70" i="12"/>
  <c r="I66" i="12"/>
  <c r="I62" i="12"/>
  <c r="I91" i="12"/>
  <c r="I87" i="12"/>
  <c r="I83" i="12"/>
  <c r="I79" i="12"/>
  <c r="I75" i="12"/>
  <c r="I71" i="12"/>
  <c r="I67" i="12"/>
  <c r="I90" i="12"/>
  <c r="I84" i="12"/>
  <c r="I80" i="12"/>
  <c r="I76" i="12"/>
  <c r="I72" i="12"/>
  <c r="I68" i="12"/>
  <c r="I64" i="12"/>
  <c r="I63" i="12"/>
  <c r="I61" i="12"/>
  <c r="I58" i="12"/>
  <c r="I54" i="12"/>
  <c r="I50" i="12"/>
  <c r="I46" i="12"/>
  <c r="I42" i="12"/>
  <c r="I38" i="12"/>
  <c r="I34" i="12"/>
  <c r="I30" i="12"/>
  <c r="I26" i="12"/>
  <c r="I22" i="12"/>
  <c r="I18" i="12"/>
  <c r="I59" i="12"/>
  <c r="I55" i="12"/>
  <c r="I51" i="12"/>
  <c r="I47" i="12"/>
  <c r="I43" i="12"/>
  <c r="I39" i="12"/>
  <c r="I35" i="12"/>
  <c r="I31" i="12"/>
  <c r="I27" i="12"/>
  <c r="I23" i="12"/>
  <c r="I19" i="12"/>
  <c r="I15" i="12"/>
  <c r="I60" i="12"/>
  <c r="I56" i="12"/>
  <c r="I52" i="12"/>
  <c r="I48" i="12"/>
  <c r="I44" i="12"/>
  <c r="I40" i="12"/>
  <c r="I36" i="12"/>
  <c r="I32" i="12"/>
  <c r="I28" i="12"/>
  <c r="I24" i="12"/>
  <c r="I20" i="12"/>
  <c r="I16" i="12"/>
  <c r="I12" i="12"/>
  <c r="I57" i="12"/>
  <c r="I53" i="12"/>
  <c r="I49" i="12"/>
  <c r="I45" i="12"/>
  <c r="I41" i="12"/>
  <c r="I37" i="12"/>
  <c r="I33" i="12"/>
  <c r="I29" i="12"/>
  <c r="I25" i="12"/>
  <c r="I21" i="12"/>
  <c r="I17" i="12"/>
  <c r="I13" i="12"/>
  <c r="M251" i="12"/>
  <c r="M249" i="12"/>
  <c r="M248" i="12"/>
  <c r="M247" i="12"/>
  <c r="M246" i="12"/>
  <c r="M242" i="12"/>
  <c r="M245" i="12"/>
  <c r="M243" i="12"/>
  <c r="M244" i="12"/>
  <c r="M240" i="12"/>
  <c r="M238" i="12"/>
  <c r="M250" i="12"/>
  <c r="M241" i="12"/>
  <c r="M239" i="12"/>
  <c r="M237" i="12"/>
  <c r="M233" i="12"/>
  <c r="M234" i="12"/>
  <c r="M235" i="12"/>
  <c r="M236" i="12"/>
  <c r="M232" i="12"/>
  <c r="M230" i="12"/>
  <c r="M226" i="12"/>
  <c r="M227" i="12"/>
  <c r="M228" i="12"/>
  <c r="M231" i="12"/>
  <c r="M229" i="12"/>
  <c r="M225" i="12"/>
  <c r="M224" i="12"/>
  <c r="M220" i="12"/>
  <c r="M221" i="12"/>
  <c r="M222" i="12"/>
  <c r="M223" i="12"/>
  <c r="M219" i="12"/>
  <c r="M217" i="12"/>
  <c r="M213" i="12"/>
  <c r="M209" i="12"/>
  <c r="M218" i="12"/>
  <c r="M214" i="12"/>
  <c r="M210" i="12"/>
  <c r="M206" i="12"/>
  <c r="M215" i="12"/>
  <c r="M211" i="12"/>
  <c r="M207" i="12"/>
  <c r="M216" i="12"/>
  <c r="M212" i="12"/>
  <c r="M208" i="12"/>
  <c r="M202" i="12"/>
  <c r="M198" i="12"/>
  <c r="M194" i="12"/>
  <c r="M203" i="12"/>
  <c r="M199" i="12"/>
  <c r="M195" i="12"/>
  <c r="M204" i="12"/>
  <c r="M200" i="12"/>
  <c r="M196" i="12"/>
  <c r="M205" i="12"/>
  <c r="M201" i="12"/>
  <c r="M197" i="12"/>
  <c r="M193" i="12"/>
  <c r="M191" i="12"/>
  <c r="M187" i="12"/>
  <c r="M183" i="12"/>
  <c r="M192" i="12"/>
  <c r="M188" i="12"/>
  <c r="M184" i="12"/>
  <c r="M180" i="12"/>
  <c r="M189" i="12"/>
  <c r="M185" i="12"/>
  <c r="M181" i="12"/>
  <c r="M190" i="12"/>
  <c r="M186" i="12"/>
  <c r="M182" i="12"/>
  <c r="M176" i="12"/>
  <c r="M172" i="12"/>
  <c r="M168" i="12"/>
  <c r="M177" i="12"/>
  <c r="M173" i="12"/>
  <c r="M169" i="12"/>
  <c r="M178" i="12"/>
  <c r="M174" i="12"/>
  <c r="M170" i="12"/>
  <c r="M179" i="12"/>
  <c r="M175" i="12"/>
  <c r="M171" i="12"/>
  <c r="M167" i="12"/>
  <c r="M166" i="12"/>
  <c r="M162" i="12"/>
  <c r="M158" i="12"/>
  <c r="M154" i="12"/>
  <c r="M150" i="12"/>
  <c r="M146" i="12"/>
  <c r="M142" i="12"/>
  <c r="M163" i="12"/>
  <c r="M159" i="12"/>
  <c r="M155" i="12"/>
  <c r="M151" i="12"/>
  <c r="M147" i="12"/>
  <c r="M143" i="12"/>
  <c r="M164" i="12"/>
  <c r="M160" i="12"/>
  <c r="M156" i="12"/>
  <c r="M152" i="12"/>
  <c r="M148" i="12"/>
  <c r="M144" i="12"/>
  <c r="M165" i="12"/>
  <c r="M161" i="12"/>
  <c r="M157" i="12"/>
  <c r="M153" i="12"/>
  <c r="M149" i="12"/>
  <c r="M145" i="12"/>
  <c r="M141" i="12"/>
  <c r="M137" i="12"/>
  <c r="M133" i="12"/>
  <c r="M129" i="12"/>
  <c r="M125" i="12"/>
  <c r="M121" i="12"/>
  <c r="M138" i="12"/>
  <c r="M134" i="12"/>
  <c r="M130" i="12"/>
  <c r="M126" i="12"/>
  <c r="M122" i="12"/>
  <c r="M139" i="12"/>
  <c r="M135" i="12"/>
  <c r="M131" i="12"/>
  <c r="M127" i="12"/>
  <c r="M123" i="12"/>
  <c r="M119" i="12"/>
  <c r="M140" i="12"/>
  <c r="M136" i="12"/>
  <c r="M132" i="12"/>
  <c r="M128" i="12"/>
  <c r="M124" i="12"/>
  <c r="M120" i="12"/>
  <c r="M116" i="12"/>
  <c r="M114" i="12"/>
  <c r="M110" i="12"/>
  <c r="M106" i="12"/>
  <c r="M102" i="12"/>
  <c r="M98" i="12"/>
  <c r="M94" i="12"/>
  <c r="M118" i="12"/>
  <c r="M115" i="12"/>
  <c r="M111" i="12"/>
  <c r="M107" i="12"/>
  <c r="M103" i="12"/>
  <c r="M99" i="12"/>
  <c r="M95" i="12"/>
  <c r="M117" i="12"/>
  <c r="M112" i="12"/>
  <c r="M108" i="12"/>
  <c r="M104" i="12"/>
  <c r="M100" i="12"/>
  <c r="M96" i="12"/>
  <c r="M92" i="12"/>
  <c r="M88" i="12"/>
  <c r="M113" i="12"/>
  <c r="M109" i="12"/>
  <c r="M105" i="12"/>
  <c r="M101" i="12"/>
  <c r="M97" i="12"/>
  <c r="M93" i="12"/>
  <c r="M89" i="12"/>
  <c r="M91" i="12"/>
  <c r="M85" i="12"/>
  <c r="M81" i="12"/>
  <c r="M77" i="12"/>
  <c r="M73" i="12"/>
  <c r="M69" i="12"/>
  <c r="M65" i="12"/>
  <c r="M90" i="12"/>
  <c r="M86" i="12"/>
  <c r="M82" i="12"/>
  <c r="M78" i="12"/>
  <c r="M74" i="12"/>
  <c r="M70" i="12"/>
  <c r="M66" i="12"/>
  <c r="M62" i="12"/>
  <c r="M87" i="12"/>
  <c r="M83" i="12"/>
  <c r="M79" i="12"/>
  <c r="M75" i="12"/>
  <c r="M71" i="12"/>
  <c r="M67" i="12"/>
  <c r="M84" i="12"/>
  <c r="M80" i="12"/>
  <c r="M76" i="12"/>
  <c r="M72" i="12"/>
  <c r="M68" i="12"/>
  <c r="M64" i="12"/>
  <c r="M58" i="12"/>
  <c r="M54" i="12"/>
  <c r="M50" i="12"/>
  <c r="M46" i="12"/>
  <c r="M42" i="12"/>
  <c r="M38" i="12"/>
  <c r="M34" i="12"/>
  <c r="M30" i="12"/>
  <c r="M26" i="12"/>
  <c r="M22" i="12"/>
  <c r="M18" i="12"/>
  <c r="M59" i="12"/>
  <c r="M55" i="12"/>
  <c r="M51" i="12"/>
  <c r="M47" i="12"/>
  <c r="M43" i="12"/>
  <c r="M39" i="12"/>
  <c r="M35" i="12"/>
  <c r="M31" i="12"/>
  <c r="M27" i="12"/>
  <c r="M23" i="12"/>
  <c r="M19" i="12"/>
  <c r="M15" i="12"/>
  <c r="M63" i="12"/>
  <c r="M61" i="12"/>
  <c r="M60" i="12"/>
  <c r="M56" i="12"/>
  <c r="M52" i="12"/>
  <c r="M48" i="12"/>
  <c r="M44" i="12"/>
  <c r="M40" i="12"/>
  <c r="M36" i="12"/>
  <c r="M32" i="12"/>
  <c r="M28" i="12"/>
  <c r="M24" i="12"/>
  <c r="M20" i="12"/>
  <c r="M16" i="12"/>
  <c r="M12" i="12"/>
  <c r="M57" i="12"/>
  <c r="M53" i="12"/>
  <c r="M49" i="12"/>
  <c r="M45" i="12"/>
  <c r="M41" i="12"/>
  <c r="M37" i="12"/>
  <c r="M33" i="12"/>
  <c r="M29" i="12"/>
  <c r="M25" i="12"/>
  <c r="M21" i="12"/>
  <c r="M17" i="12"/>
  <c r="M13" i="12"/>
  <c r="Q251" i="12"/>
  <c r="Q250" i="12"/>
  <c r="Q248" i="12"/>
  <c r="Q249" i="12"/>
  <c r="Q246" i="12"/>
  <c r="Q247" i="12"/>
  <c r="Q242" i="12"/>
  <c r="Q243" i="12"/>
  <c r="Q244" i="12"/>
  <c r="Q240" i="12"/>
  <c r="Q238" i="12"/>
  <c r="Q239" i="12"/>
  <c r="Q245" i="12"/>
  <c r="Q241" i="12"/>
  <c r="Q233" i="12"/>
  <c r="Q237" i="12"/>
  <c r="Q234" i="12"/>
  <c r="Q235" i="12"/>
  <c r="Q231" i="12"/>
  <c r="Q236" i="12"/>
  <c r="Q232" i="12"/>
  <c r="Q230" i="12"/>
  <c r="Q226" i="12"/>
  <c r="Q227" i="12"/>
  <c r="Q228" i="12"/>
  <c r="Q229" i="12"/>
  <c r="Q225" i="12"/>
  <c r="Q224" i="12"/>
  <c r="Q220" i="12"/>
  <c r="Q221" i="12"/>
  <c r="Q222" i="12"/>
  <c r="Q223" i="12"/>
  <c r="Q219" i="12"/>
  <c r="Q217" i="12"/>
  <c r="Q213" i="12"/>
  <c r="Q209" i="12"/>
  <c r="Q218" i="12"/>
  <c r="Q214" i="12"/>
  <c r="Q210" i="12"/>
  <c r="Q206" i="12"/>
  <c r="Q215" i="12"/>
  <c r="Q211" i="12"/>
  <c r="Q207" i="12"/>
  <c r="Q216" i="12"/>
  <c r="Q212" i="12"/>
  <c r="Q208" i="12"/>
  <c r="Q202" i="12"/>
  <c r="Q198" i="12"/>
  <c r="Q194" i="12"/>
  <c r="Q203" i="12"/>
  <c r="Q199" i="12"/>
  <c r="Q195" i="12"/>
  <c r="Q204" i="12"/>
  <c r="Q200" i="12"/>
  <c r="Q196" i="12"/>
  <c r="Q205" i="12"/>
  <c r="Q201" i="12"/>
  <c r="Q197" i="12"/>
  <c r="Q193" i="12"/>
  <c r="Q191" i="12"/>
  <c r="Q187" i="12"/>
  <c r="Q183" i="12"/>
  <c r="Q192" i="12"/>
  <c r="Q188" i="12"/>
  <c r="Q184" i="12"/>
  <c r="Q180" i="12"/>
  <c r="Q189" i="12"/>
  <c r="Q185" i="12"/>
  <c r="Q181" i="12"/>
  <c r="Q190" i="12"/>
  <c r="Q186" i="12"/>
  <c r="Q182" i="12"/>
  <c r="Q176" i="12"/>
  <c r="Q172" i="12"/>
  <c r="Q168" i="12"/>
  <c r="Q177" i="12"/>
  <c r="Q173" i="12"/>
  <c r="Q169" i="12"/>
  <c r="Q178" i="12"/>
  <c r="Q174" i="12"/>
  <c r="Q170" i="12"/>
  <c r="Q179" i="12"/>
  <c r="Q175" i="12"/>
  <c r="Q171" i="12"/>
  <c r="Q167" i="12"/>
  <c r="Q166" i="12"/>
  <c r="Q162" i="12"/>
  <c r="Q158" i="12"/>
  <c r="Q154" i="12"/>
  <c r="Q150" i="12"/>
  <c r="Q146" i="12"/>
  <c r="Q142" i="12"/>
  <c r="Q163" i="12"/>
  <c r="Q159" i="12"/>
  <c r="Q155" i="12"/>
  <c r="Q151" i="12"/>
  <c r="Q147" i="12"/>
  <c r="Q143" i="12"/>
  <c r="Q164" i="12"/>
  <c r="Q160" i="12"/>
  <c r="Q156" i="12"/>
  <c r="Q152" i="12"/>
  <c r="Q148" i="12"/>
  <c r="Q144" i="12"/>
  <c r="Q165" i="12"/>
  <c r="Q161" i="12"/>
  <c r="Q157" i="12"/>
  <c r="Q153" i="12"/>
  <c r="Q149" i="12"/>
  <c r="Q145" i="12"/>
  <c r="Q141" i="12"/>
  <c r="Q137" i="12"/>
  <c r="Q133" i="12"/>
  <c r="Q129" i="12"/>
  <c r="Q125" i="12"/>
  <c r="Q121" i="12"/>
  <c r="Q138" i="12"/>
  <c r="Q134" i="12"/>
  <c r="Q130" i="12"/>
  <c r="Q126" i="12"/>
  <c r="Q122" i="12"/>
  <c r="Q139" i="12"/>
  <c r="Q135" i="12"/>
  <c r="Q131" i="12"/>
  <c r="Q127" i="12"/>
  <c r="Q123" i="12"/>
  <c r="Q119" i="12"/>
  <c r="Q140" i="12"/>
  <c r="Q136" i="12"/>
  <c r="Q132" i="12"/>
  <c r="Q128" i="12"/>
  <c r="Q124" i="12"/>
  <c r="Q120" i="12"/>
  <c r="Q116" i="12"/>
  <c r="Q117" i="12"/>
  <c r="Q114" i="12"/>
  <c r="Q110" i="12"/>
  <c r="Q106" i="12"/>
  <c r="Q102" i="12"/>
  <c r="Q98" i="12"/>
  <c r="Q94" i="12"/>
  <c r="Q115" i="12"/>
  <c r="Q111" i="12"/>
  <c r="Q107" i="12"/>
  <c r="Q103" i="12"/>
  <c r="Q99" i="12"/>
  <c r="Q95" i="12"/>
  <c r="Q112" i="12"/>
  <c r="Q108" i="12"/>
  <c r="Q104" i="12"/>
  <c r="Q100" i="12"/>
  <c r="Q96" i="12"/>
  <c r="Q92" i="12"/>
  <c r="Q88" i="12"/>
  <c r="Q118" i="12"/>
  <c r="Q113" i="12"/>
  <c r="Q109" i="12"/>
  <c r="Q105" i="12"/>
  <c r="Q101" i="12"/>
  <c r="Q97" i="12"/>
  <c r="Q93" i="12"/>
  <c r="Q89" i="12"/>
  <c r="Q85" i="12"/>
  <c r="Q81" i="12"/>
  <c r="Q77" i="12"/>
  <c r="Q73" i="12"/>
  <c r="Q69" i="12"/>
  <c r="Q65" i="12"/>
  <c r="Q86" i="12"/>
  <c r="Q82" i="12"/>
  <c r="Q78" i="12"/>
  <c r="Q74" i="12"/>
  <c r="Q70" i="12"/>
  <c r="Q66" i="12"/>
  <c r="Q62" i="12"/>
  <c r="Q91" i="12"/>
  <c r="Q87" i="12"/>
  <c r="Q83" i="12"/>
  <c r="Q79" i="12"/>
  <c r="Q75" i="12"/>
  <c r="Q71" i="12"/>
  <c r="Q67" i="12"/>
  <c r="Q90" i="12"/>
  <c r="Q84" i="12"/>
  <c r="Q80" i="12"/>
  <c r="Q76" i="12"/>
  <c r="Q72" i="12"/>
  <c r="Q68" i="12"/>
  <c r="Q64" i="12"/>
  <c r="Q63" i="12"/>
  <c r="Q61" i="12"/>
  <c r="Q58" i="12"/>
  <c r="Q54" i="12"/>
  <c r="Q50" i="12"/>
  <c r="Q46" i="12"/>
  <c r="Q42" i="12"/>
  <c r="Q38" i="12"/>
  <c r="Q34" i="12"/>
  <c r="Q30" i="12"/>
  <c r="Q26" i="12"/>
  <c r="Q22" i="12"/>
  <c r="Q18" i="12"/>
  <c r="Q59" i="12"/>
  <c r="Q55" i="12"/>
  <c r="Q51" i="12"/>
  <c r="Q47" i="12"/>
  <c r="Q43" i="12"/>
  <c r="Q39" i="12"/>
  <c r="Q35" i="12"/>
  <c r="Q31" i="12"/>
  <c r="Q27" i="12"/>
  <c r="Q23" i="12"/>
  <c r="Q19" i="12"/>
  <c r="Q15" i="12"/>
  <c r="Q60" i="12"/>
  <c r="Q56" i="12"/>
  <c r="Q52" i="12"/>
  <c r="Q48" i="12"/>
  <c r="Q44" i="12"/>
  <c r="Q40" i="12"/>
  <c r="Q36" i="12"/>
  <c r="Q32" i="12"/>
  <c r="Q28" i="12"/>
  <c r="Q24" i="12"/>
  <c r="Q20" i="12"/>
  <c r="Q16" i="12"/>
  <c r="Q12" i="12"/>
  <c r="Q57" i="12"/>
  <c r="Q53" i="12"/>
  <c r="Q49" i="12"/>
  <c r="Q45" i="12"/>
  <c r="Q41" i="12"/>
  <c r="Q37" i="12"/>
  <c r="Q33" i="12"/>
  <c r="Q29" i="12"/>
  <c r="Q25" i="12"/>
  <c r="Q21" i="12"/>
  <c r="Q17" i="12"/>
  <c r="Q13" i="12"/>
  <c r="U251" i="12"/>
  <c r="U249" i="12"/>
  <c r="U247" i="12"/>
  <c r="U248" i="12"/>
  <c r="U246" i="12"/>
  <c r="U250" i="12"/>
  <c r="U242" i="12"/>
  <c r="U245" i="12"/>
  <c r="U243" i="12"/>
  <c r="U244" i="12"/>
  <c r="U240" i="12"/>
  <c r="U238" i="12"/>
  <c r="U241" i="12"/>
  <c r="U239" i="12"/>
  <c r="U233" i="12"/>
  <c r="U234" i="12"/>
  <c r="U237" i="12"/>
  <c r="U235" i="12"/>
  <c r="U231" i="12"/>
  <c r="U236" i="12"/>
  <c r="U232" i="12"/>
  <c r="U230" i="12"/>
  <c r="U226" i="12"/>
  <c r="U227" i="12"/>
  <c r="U228" i="12"/>
  <c r="U229" i="12"/>
  <c r="U225" i="12"/>
  <c r="U224" i="12"/>
  <c r="U220" i="12"/>
  <c r="U221" i="12"/>
  <c r="U222" i="12"/>
  <c r="U223" i="12"/>
  <c r="U219" i="12"/>
  <c r="U217" i="12"/>
  <c r="U213" i="12"/>
  <c r="U209" i="12"/>
  <c r="U218" i="12"/>
  <c r="U214" i="12"/>
  <c r="U210" i="12"/>
  <c r="U206" i="12"/>
  <c r="U215" i="12"/>
  <c r="U211" i="12"/>
  <c r="U207" i="12"/>
  <c r="U216" i="12"/>
  <c r="U212" i="12"/>
  <c r="U208" i="12"/>
  <c r="U202" i="12"/>
  <c r="U198" i="12"/>
  <c r="U194" i="12"/>
  <c r="U203" i="12"/>
  <c r="U199" i="12"/>
  <c r="U195" i="12"/>
  <c r="U204" i="12"/>
  <c r="U200" i="12"/>
  <c r="U196" i="12"/>
  <c r="U205" i="12"/>
  <c r="U201" i="12"/>
  <c r="U197" i="12"/>
  <c r="U193" i="12"/>
  <c r="U191" i="12"/>
  <c r="U187" i="12"/>
  <c r="U183" i="12"/>
  <c r="U192" i="12"/>
  <c r="U188" i="12"/>
  <c r="U184" i="12"/>
  <c r="U180" i="12"/>
  <c r="U189" i="12"/>
  <c r="U185" i="12"/>
  <c r="U181" i="12"/>
  <c r="U190" i="12"/>
  <c r="U186" i="12"/>
  <c r="U182" i="12"/>
  <c r="U176" i="12"/>
  <c r="U172" i="12"/>
  <c r="U168" i="12"/>
  <c r="U177" i="12"/>
  <c r="U173" i="12"/>
  <c r="U169" i="12"/>
  <c r="U178" i="12"/>
  <c r="U174" i="12"/>
  <c r="U170" i="12"/>
  <c r="U179" i="12"/>
  <c r="U175" i="12"/>
  <c r="U171" i="12"/>
  <c r="U167" i="12"/>
  <c r="U166" i="12"/>
  <c r="U162" i="12"/>
  <c r="U158" i="12"/>
  <c r="U154" i="12"/>
  <c r="U150" i="12"/>
  <c r="U146" i="12"/>
  <c r="U142" i="12"/>
  <c r="U163" i="12"/>
  <c r="U159" i="12"/>
  <c r="U155" i="12"/>
  <c r="U151" i="12"/>
  <c r="U147" i="12"/>
  <c r="U143" i="12"/>
  <c r="U164" i="12"/>
  <c r="U160" i="12"/>
  <c r="U156" i="12"/>
  <c r="U152" i="12"/>
  <c r="U148" i="12"/>
  <c r="U144" i="12"/>
  <c r="U165" i="12"/>
  <c r="U161" i="12"/>
  <c r="U157" i="12"/>
  <c r="U153" i="12"/>
  <c r="U149" i="12"/>
  <c r="U145" i="12"/>
  <c r="U141" i="12"/>
  <c r="U137" i="12"/>
  <c r="U133" i="12"/>
  <c r="U129" i="12"/>
  <c r="U125" i="12"/>
  <c r="U121" i="12"/>
  <c r="U138" i="12"/>
  <c r="U134" i="12"/>
  <c r="U130" i="12"/>
  <c r="U126" i="12"/>
  <c r="U122" i="12"/>
  <c r="U139" i="12"/>
  <c r="U135" i="12"/>
  <c r="U131" i="12"/>
  <c r="U127" i="12"/>
  <c r="U123" i="12"/>
  <c r="U119" i="12"/>
  <c r="U140" i="12"/>
  <c r="U136" i="12"/>
  <c r="U132" i="12"/>
  <c r="U128" i="12"/>
  <c r="U124" i="12"/>
  <c r="U120" i="12"/>
  <c r="U116" i="12"/>
  <c r="U114" i="12"/>
  <c r="U110" i="12"/>
  <c r="U106" i="12"/>
  <c r="U102" i="12"/>
  <c r="U98" i="12"/>
  <c r="U94" i="12"/>
  <c r="U118" i="12"/>
  <c r="U115" i="12"/>
  <c r="U111" i="12"/>
  <c r="U107" i="12"/>
  <c r="U103" i="12"/>
  <c r="U99" i="12"/>
  <c r="U95" i="12"/>
  <c r="U117" i="12"/>
  <c r="U112" i="12"/>
  <c r="U108" i="12"/>
  <c r="U104" i="12"/>
  <c r="U100" i="12"/>
  <c r="U96" i="12"/>
  <c r="U92" i="12"/>
  <c r="U88" i="12"/>
  <c r="U113" i="12"/>
  <c r="U109" i="12"/>
  <c r="U105" i="12"/>
  <c r="U101" i="12"/>
  <c r="U97" i="12"/>
  <c r="U93" i="12"/>
  <c r="U89" i="12"/>
  <c r="U91" i="12"/>
  <c r="U85" i="12"/>
  <c r="U81" i="12"/>
  <c r="U77" i="12"/>
  <c r="U73" i="12"/>
  <c r="U69" i="12"/>
  <c r="U65" i="12"/>
  <c r="U90" i="12"/>
  <c r="U86" i="12"/>
  <c r="U82" i="12"/>
  <c r="U78" i="12"/>
  <c r="U74" i="12"/>
  <c r="U70" i="12"/>
  <c r="U66" i="12"/>
  <c r="U62" i="12"/>
  <c r="U87" i="12"/>
  <c r="U83" i="12"/>
  <c r="U79" i="12"/>
  <c r="U75" i="12"/>
  <c r="U71" i="12"/>
  <c r="U67" i="12"/>
  <c r="U84" i="12"/>
  <c r="U80" i="12"/>
  <c r="U76" i="12"/>
  <c r="U72" i="12"/>
  <c r="U68" i="12"/>
  <c r="U64" i="12"/>
  <c r="U58" i="12"/>
  <c r="U54" i="12"/>
  <c r="U50" i="12"/>
  <c r="U46" i="12"/>
  <c r="U42" i="12"/>
  <c r="U38" i="12"/>
  <c r="U34" i="12"/>
  <c r="U30" i="12"/>
  <c r="U26" i="12"/>
  <c r="U22" i="12"/>
  <c r="U18" i="12"/>
  <c r="U59" i="12"/>
  <c r="U55" i="12"/>
  <c r="U51" i="12"/>
  <c r="U47" i="12"/>
  <c r="U43" i="12"/>
  <c r="U39" i="12"/>
  <c r="U35" i="12"/>
  <c r="U31" i="12"/>
  <c r="U27" i="12"/>
  <c r="U23" i="12"/>
  <c r="U19" i="12"/>
  <c r="U15" i="12"/>
  <c r="U63" i="12"/>
  <c r="U61" i="12"/>
  <c r="U60" i="12"/>
  <c r="U56" i="12"/>
  <c r="U52" i="12"/>
  <c r="U48" i="12"/>
  <c r="U44" i="12"/>
  <c r="U40" i="12"/>
  <c r="U36" i="12"/>
  <c r="U32" i="12"/>
  <c r="U28" i="12"/>
  <c r="U24" i="12"/>
  <c r="U20" i="12"/>
  <c r="U16" i="12"/>
  <c r="U12" i="12"/>
  <c r="U57" i="12"/>
  <c r="U53" i="12"/>
  <c r="U49" i="12"/>
  <c r="U45" i="12"/>
  <c r="U41" i="12"/>
  <c r="U37" i="12"/>
  <c r="U33" i="12"/>
  <c r="U29" i="12"/>
  <c r="U25" i="12"/>
  <c r="U21" i="12"/>
  <c r="U17" i="12"/>
  <c r="U13" i="12"/>
  <c r="Y251" i="12"/>
  <c r="Y247" i="12"/>
  <c r="Y250" i="12"/>
  <c r="Y248" i="12"/>
  <c r="Y249" i="12"/>
  <c r="Y246" i="12"/>
  <c r="Y242" i="12"/>
  <c r="Y243" i="12"/>
  <c r="Y244" i="12"/>
  <c r="Y240" i="12"/>
  <c r="Y241" i="12"/>
  <c r="Y238" i="12"/>
  <c r="Y245" i="12"/>
  <c r="Y239" i="12"/>
  <c r="Y233" i="12"/>
  <c r="Y234" i="12"/>
  <c r="Y235" i="12"/>
  <c r="Y231" i="12"/>
  <c r="Y237" i="12"/>
  <c r="Y236" i="12"/>
  <c r="Y232" i="12"/>
  <c r="Y230" i="12"/>
  <c r="Y226" i="12"/>
  <c r="Y227" i="12"/>
  <c r="Y228" i="12"/>
  <c r="Y229" i="12"/>
  <c r="Y225" i="12"/>
  <c r="Y224" i="12"/>
  <c r="Y220" i="12"/>
  <c r="Y221" i="12"/>
  <c r="Y222" i="12"/>
  <c r="Y223" i="12"/>
  <c r="Y219" i="12"/>
  <c r="Y217" i="12"/>
  <c r="Y213" i="12"/>
  <c r="Y209" i="12"/>
  <c r="Y218" i="12"/>
  <c r="Y214" i="12"/>
  <c r="Y210" i="12"/>
  <c r="Y206" i="12"/>
  <c r="Y215" i="12"/>
  <c r="Y211" i="12"/>
  <c r="Y207" i="12"/>
  <c r="Y216" i="12"/>
  <c r="Y212" i="12"/>
  <c r="Y208" i="12"/>
  <c r="Y202" i="12"/>
  <c r="Y198" i="12"/>
  <c r="Y194" i="12"/>
  <c r="Y203" i="12"/>
  <c r="Y199" i="12"/>
  <c r="Y195" i="12"/>
  <c r="Y204" i="12"/>
  <c r="Y200" i="12"/>
  <c r="Y196" i="12"/>
  <c r="Y205" i="12"/>
  <c r="Y201" i="12"/>
  <c r="Y197" i="12"/>
  <c r="Y193" i="12"/>
  <c r="Y191" i="12"/>
  <c r="Y187" i="12"/>
  <c r="Y183" i="12"/>
  <c r="Y192" i="12"/>
  <c r="Y188" i="12"/>
  <c r="Y184" i="12"/>
  <c r="Y180" i="12"/>
  <c r="Y189" i="12"/>
  <c r="Y185" i="12"/>
  <c r="Y181" i="12"/>
  <c r="Y190" i="12"/>
  <c r="Y186" i="12"/>
  <c r="Y182" i="12"/>
  <c r="Y176" i="12"/>
  <c r="Y172" i="12"/>
  <c r="Y168" i="12"/>
  <c r="Y177" i="12"/>
  <c r="Y173" i="12"/>
  <c r="Y169" i="12"/>
  <c r="Y178" i="12"/>
  <c r="Y174" i="12"/>
  <c r="Y170" i="12"/>
  <c r="Y179" i="12"/>
  <c r="Y175" i="12"/>
  <c r="Y171" i="12"/>
  <c r="Y167" i="12"/>
  <c r="Y166" i="12"/>
  <c r="Y162" i="12"/>
  <c r="Y158" i="12"/>
  <c r="Y154" i="12"/>
  <c r="Y150" i="12"/>
  <c r="Y146" i="12"/>
  <c r="Y142" i="12"/>
  <c r="Y163" i="12"/>
  <c r="Y159" i="12"/>
  <c r="Y155" i="12"/>
  <c r="Y151" i="12"/>
  <c r="Y147" i="12"/>
  <c r="Y143" i="12"/>
  <c r="Y164" i="12"/>
  <c r="Y160" i="12"/>
  <c r="Y156" i="12"/>
  <c r="Y152" i="12"/>
  <c r="Y148" i="12"/>
  <c r="Y144" i="12"/>
  <c r="Y165" i="12"/>
  <c r="Y161" i="12"/>
  <c r="Y157" i="12"/>
  <c r="Y153" i="12"/>
  <c r="Y149" i="12"/>
  <c r="Y145" i="12"/>
  <c r="Y141" i="12"/>
  <c r="Y137" i="12"/>
  <c r="Y133" i="12"/>
  <c r="Y129" i="12"/>
  <c r="Y125" i="12"/>
  <c r="Y121" i="12"/>
  <c r="Y138" i="12"/>
  <c r="Y134" i="12"/>
  <c r="Y130" i="12"/>
  <c r="Y126" i="12"/>
  <c r="Y122" i="12"/>
  <c r="Y139" i="12"/>
  <c r="Y135" i="12"/>
  <c r="Y131" i="12"/>
  <c r="Y127" i="12"/>
  <c r="Y123" i="12"/>
  <c r="Y119" i="12"/>
  <c r="Y140" i="12"/>
  <c r="Y136" i="12"/>
  <c r="Y132" i="12"/>
  <c r="Y128" i="12"/>
  <c r="Y124" i="12"/>
  <c r="Y120" i="12"/>
  <c r="Y116" i="12"/>
  <c r="Y117" i="12"/>
  <c r="Y114" i="12"/>
  <c r="Y110" i="12"/>
  <c r="Y106" i="12"/>
  <c r="Y102" i="12"/>
  <c r="Y98" i="12"/>
  <c r="Y94" i="12"/>
  <c r="Y115" i="12"/>
  <c r="Y111" i="12"/>
  <c r="Y107" i="12"/>
  <c r="Y103" i="12"/>
  <c r="Y99" i="12"/>
  <c r="Y95" i="12"/>
  <c r="Y112" i="12"/>
  <c r="Y108" i="12"/>
  <c r="Y104" i="12"/>
  <c r="Y100" i="12"/>
  <c r="Y96" i="12"/>
  <c r="Y92" i="12"/>
  <c r="Y88" i="12"/>
  <c r="Y118" i="12"/>
  <c r="Y113" i="12"/>
  <c r="Y109" i="12"/>
  <c r="Y105" i="12"/>
  <c r="Y101" i="12"/>
  <c r="Y97" i="12"/>
  <c r="Y93" i="12"/>
  <c r="Y89" i="12"/>
  <c r="Y85" i="12"/>
  <c r="Y81" i="12"/>
  <c r="Y77" i="12"/>
  <c r="Y73" i="12"/>
  <c r="Y69" i="12"/>
  <c r="Y65" i="12"/>
  <c r="Y86" i="12"/>
  <c r="Y82" i="12"/>
  <c r="Y78" i="12"/>
  <c r="Y74" i="12"/>
  <c r="Y70" i="12"/>
  <c r="Y66" i="12"/>
  <c r="Y62" i="12"/>
  <c r="Y91" i="12"/>
  <c r="Y87" i="12"/>
  <c r="Y83" i="12"/>
  <c r="Y79" i="12"/>
  <c r="Y75" i="12"/>
  <c r="Y71" i="12"/>
  <c r="Y67" i="12"/>
  <c r="Y90" i="12"/>
  <c r="Y84" i="12"/>
  <c r="Y80" i="12"/>
  <c r="Y76" i="12"/>
  <c r="Y72" i="12"/>
  <c r="Y68" i="12"/>
  <c r="Y64" i="12"/>
  <c r="Y63" i="12"/>
  <c r="Y61" i="12"/>
  <c r="Y58" i="12"/>
  <c r="Y54" i="12"/>
  <c r="Y50" i="12"/>
  <c r="Y46" i="12"/>
  <c r="Y42" i="12"/>
  <c r="Y38" i="12"/>
  <c r="Y34" i="12"/>
  <c r="Y30" i="12"/>
  <c r="Y26" i="12"/>
  <c r="Y22" i="12"/>
  <c r="Y18" i="12"/>
  <c r="Y59" i="12"/>
  <c r="Y55" i="12"/>
  <c r="Y51" i="12"/>
  <c r="Y47" i="12"/>
  <c r="Y43" i="12"/>
  <c r="Y39" i="12"/>
  <c r="Y35" i="12"/>
  <c r="Y31" i="12"/>
  <c r="Y27" i="12"/>
  <c r="Y23" i="12"/>
  <c r="Y19" i="12"/>
  <c r="Y15" i="12"/>
  <c r="Y60" i="12"/>
  <c r="Y56" i="12"/>
  <c r="Y52" i="12"/>
  <c r="Y48" i="12"/>
  <c r="Y44" i="12"/>
  <c r="Y40" i="12"/>
  <c r="Y36" i="12"/>
  <c r="Y32" i="12"/>
  <c r="Y28" i="12"/>
  <c r="Y24" i="12"/>
  <c r="Y20" i="12"/>
  <c r="Y16" i="12"/>
  <c r="Y12" i="12"/>
  <c r="Y57" i="12"/>
  <c r="Y53" i="12"/>
  <c r="Y49" i="12"/>
  <c r="Y45" i="12"/>
  <c r="Y41" i="12"/>
  <c r="Y37" i="12"/>
  <c r="Y33" i="12"/>
  <c r="Y29" i="12"/>
  <c r="Y25" i="12"/>
  <c r="Y21" i="12"/>
  <c r="Y17" i="12"/>
  <c r="Y13" i="12"/>
  <c r="AC251" i="12"/>
  <c r="AC249" i="12"/>
  <c r="AC247" i="12"/>
  <c r="AC248" i="12"/>
  <c r="AC250" i="12"/>
  <c r="AC246" i="12"/>
  <c r="AC242" i="12"/>
  <c r="AC245" i="12"/>
  <c r="AC243" i="12"/>
  <c r="AC244" i="12"/>
  <c r="AC240" i="12"/>
  <c r="AC238" i="12"/>
  <c r="AC241" i="12"/>
  <c r="AC239" i="12"/>
  <c r="AC237" i="12"/>
  <c r="AC233" i="12"/>
  <c r="AC234" i="12"/>
  <c r="AC235" i="12"/>
  <c r="AC231" i="12"/>
  <c r="AC236" i="12"/>
  <c r="AC232" i="12"/>
  <c r="AC230" i="12"/>
  <c r="AC226" i="12"/>
  <c r="AC227" i="12"/>
  <c r="AC228" i="12"/>
  <c r="AC229" i="12"/>
  <c r="AC225" i="12"/>
  <c r="AC224" i="12"/>
  <c r="AC220" i="12"/>
  <c r="AC221" i="12"/>
  <c r="AC222" i="12"/>
  <c r="AC223" i="12"/>
  <c r="AC219" i="12"/>
  <c r="AC217" i="12"/>
  <c r="AC213" i="12"/>
  <c r="AC209" i="12"/>
  <c r="AC218" i="12"/>
  <c r="AC214" i="12"/>
  <c r="AC210" i="12"/>
  <c r="AC206" i="12"/>
  <c r="AC215" i="12"/>
  <c r="AC211" i="12"/>
  <c r="AC207" i="12"/>
  <c r="AC216" i="12"/>
  <c r="AC212" i="12"/>
  <c r="AC208" i="12"/>
  <c r="AC202" i="12"/>
  <c r="AC198" i="12"/>
  <c r="AC194" i="12"/>
  <c r="AC203" i="12"/>
  <c r="AC199" i="12"/>
  <c r="AC195" i="12"/>
  <c r="AC204" i="12"/>
  <c r="AC200" i="12"/>
  <c r="AC196" i="12"/>
  <c r="AC205" i="12"/>
  <c r="AC201" i="12"/>
  <c r="AC197" i="12"/>
  <c r="AC193" i="12"/>
  <c r="AC191" i="12"/>
  <c r="AC187" i="12"/>
  <c r="AC183" i="12"/>
  <c r="AC192" i="12"/>
  <c r="AC188" i="12"/>
  <c r="AC184" i="12"/>
  <c r="AC180" i="12"/>
  <c r="AC189" i="12"/>
  <c r="AC185" i="12"/>
  <c r="AC181" i="12"/>
  <c r="AC190" i="12"/>
  <c r="AC186" i="12"/>
  <c r="AC182" i="12"/>
  <c r="AC176" i="12"/>
  <c r="AC172" i="12"/>
  <c r="AC168" i="12"/>
  <c r="AC177" i="12"/>
  <c r="AC173" i="12"/>
  <c r="AC169" i="12"/>
  <c r="AC178" i="12"/>
  <c r="AC174" i="12"/>
  <c r="AC170" i="12"/>
  <c r="AC179" i="12"/>
  <c r="AC175" i="12"/>
  <c r="AC171" i="12"/>
  <c r="AC167" i="12"/>
  <c r="AC166" i="12"/>
  <c r="AC162" i="12"/>
  <c r="AC158" i="12"/>
  <c r="AC154" i="12"/>
  <c r="AC150" i="12"/>
  <c r="AC146" i="12"/>
  <c r="AC142" i="12"/>
  <c r="AC163" i="12"/>
  <c r="AC159" i="12"/>
  <c r="AC155" i="12"/>
  <c r="AC151" i="12"/>
  <c r="AC147" i="12"/>
  <c r="AC143" i="12"/>
  <c r="AC164" i="12"/>
  <c r="AC160" i="12"/>
  <c r="AC156" i="12"/>
  <c r="AC152" i="12"/>
  <c r="AC148" i="12"/>
  <c r="AC144" i="12"/>
  <c r="AC165" i="12"/>
  <c r="AC161" i="12"/>
  <c r="AC157" i="12"/>
  <c r="AC153" i="12"/>
  <c r="AC149" i="12"/>
  <c r="AC145" i="12"/>
  <c r="AC141" i="12"/>
  <c r="AC137" i="12"/>
  <c r="AC133" i="12"/>
  <c r="AC129" i="12"/>
  <c r="AC125" i="12"/>
  <c r="AC121" i="12"/>
  <c r="AC138" i="12"/>
  <c r="AC134" i="12"/>
  <c r="AC130" i="12"/>
  <c r="AC126" i="12"/>
  <c r="AC122" i="12"/>
  <c r="AC139" i="12"/>
  <c r="AC135" i="12"/>
  <c r="AC131" i="12"/>
  <c r="AC127" i="12"/>
  <c r="AC123" i="12"/>
  <c r="AC119" i="12"/>
  <c r="AC140" i="12"/>
  <c r="AC136" i="12"/>
  <c r="AC132" i="12"/>
  <c r="AC128" i="12"/>
  <c r="AC124" i="12"/>
  <c r="AC120" i="12"/>
  <c r="AC116" i="12"/>
  <c r="AC114" i="12"/>
  <c r="AC110" i="12"/>
  <c r="AC106" i="12"/>
  <c r="AC102" i="12"/>
  <c r="AC98" i="12"/>
  <c r="AC94" i="12"/>
  <c r="AC118" i="12"/>
  <c r="AC115" i="12"/>
  <c r="AC111" i="12"/>
  <c r="AC107" i="12"/>
  <c r="AC103" i="12"/>
  <c r="AC99" i="12"/>
  <c r="AC95" i="12"/>
  <c r="AC117" i="12"/>
  <c r="AC112" i="12"/>
  <c r="AC108" i="12"/>
  <c r="AC104" i="12"/>
  <c r="AC100" i="12"/>
  <c r="AC96" i="12"/>
  <c r="AC92" i="12"/>
  <c r="AC88" i="12"/>
  <c r="AC113" i="12"/>
  <c r="AC109" i="12"/>
  <c r="AC105" i="12"/>
  <c r="AC101" i="12"/>
  <c r="AC97" i="12"/>
  <c r="AC93" i="12"/>
  <c r="AC89" i="12"/>
  <c r="AC91" i="12"/>
  <c r="AC85" i="12"/>
  <c r="AC81" i="12"/>
  <c r="AC77" i="12"/>
  <c r="AC73" i="12"/>
  <c r="AC69" i="12"/>
  <c r="AC65" i="12"/>
  <c r="AC90" i="12"/>
  <c r="AC86" i="12"/>
  <c r="AC82" i="12"/>
  <c r="AC78" i="12"/>
  <c r="AC74" i="12"/>
  <c r="AC70" i="12"/>
  <c r="AC66" i="12"/>
  <c r="AC62" i="12"/>
  <c r="AC87" i="12"/>
  <c r="AC83" i="12"/>
  <c r="AC79" i="12"/>
  <c r="AC75" i="12"/>
  <c r="AC71" i="12"/>
  <c r="AC67" i="12"/>
  <c r="AC84" i="12"/>
  <c r="AC80" i="12"/>
  <c r="AC76" i="12"/>
  <c r="AC72" i="12"/>
  <c r="AC68" i="12"/>
  <c r="AC64" i="12"/>
  <c r="AC58" i="12"/>
  <c r="AC54" i="12"/>
  <c r="AC50" i="12"/>
  <c r="AC46" i="12"/>
  <c r="AC42" i="12"/>
  <c r="AC38" i="12"/>
  <c r="AC34" i="12"/>
  <c r="AC30" i="12"/>
  <c r="AC26" i="12"/>
  <c r="AC22" i="12"/>
  <c r="AC18" i="12"/>
  <c r="AC59" i="12"/>
  <c r="AC55" i="12"/>
  <c r="AC51" i="12"/>
  <c r="AC47" i="12"/>
  <c r="AC43" i="12"/>
  <c r="AC39" i="12"/>
  <c r="AC35" i="12"/>
  <c r="AC31" i="12"/>
  <c r="AC27" i="12"/>
  <c r="AC23" i="12"/>
  <c r="AC19" i="12"/>
  <c r="AC15" i="12"/>
  <c r="AC63" i="12"/>
  <c r="AC61" i="12"/>
  <c r="AC60" i="12"/>
  <c r="AC56" i="12"/>
  <c r="AC52" i="12"/>
  <c r="AC48" i="12"/>
  <c r="AC44" i="12"/>
  <c r="AC40" i="12"/>
  <c r="AC36" i="12"/>
  <c r="AC32" i="12"/>
  <c r="AC28" i="12"/>
  <c r="AC24" i="12"/>
  <c r="AC20" i="12"/>
  <c r="AC16" i="12"/>
  <c r="AC12" i="12"/>
  <c r="AC57" i="12"/>
  <c r="AC53" i="12"/>
  <c r="AC49" i="12"/>
  <c r="AC45" i="12"/>
  <c r="AC41" i="12"/>
  <c r="AC37" i="12"/>
  <c r="AC33" i="12"/>
  <c r="AC29" i="12"/>
  <c r="AC25" i="12"/>
  <c r="AC21" i="12"/>
  <c r="AC17" i="12"/>
  <c r="AC13" i="12"/>
  <c r="AG251" i="12"/>
  <c r="AG247" i="12"/>
  <c r="AG250" i="12"/>
  <c r="AG248" i="12"/>
  <c r="AG249" i="12"/>
  <c r="AG242" i="12"/>
  <c r="AG243" i="12"/>
  <c r="AG246" i="12"/>
  <c r="AG244" i="12"/>
  <c r="AG240" i="12"/>
  <c r="AG245" i="12"/>
  <c r="AG238" i="12"/>
  <c r="AG239" i="12"/>
  <c r="AG241" i="12"/>
  <c r="AG233" i="12"/>
  <c r="AG237" i="12"/>
  <c r="AG234" i="12"/>
  <c r="AG235" i="12"/>
  <c r="AG231" i="12"/>
  <c r="AG236" i="12"/>
  <c r="AG232" i="12"/>
  <c r="AG230" i="12"/>
  <c r="AG226" i="12"/>
  <c r="AG227" i="12"/>
  <c r="AG228" i="12"/>
  <c r="AG229" i="12"/>
  <c r="AG225" i="12"/>
  <c r="AG224" i="12"/>
  <c r="AG220" i="12"/>
  <c r="AG221" i="12"/>
  <c r="AG222" i="12"/>
  <c r="AG223" i="12"/>
  <c r="AG219" i="12"/>
  <c r="AG217" i="12"/>
  <c r="AG213" i="12"/>
  <c r="AG209" i="12"/>
  <c r="AG214" i="12"/>
  <c r="AG210" i="12"/>
  <c r="AG206" i="12"/>
  <c r="AG218" i="12"/>
  <c r="AG215" i="12"/>
  <c r="AG211" i="12"/>
  <c r="AG207" i="12"/>
  <c r="AG216" i="12"/>
  <c r="AG212" i="12"/>
  <c r="AG208" i="12"/>
  <c r="AG202" i="12"/>
  <c r="AG198" i="12"/>
  <c r="AG194" i="12"/>
  <c r="AG203" i="12"/>
  <c r="AG199" i="12"/>
  <c r="AG195" i="12"/>
  <c r="AG204" i="12"/>
  <c r="AG200" i="12"/>
  <c r="AG196" i="12"/>
  <c r="AG205" i="12"/>
  <c r="AG201" i="12"/>
  <c r="AG197" i="12"/>
  <c r="AG193" i="12"/>
  <c r="AG191" i="12"/>
  <c r="AG187" i="12"/>
  <c r="AG183" i="12"/>
  <c r="AG192" i="12"/>
  <c r="AG188" i="12"/>
  <c r="AG184" i="12"/>
  <c r="AG180" i="12"/>
  <c r="AG189" i="12"/>
  <c r="AG185" i="12"/>
  <c r="AG181" i="12"/>
  <c r="AG190" i="12"/>
  <c r="AG186" i="12"/>
  <c r="AG182" i="12"/>
  <c r="AG176" i="12"/>
  <c r="AG172" i="12"/>
  <c r="AG168" i="12"/>
  <c r="AG177" i="12"/>
  <c r="AG173" i="12"/>
  <c r="AG169" i="12"/>
  <c r="AG178" i="12"/>
  <c r="AG174" i="12"/>
  <c r="AG170" i="12"/>
  <c r="AG179" i="12"/>
  <c r="AG175" i="12"/>
  <c r="AG171" i="12"/>
  <c r="AG167" i="12"/>
  <c r="AG166" i="12"/>
  <c r="AG162" i="12"/>
  <c r="AG158" i="12"/>
  <c r="AG154" i="12"/>
  <c r="AG150" i="12"/>
  <c r="AG146" i="12"/>
  <c r="AG142" i="12"/>
  <c r="AG163" i="12"/>
  <c r="AG159" i="12"/>
  <c r="AG155" i="12"/>
  <c r="AG151" i="12"/>
  <c r="AG147" i="12"/>
  <c r="AG143" i="12"/>
  <c r="AG164" i="12"/>
  <c r="AG160" i="12"/>
  <c r="AG156" i="12"/>
  <c r="AG152" i="12"/>
  <c r="AG148" i="12"/>
  <c r="AG144" i="12"/>
  <c r="AG165" i="12"/>
  <c r="AG161" i="12"/>
  <c r="AG157" i="12"/>
  <c r="AG153" i="12"/>
  <c r="AG149" i="12"/>
  <c r="AG145" i="12"/>
  <c r="AG141" i="12"/>
  <c r="AG137" i="12"/>
  <c r="AG133" i="12"/>
  <c r="AG129" i="12"/>
  <c r="AG125" i="12"/>
  <c r="AG121" i="12"/>
  <c r="AG138" i="12"/>
  <c r="AG134" i="12"/>
  <c r="AG130" i="12"/>
  <c r="AG126" i="12"/>
  <c r="AG122" i="12"/>
  <c r="AG139" i="12"/>
  <c r="AG135" i="12"/>
  <c r="AG131" i="12"/>
  <c r="AG127" i="12"/>
  <c r="AG123" i="12"/>
  <c r="AG119" i="12"/>
  <c r="AG140" i="12"/>
  <c r="AG136" i="12"/>
  <c r="AG132" i="12"/>
  <c r="AG128" i="12"/>
  <c r="AG124" i="12"/>
  <c r="AG120" i="12"/>
  <c r="AG116" i="12"/>
  <c r="AG117" i="12"/>
  <c r="AG114" i="12"/>
  <c r="AG110" i="12"/>
  <c r="AG106" i="12"/>
  <c r="AG102" i="12"/>
  <c r="AG98" i="12"/>
  <c r="AG94" i="12"/>
  <c r="AG115" i="12"/>
  <c r="AG111" i="12"/>
  <c r="AG107" i="12"/>
  <c r="AG103" i="12"/>
  <c r="AG99" i="12"/>
  <c r="AG95" i="12"/>
  <c r="AG112" i="12"/>
  <c r="AG108" i="12"/>
  <c r="AG104" i="12"/>
  <c r="AG100" i="12"/>
  <c r="AG96" i="12"/>
  <c r="AG92" i="12"/>
  <c r="AG88" i="12"/>
  <c r="AG118" i="12"/>
  <c r="AG113" i="12"/>
  <c r="AG109" i="12"/>
  <c r="AG105" i="12"/>
  <c r="AG101" i="12"/>
  <c r="AG97" i="12"/>
  <c r="AG93" i="12"/>
  <c r="AG89" i="12"/>
  <c r="AG85" i="12"/>
  <c r="AG81" i="12"/>
  <c r="AG77" i="12"/>
  <c r="AG73" i="12"/>
  <c r="AG69" i="12"/>
  <c r="AG65" i="12"/>
  <c r="AG86" i="12"/>
  <c r="AG82" i="12"/>
  <c r="AG78" i="12"/>
  <c r="AG74" i="12"/>
  <c r="AG70" i="12"/>
  <c r="AG66" i="12"/>
  <c r="AG62" i="12"/>
  <c r="AG91" i="12"/>
  <c r="AG87" i="12"/>
  <c r="AG83" i="12"/>
  <c r="AG79" i="12"/>
  <c r="AG75" i="12"/>
  <c r="AG71" i="12"/>
  <c r="AG67" i="12"/>
  <c r="AG90" i="12"/>
  <c r="AG84" i="12"/>
  <c r="AG80" i="12"/>
  <c r="AG76" i="12"/>
  <c r="AG72" i="12"/>
  <c r="AG68" i="12"/>
  <c r="AG64" i="12"/>
  <c r="AG63" i="12"/>
  <c r="AG61" i="12"/>
  <c r="AG58" i="12"/>
  <c r="AG54" i="12"/>
  <c r="AG50" i="12"/>
  <c r="AG46" i="12"/>
  <c r="AG42" i="12"/>
  <c r="AG38" i="12"/>
  <c r="AG34" i="12"/>
  <c r="AG30" i="12"/>
  <c r="AG26" i="12"/>
  <c r="AG22" i="12"/>
  <c r="AG18" i="12"/>
  <c r="AG59" i="12"/>
  <c r="AG55" i="12"/>
  <c r="AG51" i="12"/>
  <c r="AG47" i="12"/>
  <c r="AG43" i="12"/>
  <c r="AG39" i="12"/>
  <c r="AG35" i="12"/>
  <c r="AG31" i="12"/>
  <c r="AG27" i="12"/>
  <c r="AG23" i="12"/>
  <c r="AG19" i="12"/>
  <c r="AG15" i="12"/>
  <c r="AG60" i="12"/>
  <c r="AG56" i="12"/>
  <c r="AG52" i="12"/>
  <c r="AG48" i="12"/>
  <c r="AG44" i="12"/>
  <c r="AG40" i="12"/>
  <c r="AG36" i="12"/>
  <c r="AG32" i="12"/>
  <c r="AG28" i="12"/>
  <c r="AG24" i="12"/>
  <c r="AG20" i="12"/>
  <c r="AG16" i="12"/>
  <c r="AG12" i="12"/>
  <c r="AG57" i="12"/>
  <c r="AG53" i="12"/>
  <c r="AG49" i="12"/>
  <c r="AG45" i="12"/>
  <c r="AG41" i="12"/>
  <c r="AG37" i="12"/>
  <c r="AG33" i="12"/>
  <c r="AG29" i="12"/>
  <c r="AG25" i="12"/>
  <c r="AG21" i="12"/>
  <c r="AG17" i="12"/>
  <c r="AG13" i="12"/>
  <c r="AK251" i="12"/>
  <c r="AK249" i="12"/>
  <c r="AK247" i="12"/>
  <c r="AK248" i="12"/>
  <c r="AK250" i="12"/>
  <c r="AK246" i="12"/>
  <c r="AK244" i="12"/>
  <c r="AK242" i="12"/>
  <c r="AK245" i="12"/>
  <c r="AK243" i="12"/>
  <c r="AK240" i="12"/>
  <c r="AK238" i="12"/>
  <c r="AK241" i="12"/>
  <c r="AK239" i="12"/>
  <c r="AK233" i="12"/>
  <c r="AK234" i="12"/>
  <c r="AK237" i="12"/>
  <c r="AK235" i="12"/>
  <c r="AK231" i="12"/>
  <c r="AK236" i="12"/>
  <c r="AK232" i="12"/>
  <c r="AK230" i="12"/>
  <c r="AK226" i="12"/>
  <c r="AK227" i="12"/>
  <c r="AK228" i="12"/>
  <c r="AK229" i="12"/>
  <c r="AK225" i="12"/>
  <c r="AK224" i="12"/>
  <c r="AK220" i="12"/>
  <c r="AK221" i="12"/>
  <c r="AK222" i="12"/>
  <c r="AK223" i="12"/>
  <c r="AK219" i="12"/>
  <c r="AK218" i="12"/>
  <c r="AK217" i="12"/>
  <c r="AK213" i="12"/>
  <c r="AK209" i="12"/>
  <c r="AK214" i="12"/>
  <c r="AK210" i="12"/>
  <c r="AK206" i="12"/>
  <c r="AK215" i="12"/>
  <c r="AK211" i="12"/>
  <c r="AK207" i="12"/>
  <c r="AK216" i="12"/>
  <c r="AK212" i="12"/>
  <c r="AK208" i="12"/>
  <c r="AK202" i="12"/>
  <c r="AK198" i="12"/>
  <c r="AK194" i="12"/>
  <c r="AK203" i="12"/>
  <c r="AK199" i="12"/>
  <c r="AK195" i="12"/>
  <c r="AK204" i="12"/>
  <c r="AK200" i="12"/>
  <c r="AK196" i="12"/>
  <c r="AK205" i="12"/>
  <c r="AK201" i="12"/>
  <c r="AK197" i="12"/>
  <c r="AK193" i="12"/>
  <c r="AK191" i="12"/>
  <c r="AK187" i="12"/>
  <c r="AK183" i="12"/>
  <c r="AK192" i="12"/>
  <c r="AK188" i="12"/>
  <c r="AK184" i="12"/>
  <c r="AK180" i="12"/>
  <c r="AK189" i="12"/>
  <c r="AK185" i="12"/>
  <c r="AK181" i="12"/>
  <c r="AK190" i="12"/>
  <c r="AK186" i="12"/>
  <c r="AK182" i="12"/>
  <c r="AK176" i="12"/>
  <c r="AK172" i="12"/>
  <c r="AK168" i="12"/>
  <c r="AK177" i="12"/>
  <c r="AK173" i="12"/>
  <c r="AK169" i="12"/>
  <c r="AK178" i="12"/>
  <c r="AK174" i="12"/>
  <c r="AK170" i="12"/>
  <c r="AK179" i="12"/>
  <c r="AK175" i="12"/>
  <c r="AK171" i="12"/>
  <c r="AK167" i="12"/>
  <c r="AK166" i="12"/>
  <c r="AK162" i="12"/>
  <c r="AK158" i="12"/>
  <c r="AK154" i="12"/>
  <c r="AK150" i="12"/>
  <c r="AK146" i="12"/>
  <c r="AK142" i="12"/>
  <c r="AK163" i="12"/>
  <c r="AK159" i="12"/>
  <c r="AK155" i="12"/>
  <c r="AK151" i="12"/>
  <c r="AK147" i="12"/>
  <c r="AK143" i="12"/>
  <c r="AK164" i="12"/>
  <c r="AK160" i="12"/>
  <c r="AK156" i="12"/>
  <c r="AK152" i="12"/>
  <c r="AK148" i="12"/>
  <c r="AK144" i="12"/>
  <c r="AK165" i="12"/>
  <c r="AK161" i="12"/>
  <c r="AK157" i="12"/>
  <c r="AK153" i="12"/>
  <c r="AK149" i="12"/>
  <c r="AK145" i="12"/>
  <c r="AK141" i="12"/>
  <c r="AK137" i="12"/>
  <c r="AK133" i="12"/>
  <c r="AK129" i="12"/>
  <c r="AK125" i="12"/>
  <c r="AK121" i="12"/>
  <c r="AK138" i="12"/>
  <c r="AK134" i="12"/>
  <c r="AK130" i="12"/>
  <c r="AK126" i="12"/>
  <c r="AK122" i="12"/>
  <c r="AK139" i="12"/>
  <c r="AK135" i="12"/>
  <c r="AK131" i="12"/>
  <c r="AK127" i="12"/>
  <c r="AK123" i="12"/>
  <c r="AK119" i="12"/>
  <c r="AK140" i="12"/>
  <c r="AK136" i="12"/>
  <c r="AK132" i="12"/>
  <c r="AK128" i="12"/>
  <c r="AK124" i="12"/>
  <c r="AK120" i="12"/>
  <c r="AK116" i="12"/>
  <c r="AK114" i="12"/>
  <c r="AK110" i="12"/>
  <c r="AK106" i="12"/>
  <c r="AK102" i="12"/>
  <c r="AK98" i="12"/>
  <c r="AK94" i="12"/>
  <c r="AK118" i="12"/>
  <c r="AK115" i="12"/>
  <c r="AK111" i="12"/>
  <c r="AK107" i="12"/>
  <c r="AK103" i="12"/>
  <c r="AK99" i="12"/>
  <c r="AK95" i="12"/>
  <c r="AK117" i="12"/>
  <c r="AK112" i="12"/>
  <c r="AK108" i="12"/>
  <c r="AK104" i="12"/>
  <c r="AK100" i="12"/>
  <c r="AK96" i="12"/>
  <c r="AK92" i="12"/>
  <c r="AK88" i="12"/>
  <c r="AK113" i="12"/>
  <c r="AK109" i="12"/>
  <c r="AK105" i="12"/>
  <c r="AK101" i="12"/>
  <c r="AK97" i="12"/>
  <c r="AK93" i="12"/>
  <c r="AK89" i="12"/>
  <c r="AK91" i="12"/>
  <c r="AK85" i="12"/>
  <c r="AK81" i="12"/>
  <c r="AK77" i="12"/>
  <c r="AK73" i="12"/>
  <c r="AK69" i="12"/>
  <c r="AK65" i="12"/>
  <c r="AK90" i="12"/>
  <c r="AK86" i="12"/>
  <c r="AK82" i="12"/>
  <c r="AK78" i="12"/>
  <c r="AK74" i="12"/>
  <c r="AK70" i="12"/>
  <c r="AK66" i="12"/>
  <c r="AK62" i="12"/>
  <c r="AK87" i="12"/>
  <c r="AK83" i="12"/>
  <c r="AK79" i="12"/>
  <c r="AK75" i="12"/>
  <c r="AK71" i="12"/>
  <c r="AK67" i="12"/>
  <c r="AK84" i="12"/>
  <c r="AK80" i="12"/>
  <c r="AK76" i="12"/>
  <c r="AK72" i="12"/>
  <c r="AK68" i="12"/>
  <c r="AK64" i="12"/>
  <c r="AK58" i="12"/>
  <c r="AK54" i="12"/>
  <c r="AK50" i="12"/>
  <c r="AK46" i="12"/>
  <c r="AK42" i="12"/>
  <c r="AK38" i="12"/>
  <c r="AK34" i="12"/>
  <c r="AK30" i="12"/>
  <c r="AK26" i="12"/>
  <c r="AK22" i="12"/>
  <c r="AK18" i="12"/>
  <c r="AK59" i="12"/>
  <c r="AK55" i="12"/>
  <c r="AK51" i="12"/>
  <c r="AK47" i="12"/>
  <c r="AK43" i="12"/>
  <c r="AK39" i="12"/>
  <c r="AK35" i="12"/>
  <c r="AK31" i="12"/>
  <c r="AK27" i="12"/>
  <c r="AK23" i="12"/>
  <c r="AK19" i="12"/>
  <c r="AK15" i="12"/>
  <c r="AK63" i="12"/>
  <c r="AK61" i="12"/>
  <c r="AK60" i="12"/>
  <c r="AK56" i="12"/>
  <c r="AK52" i="12"/>
  <c r="AK48" i="12"/>
  <c r="AK44" i="12"/>
  <c r="AK40" i="12"/>
  <c r="AK36" i="12"/>
  <c r="AK32" i="12"/>
  <c r="AK28" i="12"/>
  <c r="AK24" i="12"/>
  <c r="AK20" i="12"/>
  <c r="AK16" i="12"/>
  <c r="AK12" i="12"/>
  <c r="AK57" i="12"/>
  <c r="AK53" i="12"/>
  <c r="AK49" i="12"/>
  <c r="AK45" i="12"/>
  <c r="AK41" i="12"/>
  <c r="AK37" i="12"/>
  <c r="AK33" i="12"/>
  <c r="AK29" i="12"/>
  <c r="AK25" i="12"/>
  <c r="AK21" i="12"/>
  <c r="AK17" i="12"/>
  <c r="AK13" i="12"/>
  <c r="AO251" i="12"/>
  <c r="AO247" i="12"/>
  <c r="AO250" i="12"/>
  <c r="AO248" i="12"/>
  <c r="AO249" i="12"/>
  <c r="AO246" i="12"/>
  <c r="AO244" i="12"/>
  <c r="AO242" i="12"/>
  <c r="AO243" i="12"/>
  <c r="AO240" i="12"/>
  <c r="AO241" i="12"/>
  <c r="AO238" i="12"/>
  <c r="AO239" i="12"/>
  <c r="AO245" i="12"/>
  <c r="AO233" i="12"/>
  <c r="AO234" i="12"/>
  <c r="AO235" i="12"/>
  <c r="AO231" i="12"/>
  <c r="AO237" i="12"/>
  <c r="AO236" i="12"/>
  <c r="AO232" i="12"/>
  <c r="AO230" i="12"/>
  <c r="AO226" i="12"/>
  <c r="AO227" i="12"/>
  <c r="AO228" i="12"/>
  <c r="AO229" i="12"/>
  <c r="AO225" i="12"/>
  <c r="AO224" i="12"/>
  <c r="AO220" i="12"/>
  <c r="AO221" i="12"/>
  <c r="AO222" i="12"/>
  <c r="AO223" i="12"/>
  <c r="AO219" i="12"/>
  <c r="AO217" i="12"/>
  <c r="AO213" i="12"/>
  <c r="AO209" i="12"/>
  <c r="AO214" i="12"/>
  <c r="AO210" i="12"/>
  <c r="AO206" i="12"/>
  <c r="AO218" i="12"/>
  <c r="AO215" i="12"/>
  <c r="AO211" i="12"/>
  <c r="AO207" i="12"/>
  <c r="AO216" i="12"/>
  <c r="AO212" i="12"/>
  <c r="AO208" i="12"/>
  <c r="AO202" i="12"/>
  <c r="AO198" i="12"/>
  <c r="AO194" i="12"/>
  <c r="AO203" i="12"/>
  <c r="AO199" i="12"/>
  <c r="AO195" i="12"/>
  <c r="AO204" i="12"/>
  <c r="AO200" i="12"/>
  <c r="AO196" i="12"/>
  <c r="AO205" i="12"/>
  <c r="AO201" i="12"/>
  <c r="AO197" i="12"/>
  <c r="AO193" i="12"/>
  <c r="AO191" i="12"/>
  <c r="AO187" i="12"/>
  <c r="AO183" i="12"/>
  <c r="AO192" i="12"/>
  <c r="AO188" i="12"/>
  <c r="AO184" i="12"/>
  <c r="AO180" i="12"/>
  <c r="AO189" i="12"/>
  <c r="AO185" i="12"/>
  <c r="AO181" i="12"/>
  <c r="AO190" i="12"/>
  <c r="AO186" i="12"/>
  <c r="AO182" i="12"/>
  <c r="AO176" i="12"/>
  <c r="AO172" i="12"/>
  <c r="AO168" i="12"/>
  <c r="AO177" i="12"/>
  <c r="AO173" i="12"/>
  <c r="AO169" i="12"/>
  <c r="AO178" i="12"/>
  <c r="AO174" i="12"/>
  <c r="AO170" i="12"/>
  <c r="AO179" i="12"/>
  <c r="AO175" i="12"/>
  <c r="AO171" i="12"/>
  <c r="AO167" i="12"/>
  <c r="AO166" i="12"/>
  <c r="AO162" i="12"/>
  <c r="AO158" i="12"/>
  <c r="AO154" i="12"/>
  <c r="AO150" i="12"/>
  <c r="AO146" i="12"/>
  <c r="AO142" i="12"/>
  <c r="AO163" i="12"/>
  <c r="AO159" i="12"/>
  <c r="AO155" i="12"/>
  <c r="AO151" i="12"/>
  <c r="AO147" i="12"/>
  <c r="AO143" i="12"/>
  <c r="AO164" i="12"/>
  <c r="AO160" i="12"/>
  <c r="AO156" i="12"/>
  <c r="AO152" i="12"/>
  <c r="AO148" i="12"/>
  <c r="AO144" i="12"/>
  <c r="AO165" i="12"/>
  <c r="AO161" i="12"/>
  <c r="AO157" i="12"/>
  <c r="AO153" i="12"/>
  <c r="AO149" i="12"/>
  <c r="AO145" i="12"/>
  <c r="AO141" i="12"/>
  <c r="AO137" i="12"/>
  <c r="AO133" i="12"/>
  <c r="AO129" i="12"/>
  <c r="AO125" i="12"/>
  <c r="AO121" i="12"/>
  <c r="AO138" i="12"/>
  <c r="AO134" i="12"/>
  <c r="AO130" i="12"/>
  <c r="AO126" i="12"/>
  <c r="AO122" i="12"/>
  <c r="AO139" i="12"/>
  <c r="AO135" i="12"/>
  <c r="AO131" i="12"/>
  <c r="AO127" i="12"/>
  <c r="AO123" i="12"/>
  <c r="AO119" i="12"/>
  <c r="AO140" i="12"/>
  <c r="AO136" i="12"/>
  <c r="AO132" i="12"/>
  <c r="AO128" i="12"/>
  <c r="AO124" i="12"/>
  <c r="AO120" i="12"/>
  <c r="AO116" i="12"/>
  <c r="AO117" i="12"/>
  <c r="AO114" i="12"/>
  <c r="AO110" i="12"/>
  <c r="AO106" i="12"/>
  <c r="AO102" i="12"/>
  <c r="AO98" i="12"/>
  <c r="AO94" i="12"/>
  <c r="AO115" i="12"/>
  <c r="AO111" i="12"/>
  <c r="AO107" i="12"/>
  <c r="AO103" i="12"/>
  <c r="AO99" i="12"/>
  <c r="AO95" i="12"/>
  <c r="AO112" i="12"/>
  <c r="AO108" i="12"/>
  <c r="AO104" i="12"/>
  <c r="AO100" i="12"/>
  <c r="AO96" i="12"/>
  <c r="AO92" i="12"/>
  <c r="AO88" i="12"/>
  <c r="AO118" i="12"/>
  <c r="AO113" i="12"/>
  <c r="AO109" i="12"/>
  <c r="AO105" i="12"/>
  <c r="AO101" i="12"/>
  <c r="AO97" i="12"/>
  <c r="AO93" i="12"/>
  <c r="AO89" i="12"/>
  <c r="AO85" i="12"/>
  <c r="AO81" i="12"/>
  <c r="AO77" i="12"/>
  <c r="AO73" i="12"/>
  <c r="AO69" i="12"/>
  <c r="AO65" i="12"/>
  <c r="AO86" i="12"/>
  <c r="AO82" i="12"/>
  <c r="AO78" i="12"/>
  <c r="AO74" i="12"/>
  <c r="AO70" i="12"/>
  <c r="AO66" i="12"/>
  <c r="AO62" i="12"/>
  <c r="AO91" i="12"/>
  <c r="AO87" i="12"/>
  <c r="AO83" i="12"/>
  <c r="AO79" i="12"/>
  <c r="AO75" i="12"/>
  <c r="AO71" i="12"/>
  <c r="AO67" i="12"/>
  <c r="AO90" i="12"/>
  <c r="AO84" i="12"/>
  <c r="AO80" i="12"/>
  <c r="AO76" i="12"/>
  <c r="AO72" i="12"/>
  <c r="AO68" i="12"/>
  <c r="AO64" i="12"/>
  <c r="AO63" i="12"/>
  <c r="AO61" i="12"/>
  <c r="AO58" i="12"/>
  <c r="AO54" i="12"/>
  <c r="AO50" i="12"/>
  <c r="AO46" i="12"/>
  <c r="AO42" i="12"/>
  <c r="AO38" i="12"/>
  <c r="AO34" i="12"/>
  <c r="AO30" i="12"/>
  <c r="AO26" i="12"/>
  <c r="AO22" i="12"/>
  <c r="AO18" i="12"/>
  <c r="AO59" i="12"/>
  <c r="AO55" i="12"/>
  <c r="AO51" i="12"/>
  <c r="AO47" i="12"/>
  <c r="AO43" i="12"/>
  <c r="AO39" i="12"/>
  <c r="AO35" i="12"/>
  <c r="AO31" i="12"/>
  <c r="AO27" i="12"/>
  <c r="AO23" i="12"/>
  <c r="AO19" i="12"/>
  <c r="AO15" i="12"/>
  <c r="AO60" i="12"/>
  <c r="AO56" i="12"/>
  <c r="AO52" i="12"/>
  <c r="AO48" i="12"/>
  <c r="AO44" i="12"/>
  <c r="AO40" i="12"/>
  <c r="AO36" i="12"/>
  <c r="AO32" i="12"/>
  <c r="AO28" i="12"/>
  <c r="AO24" i="12"/>
  <c r="AO20" i="12"/>
  <c r="AO16" i="12"/>
  <c r="AO12" i="12"/>
  <c r="AO57" i="12"/>
  <c r="AO53" i="12"/>
  <c r="AO49" i="12"/>
  <c r="AO45" i="12"/>
  <c r="AO41" i="12"/>
  <c r="AO37" i="12"/>
  <c r="AO33" i="12"/>
  <c r="AO29" i="12"/>
  <c r="AO25" i="12"/>
  <c r="AO21" i="12"/>
  <c r="AO17" i="12"/>
  <c r="AO13" i="12"/>
  <c r="AS251" i="12"/>
  <c r="AS249" i="12"/>
  <c r="AS247" i="12"/>
  <c r="AS248" i="12"/>
  <c r="AS246" i="12"/>
  <c r="AS244" i="12"/>
  <c r="AS242" i="12"/>
  <c r="AS245" i="12"/>
  <c r="AS243" i="12"/>
  <c r="AS250" i="12"/>
  <c r="AS240" i="12"/>
  <c r="AS238" i="12"/>
  <c r="AS241" i="12"/>
  <c r="AS239" i="12"/>
  <c r="AS237" i="12"/>
  <c r="AS233" i="12"/>
  <c r="AS234" i="12"/>
  <c r="AS235" i="12"/>
  <c r="AS231" i="12"/>
  <c r="AS236" i="12"/>
  <c r="AS232" i="12"/>
  <c r="AS230" i="12"/>
  <c r="AS226" i="12"/>
  <c r="AS227" i="12"/>
  <c r="AS228" i="12"/>
  <c r="AS229" i="12"/>
  <c r="AS225" i="12"/>
  <c r="AS224" i="12"/>
  <c r="AS220" i="12"/>
  <c r="AS221" i="12"/>
  <c r="AS222" i="12"/>
  <c r="AS223" i="12"/>
  <c r="AS219" i="12"/>
  <c r="AS218" i="12"/>
  <c r="AS217" i="12"/>
  <c r="AS213" i="12"/>
  <c r="AS209" i="12"/>
  <c r="AS214" i="12"/>
  <c r="AS210" i="12"/>
  <c r="AS206" i="12"/>
  <c r="AS215" i="12"/>
  <c r="AS211" i="12"/>
  <c r="AS207" i="12"/>
  <c r="AS216" i="12"/>
  <c r="AS212" i="12"/>
  <c r="AS208" i="12"/>
  <c r="AS202" i="12"/>
  <c r="AS198" i="12"/>
  <c r="AS194" i="12"/>
  <c r="AS203" i="12"/>
  <c r="AS199" i="12"/>
  <c r="AS195" i="12"/>
  <c r="AS204" i="12"/>
  <c r="AS200" i="12"/>
  <c r="AS196" i="12"/>
  <c r="AS205" i="12"/>
  <c r="AS201" i="12"/>
  <c r="AS197" i="12"/>
  <c r="AS193" i="12"/>
  <c r="AS191" i="12"/>
  <c r="AS187" i="12"/>
  <c r="AS183" i="12"/>
  <c r="AS192" i="12"/>
  <c r="AS188" i="12"/>
  <c r="AS184" i="12"/>
  <c r="AS180" i="12"/>
  <c r="AS189" i="12"/>
  <c r="AS185" i="12"/>
  <c r="AS181" i="12"/>
  <c r="AS190" i="12"/>
  <c r="AS186" i="12"/>
  <c r="AS182" i="12"/>
  <c r="AS176" i="12"/>
  <c r="AS172" i="12"/>
  <c r="AS168" i="12"/>
  <c r="AS177" i="12"/>
  <c r="AS173" i="12"/>
  <c r="AS169" i="12"/>
  <c r="AS178" i="12"/>
  <c r="AS174" i="12"/>
  <c r="AS170" i="12"/>
  <c r="AS179" i="12"/>
  <c r="AS175" i="12"/>
  <c r="AS171" i="12"/>
  <c r="AS167" i="12"/>
  <c r="AS166" i="12"/>
  <c r="AS162" i="12"/>
  <c r="AS158" i="12"/>
  <c r="AS154" i="12"/>
  <c r="AS150" i="12"/>
  <c r="AS146" i="12"/>
  <c r="AS142" i="12"/>
  <c r="AS163" i="12"/>
  <c r="AS159" i="12"/>
  <c r="AS155" i="12"/>
  <c r="AS151" i="12"/>
  <c r="AS147" i="12"/>
  <c r="AS143" i="12"/>
  <c r="AS164" i="12"/>
  <c r="AS160" i="12"/>
  <c r="AS156" i="12"/>
  <c r="AS152" i="12"/>
  <c r="AS148" i="12"/>
  <c r="AS144" i="12"/>
  <c r="AS165" i="12"/>
  <c r="AS161" i="12"/>
  <c r="AS157" i="12"/>
  <c r="AS153" i="12"/>
  <c r="AS149" i="12"/>
  <c r="AS145" i="12"/>
  <c r="AS141" i="12"/>
  <c r="AS137" i="12"/>
  <c r="AS133" i="12"/>
  <c r="AS129" i="12"/>
  <c r="AS125" i="12"/>
  <c r="AS121" i="12"/>
  <c r="AS138" i="12"/>
  <c r="AS134" i="12"/>
  <c r="AS130" i="12"/>
  <c r="AS126" i="12"/>
  <c r="AS122" i="12"/>
  <c r="AS139" i="12"/>
  <c r="AS135" i="12"/>
  <c r="AS131" i="12"/>
  <c r="AS127" i="12"/>
  <c r="AS123" i="12"/>
  <c r="AS119" i="12"/>
  <c r="AS140" i="12"/>
  <c r="AS136" i="12"/>
  <c r="AS132" i="12"/>
  <c r="AS128" i="12"/>
  <c r="AS124" i="12"/>
  <c r="AS120" i="12"/>
  <c r="AS116" i="12"/>
  <c r="AS114" i="12"/>
  <c r="AS110" i="12"/>
  <c r="AS106" i="12"/>
  <c r="AS102" i="12"/>
  <c r="AS98" i="12"/>
  <c r="AS94" i="12"/>
  <c r="AS118" i="12"/>
  <c r="AS115" i="12"/>
  <c r="AS111" i="12"/>
  <c r="AS107" i="12"/>
  <c r="AS103" i="12"/>
  <c r="AS99" i="12"/>
  <c r="AS95" i="12"/>
  <c r="AS117" i="12"/>
  <c r="AS112" i="12"/>
  <c r="AS108" i="12"/>
  <c r="AS104" i="12"/>
  <c r="AS100" i="12"/>
  <c r="AS96" i="12"/>
  <c r="AS92" i="12"/>
  <c r="AS88" i="12"/>
  <c r="AS113" i="12"/>
  <c r="AS109" i="12"/>
  <c r="AS105" i="12"/>
  <c r="AS101" i="12"/>
  <c r="AS97" i="12"/>
  <c r="AS93" i="12"/>
  <c r="AS89" i="12"/>
  <c r="AS91" i="12"/>
  <c r="AS85" i="12"/>
  <c r="AS81" i="12"/>
  <c r="AS77" i="12"/>
  <c r="AS73" i="12"/>
  <c r="AS69" i="12"/>
  <c r="AS65" i="12"/>
  <c r="AS90" i="12"/>
  <c r="AS86" i="12"/>
  <c r="AS82" i="12"/>
  <c r="AS78" i="12"/>
  <c r="AS74" i="12"/>
  <c r="AS70" i="12"/>
  <c r="AS66" i="12"/>
  <c r="AS62" i="12"/>
  <c r="AS87" i="12"/>
  <c r="AS83" i="12"/>
  <c r="AS79" i="12"/>
  <c r="AS75" i="12"/>
  <c r="AS71" i="12"/>
  <c r="AS67" i="12"/>
  <c r="AS84" i="12"/>
  <c r="AS80" i="12"/>
  <c r="AS76" i="12"/>
  <c r="AS72" i="12"/>
  <c r="AS68" i="12"/>
  <c r="AS64" i="12"/>
  <c r="AS58" i="12"/>
  <c r="AS54" i="12"/>
  <c r="AS50" i="12"/>
  <c r="AS46" i="12"/>
  <c r="AS42" i="12"/>
  <c r="AS38" i="12"/>
  <c r="AS34" i="12"/>
  <c r="AS30" i="12"/>
  <c r="AS26" i="12"/>
  <c r="AS22" i="12"/>
  <c r="AS18" i="12"/>
  <c r="AS59" i="12"/>
  <c r="AS55" i="12"/>
  <c r="AS51" i="12"/>
  <c r="AS47" i="12"/>
  <c r="AS43" i="12"/>
  <c r="AS39" i="12"/>
  <c r="AS35" i="12"/>
  <c r="AS31" i="12"/>
  <c r="AS27" i="12"/>
  <c r="AS23" i="12"/>
  <c r="AS19" i="12"/>
  <c r="AS15" i="12"/>
  <c r="AS63" i="12"/>
  <c r="AS61" i="12"/>
  <c r="AS60" i="12"/>
  <c r="AS56" i="12"/>
  <c r="AS52" i="12"/>
  <c r="AS48" i="12"/>
  <c r="AS44" i="12"/>
  <c r="AS40" i="12"/>
  <c r="AS36" i="12"/>
  <c r="AS32" i="12"/>
  <c r="AS28" i="12"/>
  <c r="AS24" i="12"/>
  <c r="AS20" i="12"/>
  <c r="AS16" i="12"/>
  <c r="AS12" i="12"/>
  <c r="AS57" i="12"/>
  <c r="AS53" i="12"/>
  <c r="AS49" i="12"/>
  <c r="AS45" i="12"/>
  <c r="AS41" i="12"/>
  <c r="AS37" i="12"/>
  <c r="AS33" i="12"/>
  <c r="AS29" i="12"/>
  <c r="AS25" i="12"/>
  <c r="AS21" i="12"/>
  <c r="AS17" i="12"/>
  <c r="AS13" i="12"/>
  <c r="AW251" i="12"/>
  <c r="AW247" i="12"/>
  <c r="AW250" i="12"/>
  <c r="AW248" i="12"/>
  <c r="AW249" i="12"/>
  <c r="AW244" i="12"/>
  <c r="AW242" i="12"/>
  <c r="AW243" i="12"/>
  <c r="AW240" i="12"/>
  <c r="AW238" i="12"/>
  <c r="AW239" i="12"/>
  <c r="AW246" i="12"/>
  <c r="AW245" i="12"/>
  <c r="AW241" i="12"/>
  <c r="AW233" i="12"/>
  <c r="AW237" i="12"/>
  <c r="AW234" i="12"/>
  <c r="AW235" i="12"/>
  <c r="AW231" i="12"/>
  <c r="AW236" i="12"/>
  <c r="AW232" i="12"/>
  <c r="AW230" i="12"/>
  <c r="AW226" i="12"/>
  <c r="AW227" i="12"/>
  <c r="AW228" i="12"/>
  <c r="AW229" i="12"/>
  <c r="AW225" i="12"/>
  <c r="AW224" i="12"/>
  <c r="AW220" i="12"/>
  <c r="AW221" i="12"/>
  <c r="AW222" i="12"/>
  <c r="AW218" i="12"/>
  <c r="AW223" i="12"/>
  <c r="AW219" i="12"/>
  <c r="AW217" i="12"/>
  <c r="AW213" i="12"/>
  <c r="AW209" i="12"/>
  <c r="AW214" i="12"/>
  <c r="AW210" i="12"/>
  <c r="AW206" i="12"/>
  <c r="AW215" i="12"/>
  <c r="AW211" i="12"/>
  <c r="AW207" i="12"/>
  <c r="AW216" i="12"/>
  <c r="AW212" i="12"/>
  <c r="AW208" i="12"/>
  <c r="AW202" i="12"/>
  <c r="AW198" i="12"/>
  <c r="AW194" i="12"/>
  <c r="AW203" i="12"/>
  <c r="AW199" i="12"/>
  <c r="AW195" i="12"/>
  <c r="AW204" i="12"/>
  <c r="AW200" i="12"/>
  <c r="AW196" i="12"/>
  <c r="AW205" i="12"/>
  <c r="AW201" i="12"/>
  <c r="AW197" i="12"/>
  <c r="AW193" i="12"/>
  <c r="AW191" i="12"/>
  <c r="AW187" i="12"/>
  <c r="AW183" i="12"/>
  <c r="AW192" i="12"/>
  <c r="AW188" i="12"/>
  <c r="AW184" i="12"/>
  <c r="AW180" i="12"/>
  <c r="AW189" i="12"/>
  <c r="AW185" i="12"/>
  <c r="AW181" i="12"/>
  <c r="AW190" i="12"/>
  <c r="AW186" i="12"/>
  <c r="AW182" i="12"/>
  <c r="AW176" i="12"/>
  <c r="AW172" i="12"/>
  <c r="AW168" i="12"/>
  <c r="AW177" i="12"/>
  <c r="AW173" i="12"/>
  <c r="AW169" i="12"/>
  <c r="AW178" i="12"/>
  <c r="AW174" i="12"/>
  <c r="AW170" i="12"/>
  <c r="AW179" i="12"/>
  <c r="AW175" i="12"/>
  <c r="AW171" i="12"/>
  <c r="AW167" i="12"/>
  <c r="AW166" i="12"/>
  <c r="AW162" i="12"/>
  <c r="AW158" i="12"/>
  <c r="AW154" i="12"/>
  <c r="AW150" i="12"/>
  <c r="AW146" i="12"/>
  <c r="AW142" i="12"/>
  <c r="AW163" i="12"/>
  <c r="AW159" i="12"/>
  <c r="AW155" i="12"/>
  <c r="AW151" i="12"/>
  <c r="AW147" i="12"/>
  <c r="AW143" i="12"/>
  <c r="AW164" i="12"/>
  <c r="AW160" i="12"/>
  <c r="AW156" i="12"/>
  <c r="AW152" i="12"/>
  <c r="AW148" i="12"/>
  <c r="AW144" i="12"/>
  <c r="AW165" i="12"/>
  <c r="AW161" i="12"/>
  <c r="AW157" i="12"/>
  <c r="AW153" i="12"/>
  <c r="AW149" i="12"/>
  <c r="AW145" i="12"/>
  <c r="AW141" i="12"/>
  <c r="AW137" i="12"/>
  <c r="AW133" i="12"/>
  <c r="AW129" i="12"/>
  <c r="AW125" i="12"/>
  <c r="AW121" i="12"/>
  <c r="AW138" i="12"/>
  <c r="AW134" i="12"/>
  <c r="AW130" i="12"/>
  <c r="AW126" i="12"/>
  <c r="AW122" i="12"/>
  <c r="AW139" i="12"/>
  <c r="AW135" i="12"/>
  <c r="AW131" i="12"/>
  <c r="AW127" i="12"/>
  <c r="AW123" i="12"/>
  <c r="AW119" i="12"/>
  <c r="AW140" i="12"/>
  <c r="AW136" i="12"/>
  <c r="AW132" i="12"/>
  <c r="AW128" i="12"/>
  <c r="AW124" i="12"/>
  <c r="AW120" i="12"/>
  <c r="AW116" i="12"/>
  <c r="AW117" i="12"/>
  <c r="AW114" i="12"/>
  <c r="AW110" i="12"/>
  <c r="AW106" i="12"/>
  <c r="AW102" i="12"/>
  <c r="AW98" i="12"/>
  <c r="AW94" i="12"/>
  <c r="AW115" i="12"/>
  <c r="AW111" i="12"/>
  <c r="AW107" i="12"/>
  <c r="AW103" i="12"/>
  <c r="AW99" i="12"/>
  <c r="AW95" i="12"/>
  <c r="AW112" i="12"/>
  <c r="AW108" i="12"/>
  <c r="AW104" i="12"/>
  <c r="AW100" i="12"/>
  <c r="AW96" i="12"/>
  <c r="AW92" i="12"/>
  <c r="AW88" i="12"/>
  <c r="AW118" i="12"/>
  <c r="AW113" i="12"/>
  <c r="AW109" i="12"/>
  <c r="AW105" i="12"/>
  <c r="AW101" i="12"/>
  <c r="AW97" i="12"/>
  <c r="AW93" i="12"/>
  <c r="AW89" i="12"/>
  <c r="AW85" i="12"/>
  <c r="AW81" i="12"/>
  <c r="AW77" i="12"/>
  <c r="AW73" i="12"/>
  <c r="AW69" i="12"/>
  <c r="AW65" i="12"/>
  <c r="AW86" i="12"/>
  <c r="AW82" i="12"/>
  <c r="AW78" i="12"/>
  <c r="AW74" i="12"/>
  <c r="AW70" i="12"/>
  <c r="AW66" i="12"/>
  <c r="AW62" i="12"/>
  <c r="AW91" i="12"/>
  <c r="AW87" i="12"/>
  <c r="AW83" i="12"/>
  <c r="AW79" i="12"/>
  <c r="AW75" i="12"/>
  <c r="AW71" i="12"/>
  <c r="AW67" i="12"/>
  <c r="AW90" i="12"/>
  <c r="AW84" i="12"/>
  <c r="AW80" i="12"/>
  <c r="AW76" i="12"/>
  <c r="AW72" i="12"/>
  <c r="AW68" i="12"/>
  <c r="AW64" i="12"/>
  <c r="AW63" i="12"/>
  <c r="AW61" i="12"/>
  <c r="AW58" i="12"/>
  <c r="AW54" i="12"/>
  <c r="AW50" i="12"/>
  <c r="AW46" i="12"/>
  <c r="AW42" i="12"/>
  <c r="AW38" i="12"/>
  <c r="AW34" i="12"/>
  <c r="AW30" i="12"/>
  <c r="AW26" i="12"/>
  <c r="AW22" i="12"/>
  <c r="AW18" i="12"/>
  <c r="AW59" i="12"/>
  <c r="AW55" i="12"/>
  <c r="AW51" i="12"/>
  <c r="AW47" i="12"/>
  <c r="AW43" i="12"/>
  <c r="AW39" i="12"/>
  <c r="AW35" i="12"/>
  <c r="AW31" i="12"/>
  <c r="AW27" i="12"/>
  <c r="AW23" i="12"/>
  <c r="AW19" i="12"/>
  <c r="AW15" i="12"/>
  <c r="AW60" i="12"/>
  <c r="AW56" i="12"/>
  <c r="AW52" i="12"/>
  <c r="AW48" i="12"/>
  <c r="AW44" i="12"/>
  <c r="AW40" i="12"/>
  <c r="AW36" i="12"/>
  <c r="AW32" i="12"/>
  <c r="AW28" i="12"/>
  <c r="AW24" i="12"/>
  <c r="AW20" i="12"/>
  <c r="AW16" i="12"/>
  <c r="AW12" i="12"/>
  <c r="AW57" i="12"/>
  <c r="AW53" i="12"/>
  <c r="AW49" i="12"/>
  <c r="AW45" i="12"/>
  <c r="AW41" i="12"/>
  <c r="AW37" i="12"/>
  <c r="AW33" i="12"/>
  <c r="AW29" i="12"/>
  <c r="AW25" i="12"/>
  <c r="AW21" i="12"/>
  <c r="AW17" i="12"/>
  <c r="AW13" i="12"/>
  <c r="BA251" i="12"/>
  <c r="BA249" i="12"/>
  <c r="BA247" i="12"/>
  <c r="BA248" i="12"/>
  <c r="BA246" i="12"/>
  <c r="BA250" i="12"/>
  <c r="BA244" i="12"/>
  <c r="BA242" i="12"/>
  <c r="BA245" i="12"/>
  <c r="BA243" i="12"/>
  <c r="BA240" i="12"/>
  <c r="BA238" i="12"/>
  <c r="BA241" i="12"/>
  <c r="BA239" i="12"/>
  <c r="BA233" i="12"/>
  <c r="BA234" i="12"/>
  <c r="BA237" i="12"/>
  <c r="BA235" i="12"/>
  <c r="BA231" i="12"/>
  <c r="BA236" i="12"/>
  <c r="BA232" i="12"/>
  <c r="BA230" i="12"/>
  <c r="BA226" i="12"/>
  <c r="BA227" i="12"/>
  <c r="BA228" i="12"/>
  <c r="BA229" i="12"/>
  <c r="BA225" i="12"/>
  <c r="BA224" i="12"/>
  <c r="BA220" i="12"/>
  <c r="BA221" i="12"/>
  <c r="BA222" i="12"/>
  <c r="BA218" i="12"/>
  <c r="BA223" i="12"/>
  <c r="BA219" i="12"/>
  <c r="BA217" i="12"/>
  <c r="BA213" i="12"/>
  <c r="BA209" i="12"/>
  <c r="BA214" i="12"/>
  <c r="BA210" i="12"/>
  <c r="BA206" i="12"/>
  <c r="BA215" i="12"/>
  <c r="BA211" i="12"/>
  <c r="BA207" i="12"/>
  <c r="BA216" i="12"/>
  <c r="BA212" i="12"/>
  <c r="BA208" i="12"/>
  <c r="BA202" i="12"/>
  <c r="BA198" i="12"/>
  <c r="BA194" i="12"/>
  <c r="BA203" i="12"/>
  <c r="BA199" i="12"/>
  <c r="BA195" i="12"/>
  <c r="BA204" i="12"/>
  <c r="BA200" i="12"/>
  <c r="BA196" i="12"/>
  <c r="BA205" i="12"/>
  <c r="BA201" i="12"/>
  <c r="BA197" i="12"/>
  <c r="BA193" i="12"/>
  <c r="BA191" i="12"/>
  <c r="BA187" i="12"/>
  <c r="BA183" i="12"/>
  <c r="BA192" i="12"/>
  <c r="BA188" i="12"/>
  <c r="BA184" i="12"/>
  <c r="BA180" i="12"/>
  <c r="BA189" i="12"/>
  <c r="BA185" i="12"/>
  <c r="BA181" i="12"/>
  <c r="BA190" i="12"/>
  <c r="BA186" i="12"/>
  <c r="BA182" i="12"/>
  <c r="BA176" i="12"/>
  <c r="BA172" i="12"/>
  <c r="BA168" i="12"/>
  <c r="BA177" i="12"/>
  <c r="BA173" i="12"/>
  <c r="BA169" i="12"/>
  <c r="BA178" i="12"/>
  <c r="BA174" i="12"/>
  <c r="BA170" i="12"/>
  <c r="BA179" i="12"/>
  <c r="BA175" i="12"/>
  <c r="BA171" i="12"/>
  <c r="BA167" i="12"/>
  <c r="BA166" i="12"/>
  <c r="BA162" i="12"/>
  <c r="BA158" i="12"/>
  <c r="BA154" i="12"/>
  <c r="BA150" i="12"/>
  <c r="BA146" i="12"/>
  <c r="BA142" i="12"/>
  <c r="BA163" i="12"/>
  <c r="BA159" i="12"/>
  <c r="BA155" i="12"/>
  <c r="BA151" i="12"/>
  <c r="BA147" i="12"/>
  <c r="BA143" i="12"/>
  <c r="BA164" i="12"/>
  <c r="BA160" i="12"/>
  <c r="BA156" i="12"/>
  <c r="BA152" i="12"/>
  <c r="BA148" i="12"/>
  <c r="BA144" i="12"/>
  <c r="BA165" i="12"/>
  <c r="BA161" i="12"/>
  <c r="BA157" i="12"/>
  <c r="BA153" i="12"/>
  <c r="BA149" i="12"/>
  <c r="BA145" i="12"/>
  <c r="BA141" i="12"/>
  <c r="BA137" i="12"/>
  <c r="BA133" i="12"/>
  <c r="BA129" i="12"/>
  <c r="BA125" i="12"/>
  <c r="BA121" i="12"/>
  <c r="BA138" i="12"/>
  <c r="BA134" i="12"/>
  <c r="BA130" i="12"/>
  <c r="BA126" i="12"/>
  <c r="BA122" i="12"/>
  <c r="BA139" i="12"/>
  <c r="BA135" i="12"/>
  <c r="BA131" i="12"/>
  <c r="BA127" i="12"/>
  <c r="BA123" i="12"/>
  <c r="BA119" i="12"/>
  <c r="BA140" i="12"/>
  <c r="BA136" i="12"/>
  <c r="BA132" i="12"/>
  <c r="BA128" i="12"/>
  <c r="BA124" i="12"/>
  <c r="BA120" i="12"/>
  <c r="BA116" i="12"/>
  <c r="BA114" i="12"/>
  <c r="BA110" i="12"/>
  <c r="BA106" i="12"/>
  <c r="BA102" i="12"/>
  <c r="BA98" i="12"/>
  <c r="BA94" i="12"/>
  <c r="BA118" i="12"/>
  <c r="BA115" i="12"/>
  <c r="BA111" i="12"/>
  <c r="BA107" i="12"/>
  <c r="BA103" i="12"/>
  <c r="BA99" i="12"/>
  <c r="BA95" i="12"/>
  <c r="BA117" i="12"/>
  <c r="BA112" i="12"/>
  <c r="BA108" i="12"/>
  <c r="BA104" i="12"/>
  <c r="BA100" i="12"/>
  <c r="BA96" i="12"/>
  <c r="BA92" i="12"/>
  <c r="BA88" i="12"/>
  <c r="BA113" i="12"/>
  <c r="BA109" i="12"/>
  <c r="BA105" i="12"/>
  <c r="BA101" i="12"/>
  <c r="BA97" i="12"/>
  <c r="BA93" i="12"/>
  <c r="BA89" i="12"/>
  <c r="BA91" i="12"/>
  <c r="BA85" i="12"/>
  <c r="BA81" i="12"/>
  <c r="BA77" i="12"/>
  <c r="BA73" i="12"/>
  <c r="BA69" i="12"/>
  <c r="BA65" i="12"/>
  <c r="BA90" i="12"/>
  <c r="BA86" i="12"/>
  <c r="BA82" i="12"/>
  <c r="BA78" i="12"/>
  <c r="BA74" i="12"/>
  <c r="BA70" i="12"/>
  <c r="BA66" i="12"/>
  <c r="BA62" i="12"/>
  <c r="BA83" i="12"/>
  <c r="BA79" i="12"/>
  <c r="BA75" i="12"/>
  <c r="BA71" i="12"/>
  <c r="BA67" i="12"/>
  <c r="BA87" i="12"/>
  <c r="BA84" i="12"/>
  <c r="BA80" i="12"/>
  <c r="BA76" i="12"/>
  <c r="BA72" i="12"/>
  <c r="BA68" i="12"/>
  <c r="BA64" i="12"/>
  <c r="BA58" i="12"/>
  <c r="BA54" i="12"/>
  <c r="BA50" i="12"/>
  <c r="BA46" i="12"/>
  <c r="BA42" i="12"/>
  <c r="BA38" i="12"/>
  <c r="BA34" i="12"/>
  <c r="BA30" i="12"/>
  <c r="BA26" i="12"/>
  <c r="BA22" i="12"/>
  <c r="BA18" i="12"/>
  <c r="BA59" i="12"/>
  <c r="BA55" i="12"/>
  <c r="BA51" i="12"/>
  <c r="BA47" i="12"/>
  <c r="BA43" i="12"/>
  <c r="BA39" i="12"/>
  <c r="BA35" i="12"/>
  <c r="BA31" i="12"/>
  <c r="BA27" i="12"/>
  <c r="BA23" i="12"/>
  <c r="BA19" i="12"/>
  <c r="BA15" i="12"/>
  <c r="BA63" i="12"/>
  <c r="BA61" i="12"/>
  <c r="BA60" i="12"/>
  <c r="BA56" i="12"/>
  <c r="BA52" i="12"/>
  <c r="BA48" i="12"/>
  <c r="BA44" i="12"/>
  <c r="BA40" i="12"/>
  <c r="BA36" i="12"/>
  <c r="BA32" i="12"/>
  <c r="BA28" i="12"/>
  <c r="BA24" i="12"/>
  <c r="BA20" i="12"/>
  <c r="BA16" i="12"/>
  <c r="BA12" i="12"/>
  <c r="BA57" i="12"/>
  <c r="BA53" i="12"/>
  <c r="BA49" i="12"/>
  <c r="BA45" i="12"/>
  <c r="BA41" i="12"/>
  <c r="BA37" i="12"/>
  <c r="BA33" i="12"/>
  <c r="BA29" i="12"/>
  <c r="BA25" i="12"/>
  <c r="BA21" i="12"/>
  <c r="BA17" i="12"/>
  <c r="BA13" i="12"/>
  <c r="BE251" i="12"/>
  <c r="BE247" i="12"/>
  <c r="BE250" i="12"/>
  <c r="BE248" i="12"/>
  <c r="BE249" i="12"/>
  <c r="BE246" i="12"/>
  <c r="BE244" i="12"/>
  <c r="BE242" i="12"/>
  <c r="BE243" i="12"/>
  <c r="BE240" i="12"/>
  <c r="BE241" i="12"/>
  <c r="BE238" i="12"/>
  <c r="BE245" i="12"/>
  <c r="BE239" i="12"/>
  <c r="BE233" i="12"/>
  <c r="BE234" i="12"/>
  <c r="BE235" i="12"/>
  <c r="BE231" i="12"/>
  <c r="BE237" i="12"/>
  <c r="BE236" i="12"/>
  <c r="BE232" i="12"/>
  <c r="BE230" i="12"/>
  <c r="BE226" i="12"/>
  <c r="BE227" i="12"/>
  <c r="BE228" i="12"/>
  <c r="BE229" i="12"/>
  <c r="BE225" i="12"/>
  <c r="BE224" i="12"/>
  <c r="BE220" i="12"/>
  <c r="BE221" i="12"/>
  <c r="BE222" i="12"/>
  <c r="BE218" i="12"/>
  <c r="BE223" i="12"/>
  <c r="BE219" i="12"/>
  <c r="BE217" i="12"/>
  <c r="BE213" i="12"/>
  <c r="BE209" i="12"/>
  <c r="BE214" i="12"/>
  <c r="BE210" i="12"/>
  <c r="BE206" i="12"/>
  <c r="BE215" i="12"/>
  <c r="BE211" i="12"/>
  <c r="BE207" i="12"/>
  <c r="BE216" i="12"/>
  <c r="BE212" i="12"/>
  <c r="BE208" i="12"/>
  <c r="BE202" i="12"/>
  <c r="BE198" i="12"/>
  <c r="BE194" i="12"/>
  <c r="BE203" i="12"/>
  <c r="BE199" i="12"/>
  <c r="BE195" i="12"/>
  <c r="BE204" i="12"/>
  <c r="BE200" i="12"/>
  <c r="BE196" i="12"/>
  <c r="BE205" i="12"/>
  <c r="BE201" i="12"/>
  <c r="BE197" i="12"/>
  <c r="BE193" i="12"/>
  <c r="BE191" i="12"/>
  <c r="BE187" i="12"/>
  <c r="BE183" i="12"/>
  <c r="BE192" i="12"/>
  <c r="BE188" i="12"/>
  <c r="BE184" i="12"/>
  <c r="BE180" i="12"/>
  <c r="BE189" i="12"/>
  <c r="BE185" i="12"/>
  <c r="BE181" i="12"/>
  <c r="BE190" i="12"/>
  <c r="BE186" i="12"/>
  <c r="BE182" i="12"/>
  <c r="BE176" i="12"/>
  <c r="BE172" i="12"/>
  <c r="BE168" i="12"/>
  <c r="BE177" i="12"/>
  <c r="BE173" i="12"/>
  <c r="BE169" i="12"/>
  <c r="BE178" i="12"/>
  <c r="BE174" i="12"/>
  <c r="BE170" i="12"/>
  <c r="BE179" i="12"/>
  <c r="BE175" i="12"/>
  <c r="BE171" i="12"/>
  <c r="BE167" i="12"/>
  <c r="BE166" i="12"/>
  <c r="BE162" i="12"/>
  <c r="BE158" i="12"/>
  <c r="BE154" i="12"/>
  <c r="BE150" i="12"/>
  <c r="BE146" i="12"/>
  <c r="BE142" i="12"/>
  <c r="BE163" i="12"/>
  <c r="BE159" i="12"/>
  <c r="BE155" i="12"/>
  <c r="BE151" i="12"/>
  <c r="BE147" i="12"/>
  <c r="BE143" i="12"/>
  <c r="BE164" i="12"/>
  <c r="BE160" i="12"/>
  <c r="BE156" i="12"/>
  <c r="BE152" i="12"/>
  <c r="BE148" i="12"/>
  <c r="BE144" i="12"/>
  <c r="BE165" i="12"/>
  <c r="BE161" i="12"/>
  <c r="BE157" i="12"/>
  <c r="BE153" i="12"/>
  <c r="BE149" i="12"/>
  <c r="BE145" i="12"/>
  <c r="BE141" i="12"/>
  <c r="BE137" i="12"/>
  <c r="BE133" i="12"/>
  <c r="BE129" i="12"/>
  <c r="BE125" i="12"/>
  <c r="BE121" i="12"/>
  <c r="BE138" i="12"/>
  <c r="BE134" i="12"/>
  <c r="BE130" i="12"/>
  <c r="BE126" i="12"/>
  <c r="BE122" i="12"/>
  <c r="BE139" i="12"/>
  <c r="BE135" i="12"/>
  <c r="BE131" i="12"/>
  <c r="BE127" i="12"/>
  <c r="BE123" i="12"/>
  <c r="BE119" i="12"/>
  <c r="BE140" i="12"/>
  <c r="BE136" i="12"/>
  <c r="BE132" i="12"/>
  <c r="BE128" i="12"/>
  <c r="BE124" i="12"/>
  <c r="BE120" i="12"/>
  <c r="BE116" i="12"/>
  <c r="BE117" i="12"/>
  <c r="BE114" i="12"/>
  <c r="BE110" i="12"/>
  <c r="BE106" i="12"/>
  <c r="BE102" i="12"/>
  <c r="BE98" i="12"/>
  <c r="BE94" i="12"/>
  <c r="BE115" i="12"/>
  <c r="BE111" i="12"/>
  <c r="BE107" i="12"/>
  <c r="BE103" i="12"/>
  <c r="BE99" i="12"/>
  <c r="BE95" i="12"/>
  <c r="BE112" i="12"/>
  <c r="BE108" i="12"/>
  <c r="BE104" i="12"/>
  <c r="BE100" i="12"/>
  <c r="BE96" i="12"/>
  <c r="BE92" i="12"/>
  <c r="BE88" i="12"/>
  <c r="BE118" i="12"/>
  <c r="BE113" i="12"/>
  <c r="BE109" i="12"/>
  <c r="BE105" i="12"/>
  <c r="BE101" i="12"/>
  <c r="BE97" i="12"/>
  <c r="BE93" i="12"/>
  <c r="BE89" i="12"/>
  <c r="BE87" i="12"/>
  <c r="BE85" i="12"/>
  <c r="BE81" i="12"/>
  <c r="BE77" i="12"/>
  <c r="BE73" i="12"/>
  <c r="BE69" i="12"/>
  <c r="BE65" i="12"/>
  <c r="BE86" i="12"/>
  <c r="BE82" i="12"/>
  <c r="BE78" i="12"/>
  <c r="BE74" i="12"/>
  <c r="BE70" i="12"/>
  <c r="BE66" i="12"/>
  <c r="BE62" i="12"/>
  <c r="BE91" i="12"/>
  <c r="BE83" i="12"/>
  <c r="BE79" i="12"/>
  <c r="BE75" i="12"/>
  <c r="BE71" i="12"/>
  <c r="BE67" i="12"/>
  <c r="BE90" i="12"/>
  <c r="BE84" i="12"/>
  <c r="BE80" i="12"/>
  <c r="BE76" i="12"/>
  <c r="BE72" i="12"/>
  <c r="BE68" i="12"/>
  <c r="BE64" i="12"/>
  <c r="BE63" i="12"/>
  <c r="BE61" i="12"/>
  <c r="BE58" i="12"/>
  <c r="BE54" i="12"/>
  <c r="BE50" i="12"/>
  <c r="BE46" i="12"/>
  <c r="BE42" i="12"/>
  <c r="BE38" i="12"/>
  <c r="BE34" i="12"/>
  <c r="BE30" i="12"/>
  <c r="BE26" i="12"/>
  <c r="BE22" i="12"/>
  <c r="BE18" i="12"/>
  <c r="BE59" i="12"/>
  <c r="BE55" i="12"/>
  <c r="BE51" i="12"/>
  <c r="BE47" i="12"/>
  <c r="BE43" i="12"/>
  <c r="BE39" i="12"/>
  <c r="BE35" i="12"/>
  <c r="BE31" i="12"/>
  <c r="BE27" i="12"/>
  <c r="BE23" i="12"/>
  <c r="BE19" i="12"/>
  <c r="BE15" i="12"/>
  <c r="BE60" i="12"/>
  <c r="BE56" i="12"/>
  <c r="BE52" i="12"/>
  <c r="BE48" i="12"/>
  <c r="BE44" i="12"/>
  <c r="BE40" i="12"/>
  <c r="BE36" i="12"/>
  <c r="BE32" i="12"/>
  <c r="BE28" i="12"/>
  <c r="BE24" i="12"/>
  <c r="BE20" i="12"/>
  <c r="BE16" i="12"/>
  <c r="BE12" i="12"/>
  <c r="BE57" i="12"/>
  <c r="BE53" i="12"/>
  <c r="BE49" i="12"/>
  <c r="BE45" i="12"/>
  <c r="BE41" i="12"/>
  <c r="BE37" i="12"/>
  <c r="BE33" i="12"/>
  <c r="BE29" i="12"/>
  <c r="BE25" i="12"/>
  <c r="BE21" i="12"/>
  <c r="BE17" i="12"/>
  <c r="BE13" i="12"/>
  <c r="BI251" i="12"/>
  <c r="BI249" i="12"/>
  <c r="BI247" i="12"/>
  <c r="BI248" i="12"/>
  <c r="BI250" i="12"/>
  <c r="BI246" i="12"/>
  <c r="BI244" i="12"/>
  <c r="BI242" i="12"/>
  <c r="BI245" i="12"/>
  <c r="BI243" i="12"/>
  <c r="BI240" i="12"/>
  <c r="BI238" i="12"/>
  <c r="BI241" i="12"/>
  <c r="BI239" i="12"/>
  <c r="BI237" i="12"/>
  <c r="BI233" i="12"/>
  <c r="BI234" i="12"/>
  <c r="BI235" i="12"/>
  <c r="BI231" i="12"/>
  <c r="BI236" i="12"/>
  <c r="BI232" i="12"/>
  <c r="BI230" i="12"/>
  <c r="BI226" i="12"/>
  <c r="BI227" i="12"/>
  <c r="BI228" i="12"/>
  <c r="BI229" i="12"/>
  <c r="BI225" i="12"/>
  <c r="BI224" i="12"/>
  <c r="BI220" i="12"/>
  <c r="BI221" i="12"/>
  <c r="BI222" i="12"/>
  <c r="BI218" i="12"/>
  <c r="BI223" i="12"/>
  <c r="BI219" i="12"/>
  <c r="BI217" i="12"/>
  <c r="BI213" i="12"/>
  <c r="BI209" i="12"/>
  <c r="BI214" i="12"/>
  <c r="BI210" i="12"/>
  <c r="BI206" i="12"/>
  <c r="BI215" i="12"/>
  <c r="BI211" i="12"/>
  <c r="BI207" i="12"/>
  <c r="BI216" i="12"/>
  <c r="BI212" i="12"/>
  <c r="BI208" i="12"/>
  <c r="BI205" i="12"/>
  <c r="BI202" i="12"/>
  <c r="BI198" i="12"/>
  <c r="BI194" i="12"/>
  <c r="BI203" i="12"/>
  <c r="BI199" i="12"/>
  <c r="BI195" i="12"/>
  <c r="BI204" i="12"/>
  <c r="BI200" i="12"/>
  <c r="BI196" i="12"/>
  <c r="BI201" i="12"/>
  <c r="BI197" i="12"/>
  <c r="BI193" i="12"/>
  <c r="BI191" i="12"/>
  <c r="BI187" i="12"/>
  <c r="BI183" i="12"/>
  <c r="BI192" i="12"/>
  <c r="BI188" i="12"/>
  <c r="BI184" i="12"/>
  <c r="BI180" i="12"/>
  <c r="BI189" i="12"/>
  <c r="BI185" i="12"/>
  <c r="BI181" i="12"/>
  <c r="BI190" i="12"/>
  <c r="BI186" i="12"/>
  <c r="BI182" i="12"/>
  <c r="BI176" i="12"/>
  <c r="BI172" i="12"/>
  <c r="BI168" i="12"/>
  <c r="BI177" i="12"/>
  <c r="BI173" i="12"/>
  <c r="BI169" i="12"/>
  <c r="BI178" i="12"/>
  <c r="BI174" i="12"/>
  <c r="BI170" i="12"/>
  <c r="BI179" i="12"/>
  <c r="BI175" i="12"/>
  <c r="BI171" i="12"/>
  <c r="BI167" i="12"/>
  <c r="BI166" i="12"/>
  <c r="BI162" i="12"/>
  <c r="BI158" i="12"/>
  <c r="BI154" i="12"/>
  <c r="BI150" i="12"/>
  <c r="BI146" i="12"/>
  <c r="BI142" i="12"/>
  <c r="BI163" i="12"/>
  <c r="BI159" i="12"/>
  <c r="BI155" i="12"/>
  <c r="BI151" i="12"/>
  <c r="BI147" i="12"/>
  <c r="BI143" i="12"/>
  <c r="BI164" i="12"/>
  <c r="BI160" i="12"/>
  <c r="BI156" i="12"/>
  <c r="BI152" i="12"/>
  <c r="BI148" i="12"/>
  <c r="BI144" i="12"/>
  <c r="BI165" i="12"/>
  <c r="BI161" i="12"/>
  <c r="BI157" i="12"/>
  <c r="BI153" i="12"/>
  <c r="BI149" i="12"/>
  <c r="BI145" i="12"/>
  <c r="BI141" i="12"/>
  <c r="BI137" i="12"/>
  <c r="BI133" i="12"/>
  <c r="BI129" i="12"/>
  <c r="BI125" i="12"/>
  <c r="BI121" i="12"/>
  <c r="BI138" i="12"/>
  <c r="BI134" i="12"/>
  <c r="BI130" i="12"/>
  <c r="BI126" i="12"/>
  <c r="BI122" i="12"/>
  <c r="BI139" i="12"/>
  <c r="BI135" i="12"/>
  <c r="BI131" i="12"/>
  <c r="BI127" i="12"/>
  <c r="BI123" i="12"/>
  <c r="BI119" i="12"/>
  <c r="BI140" i="12"/>
  <c r="BI136" i="12"/>
  <c r="BI132" i="12"/>
  <c r="BI128" i="12"/>
  <c r="BI124" i="12"/>
  <c r="BI120" i="12"/>
  <c r="BI116" i="12"/>
  <c r="BI114" i="12"/>
  <c r="BI110" i="12"/>
  <c r="BI106" i="12"/>
  <c r="BI102" i="12"/>
  <c r="BI98" i="12"/>
  <c r="BI94" i="12"/>
  <c r="BI118" i="12"/>
  <c r="BI115" i="12"/>
  <c r="BI111" i="12"/>
  <c r="BI107" i="12"/>
  <c r="BI103" i="12"/>
  <c r="BI99" i="12"/>
  <c r="BI95" i="12"/>
  <c r="BI117" i="12"/>
  <c r="BI112" i="12"/>
  <c r="BI108" i="12"/>
  <c r="BI104" i="12"/>
  <c r="BI100" i="12"/>
  <c r="BI96" i="12"/>
  <c r="BI92" i="12"/>
  <c r="BI88" i="12"/>
  <c r="BI113" i="12"/>
  <c r="BI109" i="12"/>
  <c r="BI105" i="12"/>
  <c r="BI101" i="12"/>
  <c r="BI97" i="12"/>
  <c r="BI93" i="12"/>
  <c r="BI89" i="12"/>
  <c r="BI91" i="12"/>
  <c r="BI85" i="12"/>
  <c r="BI81" i="12"/>
  <c r="BI77" i="12"/>
  <c r="BI73" i="12"/>
  <c r="BI69" i="12"/>
  <c r="BI65" i="12"/>
  <c r="BI90" i="12"/>
  <c r="BI87" i="12"/>
  <c r="BI86" i="12"/>
  <c r="BI82" i="12"/>
  <c r="BI78" i="12"/>
  <c r="BI74" i="12"/>
  <c r="BI70" i="12"/>
  <c r="BI66" i="12"/>
  <c r="BI62" i="12"/>
  <c r="BI83" i="12"/>
  <c r="BI79" i="12"/>
  <c r="BI75" i="12"/>
  <c r="BI71" i="12"/>
  <c r="BI67" i="12"/>
  <c r="BI84" i="12"/>
  <c r="BI80" i="12"/>
  <c r="BI76" i="12"/>
  <c r="BI72" i="12"/>
  <c r="BI68" i="12"/>
  <c r="BI64" i="12"/>
  <c r="BI58" i="12"/>
  <c r="BI54" i="12"/>
  <c r="BI50" i="12"/>
  <c r="BI46" i="12"/>
  <c r="BI42" i="12"/>
  <c r="BI38" i="12"/>
  <c r="BI34" i="12"/>
  <c r="BI30" i="12"/>
  <c r="BI26" i="12"/>
  <c r="BI22" i="12"/>
  <c r="BI18" i="12"/>
  <c r="BI59" i="12"/>
  <c r="BI55" i="12"/>
  <c r="BI51" i="12"/>
  <c r="BI47" i="12"/>
  <c r="BI43" i="12"/>
  <c r="BI39" i="12"/>
  <c r="BI35" i="12"/>
  <c r="BI31" i="12"/>
  <c r="BI27" i="12"/>
  <c r="BI23" i="12"/>
  <c r="BI19" i="12"/>
  <c r="BI15" i="12"/>
  <c r="BI63" i="12"/>
  <c r="BI61" i="12"/>
  <c r="BI60" i="12"/>
  <c r="BI56" i="12"/>
  <c r="BI52" i="12"/>
  <c r="BI48" i="12"/>
  <c r="BI44" i="12"/>
  <c r="BI40" i="12"/>
  <c r="BI36" i="12"/>
  <c r="BI32" i="12"/>
  <c r="BI28" i="12"/>
  <c r="BI24" i="12"/>
  <c r="BI20" i="12"/>
  <c r="BI16" i="12"/>
  <c r="BI12" i="12"/>
  <c r="BI57" i="12"/>
  <c r="BI53" i="12"/>
  <c r="BI49" i="12"/>
  <c r="BI45" i="12"/>
  <c r="BI41" i="12"/>
  <c r="BI37" i="12"/>
  <c r="BI33" i="12"/>
  <c r="BI29" i="12"/>
  <c r="BI25" i="12"/>
  <c r="BI21" i="12"/>
  <c r="BI17" i="12"/>
  <c r="BI13" i="12"/>
  <c r="BM251" i="12"/>
  <c r="BM247" i="12"/>
  <c r="BM250" i="12"/>
  <c r="BM248" i="12"/>
  <c r="BM249" i="12"/>
  <c r="BM244" i="12"/>
  <c r="BM246" i="12"/>
  <c r="BM245" i="12"/>
  <c r="BM242" i="12"/>
  <c r="BM243" i="12"/>
  <c r="BM240" i="12"/>
  <c r="BM238" i="12"/>
  <c r="BM239" i="12"/>
  <c r="BM241" i="12"/>
  <c r="BM237" i="12"/>
  <c r="BM233" i="12"/>
  <c r="BM234" i="12"/>
  <c r="BM235" i="12"/>
  <c r="BM231" i="12"/>
  <c r="BM236" i="12"/>
  <c r="BM232" i="12"/>
  <c r="BM230" i="12"/>
  <c r="BM226" i="12"/>
  <c r="BM227" i="12"/>
  <c r="BM228" i="12"/>
  <c r="BM229" i="12"/>
  <c r="BM225" i="12"/>
  <c r="BM224" i="12"/>
  <c r="BM220" i="12"/>
  <c r="BM221" i="12"/>
  <c r="BM222" i="12"/>
  <c r="BM218" i="12"/>
  <c r="BM223" i="12"/>
  <c r="BM219" i="12"/>
  <c r="BM217" i="12"/>
  <c r="BM213" i="12"/>
  <c r="BM209" i="12"/>
  <c r="BM205" i="12"/>
  <c r="BM214" i="12"/>
  <c r="BM210" i="12"/>
  <c r="BM206" i="12"/>
  <c r="BM215" i="12"/>
  <c r="BM211" i="12"/>
  <c r="BM207" i="12"/>
  <c r="BM216" i="12"/>
  <c r="BM212" i="12"/>
  <c r="BM208" i="12"/>
  <c r="BM202" i="12"/>
  <c r="BM198" i="12"/>
  <c r="BM194" i="12"/>
  <c r="BM203" i="12"/>
  <c r="BM199" i="12"/>
  <c r="BM195" i="12"/>
  <c r="BM204" i="12"/>
  <c r="BM200" i="12"/>
  <c r="BM196" i="12"/>
  <c r="BM201" i="12"/>
  <c r="BM197" i="12"/>
  <c r="BM193" i="12"/>
  <c r="BM191" i="12"/>
  <c r="BM187" i="12"/>
  <c r="BM183" i="12"/>
  <c r="BM192" i="12"/>
  <c r="BM188" i="12"/>
  <c r="BM184" i="12"/>
  <c r="BM180" i="12"/>
  <c r="BM189" i="12"/>
  <c r="BM185" i="12"/>
  <c r="BM181" i="12"/>
  <c r="BM190" i="12"/>
  <c r="BM186" i="12"/>
  <c r="BM182" i="12"/>
  <c r="BM176" i="12"/>
  <c r="BM172" i="12"/>
  <c r="BM168" i="12"/>
  <c r="BM177" i="12"/>
  <c r="BM173" i="12"/>
  <c r="BM169" i="12"/>
  <c r="BM178" i="12"/>
  <c r="BM174" i="12"/>
  <c r="BM170" i="12"/>
  <c r="BM179" i="12"/>
  <c r="BM175" i="12"/>
  <c r="BM171" i="12"/>
  <c r="BM167" i="12"/>
  <c r="BM166" i="12"/>
  <c r="BM162" i="12"/>
  <c r="BM158" i="12"/>
  <c r="BM154" i="12"/>
  <c r="BM150" i="12"/>
  <c r="BM146" i="12"/>
  <c r="BM142" i="12"/>
  <c r="BM163" i="12"/>
  <c r="BM159" i="12"/>
  <c r="BM155" i="12"/>
  <c r="BM151" i="12"/>
  <c r="BM147" i="12"/>
  <c r="BM143" i="12"/>
  <c r="BM164" i="12"/>
  <c r="BM160" i="12"/>
  <c r="BM156" i="12"/>
  <c r="BM152" i="12"/>
  <c r="BM148" i="12"/>
  <c r="BM144" i="12"/>
  <c r="BM165" i="12"/>
  <c r="BM161" i="12"/>
  <c r="BM157" i="12"/>
  <c r="BM153" i="12"/>
  <c r="BM149" i="12"/>
  <c r="BM145" i="12"/>
  <c r="BM141" i="12"/>
  <c r="BM137" i="12"/>
  <c r="BM133" i="12"/>
  <c r="BM129" i="12"/>
  <c r="BM125" i="12"/>
  <c r="BM121" i="12"/>
  <c r="BM138" i="12"/>
  <c r="BM134" i="12"/>
  <c r="BM130" i="12"/>
  <c r="BM126" i="12"/>
  <c r="BM122" i="12"/>
  <c r="BM139" i="12"/>
  <c r="BM135" i="12"/>
  <c r="BM131" i="12"/>
  <c r="BM127" i="12"/>
  <c r="BM123" i="12"/>
  <c r="BM119" i="12"/>
  <c r="BM140" i="12"/>
  <c r="BM136" i="12"/>
  <c r="BM132" i="12"/>
  <c r="BM128" i="12"/>
  <c r="BM124" i="12"/>
  <c r="BM120" i="12"/>
  <c r="BM116" i="12"/>
  <c r="BM118" i="12"/>
  <c r="BM117" i="12"/>
  <c r="BM114" i="12"/>
  <c r="BM110" i="12"/>
  <c r="BM106" i="12"/>
  <c r="BM102" i="12"/>
  <c r="BM98" i="12"/>
  <c r="BM94" i="12"/>
  <c r="BM115" i="12"/>
  <c r="BM111" i="12"/>
  <c r="BM107" i="12"/>
  <c r="BM103" i="12"/>
  <c r="BM99" i="12"/>
  <c r="BM95" i="12"/>
  <c r="BM91" i="12"/>
  <c r="BM112" i="12"/>
  <c r="BM108" i="12"/>
  <c r="BM104" i="12"/>
  <c r="BM100" i="12"/>
  <c r="BM96" i="12"/>
  <c r="BM92" i="12"/>
  <c r="BM88" i="12"/>
  <c r="BM113" i="12"/>
  <c r="BM109" i="12"/>
  <c r="BM105" i="12"/>
  <c r="BM101" i="12"/>
  <c r="BM97" i="12"/>
  <c r="BM93" i="12"/>
  <c r="BM89" i="12"/>
  <c r="BM85" i="12"/>
  <c r="BM81" i="12"/>
  <c r="BM77" i="12"/>
  <c r="BM73" i="12"/>
  <c r="BM69" i="12"/>
  <c r="BM65" i="12"/>
  <c r="BM86" i="12"/>
  <c r="BM82" i="12"/>
  <c r="BM78" i="12"/>
  <c r="BM74" i="12"/>
  <c r="BM70" i="12"/>
  <c r="BM66" i="12"/>
  <c r="BM62" i="12"/>
  <c r="BM87" i="12"/>
  <c r="BM83" i="12"/>
  <c r="BM79" i="12"/>
  <c r="BM75" i="12"/>
  <c r="BM71" i="12"/>
  <c r="BM67" i="12"/>
  <c r="BM90" i="12"/>
  <c r="BM84" i="12"/>
  <c r="BM80" i="12"/>
  <c r="BM76" i="12"/>
  <c r="BM72" i="12"/>
  <c r="BM68" i="12"/>
  <c r="BM64" i="12"/>
  <c r="BM63" i="12"/>
  <c r="BM61" i="12"/>
  <c r="BM58" i="12"/>
  <c r="BM54" i="12"/>
  <c r="BM50" i="12"/>
  <c r="BM46" i="12"/>
  <c r="BM42" i="12"/>
  <c r="BM38" i="12"/>
  <c r="BM34" i="12"/>
  <c r="BM30" i="12"/>
  <c r="BM26" i="12"/>
  <c r="BM22" i="12"/>
  <c r="BM18" i="12"/>
  <c r="BM59" i="12"/>
  <c r="BM55" i="12"/>
  <c r="BM51" i="12"/>
  <c r="BM47" i="12"/>
  <c r="BM43" i="12"/>
  <c r="BM39" i="12"/>
  <c r="BM35" i="12"/>
  <c r="BM31" i="12"/>
  <c r="BM27" i="12"/>
  <c r="BM23" i="12"/>
  <c r="BM19" i="12"/>
  <c r="BM15" i="12"/>
  <c r="BM60" i="12"/>
  <c r="BM56" i="12"/>
  <c r="BM52" i="12"/>
  <c r="BM48" i="12"/>
  <c r="BM44" i="12"/>
  <c r="BM40" i="12"/>
  <c r="BM36" i="12"/>
  <c r="BM32" i="12"/>
  <c r="BM28" i="12"/>
  <c r="BM24" i="12"/>
  <c r="BM20" i="12"/>
  <c r="BM16" i="12"/>
  <c r="BM12" i="12"/>
  <c r="BM57" i="12"/>
  <c r="BM53" i="12"/>
  <c r="BM49" i="12"/>
  <c r="BM45" i="12"/>
  <c r="BM41" i="12"/>
  <c r="BM37" i="12"/>
  <c r="BM33" i="12"/>
  <c r="BM29" i="12"/>
  <c r="BM25" i="12"/>
  <c r="BM21" i="12"/>
  <c r="BM17" i="12"/>
  <c r="BM13" i="12"/>
  <c r="BQ251" i="12"/>
  <c r="BQ249" i="12"/>
  <c r="BQ247" i="12"/>
  <c r="BQ248" i="12"/>
  <c r="BQ250" i="12"/>
  <c r="BQ246" i="12"/>
  <c r="BQ244" i="12"/>
  <c r="BQ242" i="12"/>
  <c r="BQ243" i="12"/>
  <c r="BQ240" i="12"/>
  <c r="BQ245" i="12"/>
  <c r="BQ238" i="12"/>
  <c r="BQ241" i="12"/>
  <c r="BQ239" i="12"/>
  <c r="BQ237" i="12"/>
  <c r="BQ233" i="12"/>
  <c r="BQ234" i="12"/>
  <c r="BQ235" i="12"/>
  <c r="BQ231" i="12"/>
  <c r="BQ236" i="12"/>
  <c r="BQ232" i="12"/>
  <c r="BQ230" i="12"/>
  <c r="BQ226" i="12"/>
  <c r="BQ227" i="12"/>
  <c r="BQ228" i="12"/>
  <c r="BQ229" i="12"/>
  <c r="BQ225" i="12"/>
  <c r="BQ224" i="12"/>
  <c r="BQ220" i="12"/>
  <c r="BQ221" i="12"/>
  <c r="BQ222" i="12"/>
  <c r="BQ218" i="12"/>
  <c r="BQ223" i="12"/>
  <c r="BQ219" i="12"/>
  <c r="BQ217" i="12"/>
  <c r="BQ213" i="12"/>
  <c r="BQ209" i="12"/>
  <c r="BQ205" i="12"/>
  <c r="BQ214" i="12"/>
  <c r="BQ210" i="12"/>
  <c r="BQ206" i="12"/>
  <c r="BQ215" i="12"/>
  <c r="BQ211" i="12"/>
  <c r="BQ207" i="12"/>
  <c r="BQ216" i="12"/>
  <c r="BQ212" i="12"/>
  <c r="BQ208" i="12"/>
  <c r="BQ202" i="12"/>
  <c r="BQ198" i="12"/>
  <c r="BQ194" i="12"/>
  <c r="BQ203" i="12"/>
  <c r="BQ199" i="12"/>
  <c r="BQ195" i="12"/>
  <c r="BQ204" i="12"/>
  <c r="BQ200" i="12"/>
  <c r="BQ196" i="12"/>
  <c r="BQ201" i="12"/>
  <c r="BQ197" i="12"/>
  <c r="BQ193" i="12"/>
  <c r="BQ191" i="12"/>
  <c r="BQ187" i="12"/>
  <c r="BQ183" i="12"/>
  <c r="BQ192" i="12"/>
  <c r="BQ188" i="12"/>
  <c r="BQ184" i="12"/>
  <c r="BQ180" i="12"/>
  <c r="BQ189" i="12"/>
  <c r="BQ185" i="12"/>
  <c r="BQ181" i="12"/>
  <c r="BQ190" i="12"/>
  <c r="BQ186" i="12"/>
  <c r="BQ182" i="12"/>
  <c r="BQ176" i="12"/>
  <c r="BQ172" i="12"/>
  <c r="BQ168" i="12"/>
  <c r="BQ177" i="12"/>
  <c r="BQ173" i="12"/>
  <c r="BQ169" i="12"/>
  <c r="BQ178" i="12"/>
  <c r="BQ174" i="12"/>
  <c r="BQ170" i="12"/>
  <c r="BQ179" i="12"/>
  <c r="BQ175" i="12"/>
  <c r="BQ171" i="12"/>
  <c r="BQ167" i="12"/>
  <c r="BQ166" i="12"/>
  <c r="BQ162" i="12"/>
  <c r="BQ158" i="12"/>
  <c r="BQ154" i="12"/>
  <c r="BQ150" i="12"/>
  <c r="BQ146" i="12"/>
  <c r="BQ142" i="12"/>
  <c r="BQ163" i="12"/>
  <c r="BQ159" i="12"/>
  <c r="BQ155" i="12"/>
  <c r="BQ151" i="12"/>
  <c r="BQ147" i="12"/>
  <c r="BQ143" i="12"/>
  <c r="BQ164" i="12"/>
  <c r="BQ160" i="12"/>
  <c r="BQ156" i="12"/>
  <c r="BQ152" i="12"/>
  <c r="BQ148" i="12"/>
  <c r="BQ144" i="12"/>
  <c r="BQ165" i="12"/>
  <c r="BQ161" i="12"/>
  <c r="BQ157" i="12"/>
  <c r="BQ153" i="12"/>
  <c r="BQ149" i="12"/>
  <c r="BQ145" i="12"/>
  <c r="BQ141" i="12"/>
  <c r="BQ137" i="12"/>
  <c r="BQ133" i="12"/>
  <c r="BQ129" i="12"/>
  <c r="BQ125" i="12"/>
  <c r="BQ121" i="12"/>
  <c r="BQ138" i="12"/>
  <c r="BQ134" i="12"/>
  <c r="BQ130" i="12"/>
  <c r="BQ126" i="12"/>
  <c r="BQ122" i="12"/>
  <c r="BQ139" i="12"/>
  <c r="BQ135" i="12"/>
  <c r="BQ131" i="12"/>
  <c r="BQ127" i="12"/>
  <c r="BQ123" i="12"/>
  <c r="BQ119" i="12"/>
  <c r="BQ140" i="12"/>
  <c r="BQ136" i="12"/>
  <c r="BQ132" i="12"/>
  <c r="BQ128" i="12"/>
  <c r="BQ124" i="12"/>
  <c r="BQ120" i="12"/>
  <c r="BQ116" i="12"/>
  <c r="BQ114" i="12"/>
  <c r="BQ110" i="12"/>
  <c r="BQ106" i="12"/>
  <c r="BQ102" i="12"/>
  <c r="BQ98" i="12"/>
  <c r="BQ94" i="12"/>
  <c r="BQ115" i="12"/>
  <c r="BQ111" i="12"/>
  <c r="BQ107" i="12"/>
  <c r="BQ103" i="12"/>
  <c r="BQ99" i="12"/>
  <c r="BQ95" i="12"/>
  <c r="BQ91" i="12"/>
  <c r="BQ117" i="12"/>
  <c r="BQ112" i="12"/>
  <c r="BQ108" i="12"/>
  <c r="BQ104" i="12"/>
  <c r="BQ100" i="12"/>
  <c r="BQ96" i="12"/>
  <c r="BQ92" i="12"/>
  <c r="BQ88" i="12"/>
  <c r="BQ118" i="12"/>
  <c r="BQ113" i="12"/>
  <c r="BQ109" i="12"/>
  <c r="BQ105" i="12"/>
  <c r="BQ101" i="12"/>
  <c r="BQ97" i="12"/>
  <c r="BQ93" i="12"/>
  <c r="BQ89" i="12"/>
  <c r="BQ85" i="12"/>
  <c r="BQ81" i="12"/>
  <c r="BQ77" i="12"/>
  <c r="BQ73" i="12"/>
  <c r="BQ69" i="12"/>
  <c r="BQ65" i="12"/>
  <c r="BQ90" i="12"/>
  <c r="BQ86" i="12"/>
  <c r="BQ82" i="12"/>
  <c r="BQ78" i="12"/>
  <c r="BQ74" i="12"/>
  <c r="BQ70" i="12"/>
  <c r="BQ66" i="12"/>
  <c r="BQ62" i="12"/>
  <c r="BQ83" i="12"/>
  <c r="BQ79" i="12"/>
  <c r="BQ75" i="12"/>
  <c r="BQ71" i="12"/>
  <c r="BQ67" i="12"/>
  <c r="BQ87" i="12"/>
  <c r="BQ84" i="12"/>
  <c r="BQ80" i="12"/>
  <c r="BQ76" i="12"/>
  <c r="BQ72" i="12"/>
  <c r="BQ68" i="12"/>
  <c r="BQ64" i="12"/>
  <c r="BQ58" i="12"/>
  <c r="BQ54" i="12"/>
  <c r="BQ50" i="12"/>
  <c r="BQ46" i="12"/>
  <c r="BQ42" i="12"/>
  <c r="BQ38" i="12"/>
  <c r="BQ34" i="12"/>
  <c r="BQ30" i="12"/>
  <c r="BQ26" i="12"/>
  <c r="BQ22" i="12"/>
  <c r="BQ18" i="12"/>
  <c r="BQ59" i="12"/>
  <c r="BQ55" i="12"/>
  <c r="BQ51" i="12"/>
  <c r="BQ47" i="12"/>
  <c r="BQ43" i="12"/>
  <c r="BQ39" i="12"/>
  <c r="BQ35" i="12"/>
  <c r="BQ31" i="12"/>
  <c r="BQ27" i="12"/>
  <c r="BQ23" i="12"/>
  <c r="BQ19" i="12"/>
  <c r="BQ15" i="12"/>
  <c r="BQ63" i="12"/>
  <c r="BQ61" i="12"/>
  <c r="BQ60" i="12"/>
  <c r="BQ56" i="12"/>
  <c r="BQ52" i="12"/>
  <c r="BQ48" i="12"/>
  <c r="BQ44" i="12"/>
  <c r="BQ40" i="12"/>
  <c r="BQ36" i="12"/>
  <c r="BQ32" i="12"/>
  <c r="BQ28" i="12"/>
  <c r="BQ24" i="12"/>
  <c r="BQ20" i="12"/>
  <c r="BQ16" i="12"/>
  <c r="BQ12" i="12"/>
  <c r="BQ57" i="12"/>
  <c r="BQ53" i="12"/>
  <c r="BQ49" i="12"/>
  <c r="BQ45" i="12"/>
  <c r="BQ41" i="12"/>
  <c r="BQ37" i="12"/>
  <c r="BQ33" i="12"/>
  <c r="BQ29" i="12"/>
  <c r="BQ25" i="12"/>
  <c r="BQ21" i="12"/>
  <c r="BQ17" i="12"/>
  <c r="BQ13" i="12"/>
  <c r="BU251" i="12"/>
  <c r="BU247" i="12"/>
  <c r="BU250" i="12"/>
  <c r="BU248" i="12"/>
  <c r="BU249" i="12"/>
  <c r="BU246" i="12"/>
  <c r="BU244" i="12"/>
  <c r="BU242" i="12"/>
  <c r="BU243" i="12"/>
  <c r="BU245" i="12"/>
  <c r="BU240" i="12"/>
  <c r="BU241" i="12"/>
  <c r="BU238" i="12"/>
  <c r="BU239" i="12"/>
  <c r="BU237" i="12"/>
  <c r="BU233" i="12"/>
  <c r="BU234" i="12"/>
  <c r="BU235" i="12"/>
  <c r="BU231" i="12"/>
  <c r="BU236" i="12"/>
  <c r="BU232" i="12"/>
  <c r="BU230" i="12"/>
  <c r="BU226" i="12"/>
  <c r="BU227" i="12"/>
  <c r="BU228" i="12"/>
  <c r="BU229" i="12"/>
  <c r="BU225" i="12"/>
  <c r="BU224" i="12"/>
  <c r="BU220" i="12"/>
  <c r="BU221" i="12"/>
  <c r="BU222" i="12"/>
  <c r="BU218" i="12"/>
  <c r="BU223" i="12"/>
  <c r="BU219" i="12"/>
  <c r="BU217" i="12"/>
  <c r="BU213" i="12"/>
  <c r="BU209" i="12"/>
  <c r="BU205" i="12"/>
  <c r="BU214" i="12"/>
  <c r="BU210" i="12"/>
  <c r="BU206" i="12"/>
  <c r="BU215" i="12"/>
  <c r="BU211" i="12"/>
  <c r="BU207" i="12"/>
  <c r="BU216" i="12"/>
  <c r="BU212" i="12"/>
  <c r="BU208" i="12"/>
  <c r="BU202" i="12"/>
  <c r="BU198" i="12"/>
  <c r="BU194" i="12"/>
  <c r="BU203" i="12"/>
  <c r="BU199" i="12"/>
  <c r="BU195" i="12"/>
  <c r="BU204" i="12"/>
  <c r="BU200" i="12"/>
  <c r="BU196" i="12"/>
  <c r="BU201" i="12"/>
  <c r="BU197" i="12"/>
  <c r="BU193" i="12"/>
  <c r="BU191" i="12"/>
  <c r="BU187" i="12"/>
  <c r="BU183" i="12"/>
  <c r="BU192" i="12"/>
  <c r="BU188" i="12"/>
  <c r="BU184" i="12"/>
  <c r="BU180" i="12"/>
  <c r="BU189" i="12"/>
  <c r="BU185" i="12"/>
  <c r="BU181" i="12"/>
  <c r="BU190" i="12"/>
  <c r="BU186" i="12"/>
  <c r="BU182" i="12"/>
  <c r="BU176" i="12"/>
  <c r="BU172" i="12"/>
  <c r="BU168" i="12"/>
  <c r="BU177" i="12"/>
  <c r="BU173" i="12"/>
  <c r="BU169" i="12"/>
  <c r="BU178" i="12"/>
  <c r="BU174" i="12"/>
  <c r="BU170" i="12"/>
  <c r="BU179" i="12"/>
  <c r="BU175" i="12"/>
  <c r="BU171" i="12"/>
  <c r="BU167" i="12"/>
  <c r="BU166" i="12"/>
  <c r="BU162" i="12"/>
  <c r="BU158" i="12"/>
  <c r="BU154" i="12"/>
  <c r="BU150" i="12"/>
  <c r="BU146" i="12"/>
  <c r="BU142" i="12"/>
  <c r="BU163" i="12"/>
  <c r="BU159" i="12"/>
  <c r="BU155" i="12"/>
  <c r="BU151" i="12"/>
  <c r="BU147" i="12"/>
  <c r="BU143" i="12"/>
  <c r="BU164" i="12"/>
  <c r="BU160" i="12"/>
  <c r="BU156" i="12"/>
  <c r="BU152" i="12"/>
  <c r="BU148" i="12"/>
  <c r="BU144" i="12"/>
  <c r="BU165" i="12"/>
  <c r="BU161" i="12"/>
  <c r="BU157" i="12"/>
  <c r="BU153" i="12"/>
  <c r="BU149" i="12"/>
  <c r="BU145" i="12"/>
  <c r="BU141" i="12"/>
  <c r="BU137" i="12"/>
  <c r="BU133" i="12"/>
  <c r="BU129" i="12"/>
  <c r="BU125" i="12"/>
  <c r="BU121" i="12"/>
  <c r="BU138" i="12"/>
  <c r="BU134" i="12"/>
  <c r="BU130" i="12"/>
  <c r="BU126" i="12"/>
  <c r="BU122" i="12"/>
  <c r="BU139" i="12"/>
  <c r="BU135" i="12"/>
  <c r="BU131" i="12"/>
  <c r="BU127" i="12"/>
  <c r="BU123" i="12"/>
  <c r="BU119" i="12"/>
  <c r="BU140" i="12"/>
  <c r="BU136" i="12"/>
  <c r="BU132" i="12"/>
  <c r="BU128" i="12"/>
  <c r="BU124" i="12"/>
  <c r="BU120" i="12"/>
  <c r="BU116" i="12"/>
  <c r="BU117" i="12"/>
  <c r="BU114" i="12"/>
  <c r="BU110" i="12"/>
  <c r="BU106" i="12"/>
  <c r="BU102" i="12"/>
  <c r="BU98" i="12"/>
  <c r="BU94" i="12"/>
  <c r="BU115" i="12"/>
  <c r="BU111" i="12"/>
  <c r="BU107" i="12"/>
  <c r="BU103" i="12"/>
  <c r="BU99" i="12"/>
  <c r="BU95" i="12"/>
  <c r="BU91" i="12"/>
  <c r="BU118" i="12"/>
  <c r="BU112" i="12"/>
  <c r="BU108" i="12"/>
  <c r="BU104" i="12"/>
  <c r="BU100" i="12"/>
  <c r="BU96" i="12"/>
  <c r="BU92" i="12"/>
  <c r="BU88" i="12"/>
  <c r="BU113" i="12"/>
  <c r="BU109" i="12"/>
  <c r="BU105" i="12"/>
  <c r="BU101" i="12"/>
  <c r="BU97" i="12"/>
  <c r="BU93" i="12"/>
  <c r="BU89" i="12"/>
  <c r="BU87" i="12"/>
  <c r="BU85" i="12"/>
  <c r="BU81" i="12"/>
  <c r="BU77" i="12"/>
  <c r="BU73" i="12"/>
  <c r="BU69" i="12"/>
  <c r="BU65" i="12"/>
  <c r="BU86" i="12"/>
  <c r="BU82" i="12"/>
  <c r="BU78" i="12"/>
  <c r="BU74" i="12"/>
  <c r="BU70" i="12"/>
  <c r="BU66" i="12"/>
  <c r="BU62" i="12"/>
  <c r="BU83" i="12"/>
  <c r="BU79" i="12"/>
  <c r="BU75" i="12"/>
  <c r="BU71" i="12"/>
  <c r="BU67" i="12"/>
  <c r="BU90" i="12"/>
  <c r="BU84" i="12"/>
  <c r="BU80" i="12"/>
  <c r="BU76" i="12"/>
  <c r="BU72" i="12"/>
  <c r="BU68" i="12"/>
  <c r="BU64" i="12"/>
  <c r="BU63" i="12"/>
  <c r="BU61" i="12"/>
  <c r="BU58" i="12"/>
  <c r="BU54" i="12"/>
  <c r="BU50" i="12"/>
  <c r="BU46" i="12"/>
  <c r="BU42" i="12"/>
  <c r="BU38" i="12"/>
  <c r="BU34" i="12"/>
  <c r="BU30" i="12"/>
  <c r="BU26" i="12"/>
  <c r="BU22" i="12"/>
  <c r="BU18" i="12"/>
  <c r="BU59" i="12"/>
  <c r="BU55" i="12"/>
  <c r="BU51" i="12"/>
  <c r="BU47" i="12"/>
  <c r="BU43" i="12"/>
  <c r="BU39" i="12"/>
  <c r="BU35" i="12"/>
  <c r="BU31" i="12"/>
  <c r="BU27" i="12"/>
  <c r="BU23" i="12"/>
  <c r="BU19" i="12"/>
  <c r="BU15" i="12"/>
  <c r="BU60" i="12"/>
  <c r="BU56" i="12"/>
  <c r="BU52" i="12"/>
  <c r="BU48" i="12"/>
  <c r="BU44" i="12"/>
  <c r="BU40" i="12"/>
  <c r="BU36" i="12"/>
  <c r="BU32" i="12"/>
  <c r="BU28" i="12"/>
  <c r="BU24" i="12"/>
  <c r="BU20" i="12"/>
  <c r="BU16" i="12"/>
  <c r="BU12" i="12"/>
  <c r="BU57" i="12"/>
  <c r="BU53" i="12"/>
  <c r="BU49" i="12"/>
  <c r="BU45" i="12"/>
  <c r="BU41" i="12"/>
  <c r="BU37" i="12"/>
  <c r="BU33" i="12"/>
  <c r="BU29" i="12"/>
  <c r="BU25" i="12"/>
  <c r="BU21" i="12"/>
  <c r="BU17" i="12"/>
  <c r="BU13" i="12"/>
  <c r="BY251" i="12"/>
  <c r="BY249" i="12"/>
  <c r="BY247" i="12"/>
  <c r="BY248" i="12"/>
  <c r="BY246" i="12"/>
  <c r="BY244" i="12"/>
  <c r="BY242" i="12"/>
  <c r="BY250" i="12"/>
  <c r="BY245" i="12"/>
  <c r="BY243" i="12"/>
  <c r="BY240" i="12"/>
  <c r="BY238" i="12"/>
  <c r="BY241" i="12"/>
  <c r="BY239" i="12"/>
  <c r="BY237" i="12"/>
  <c r="BY233" i="12"/>
  <c r="BY234" i="12"/>
  <c r="BY235" i="12"/>
  <c r="BY231" i="12"/>
  <c r="BY236" i="12"/>
  <c r="BY232" i="12"/>
  <c r="BY230" i="12"/>
  <c r="BY226" i="12"/>
  <c r="BY227" i="12"/>
  <c r="BY228" i="12"/>
  <c r="BY224" i="12"/>
  <c r="BY229" i="12"/>
  <c r="BY225" i="12"/>
  <c r="BY220" i="12"/>
  <c r="BY221" i="12"/>
  <c r="BY222" i="12"/>
  <c r="BY218" i="12"/>
  <c r="BY223" i="12"/>
  <c r="BY219" i="12"/>
  <c r="BY217" i="12"/>
  <c r="BY213" i="12"/>
  <c r="BY209" i="12"/>
  <c r="BY205" i="12"/>
  <c r="BY214" i="12"/>
  <c r="BY210" i="12"/>
  <c r="BY206" i="12"/>
  <c r="BY215" i="12"/>
  <c r="BY211" i="12"/>
  <c r="BY207" i="12"/>
  <c r="BY216" i="12"/>
  <c r="BY212" i="12"/>
  <c r="BY208" i="12"/>
  <c r="BY202" i="12"/>
  <c r="BY198" i="12"/>
  <c r="BY194" i="12"/>
  <c r="BY203" i="12"/>
  <c r="BY199" i="12"/>
  <c r="BY195" i="12"/>
  <c r="BY204" i="12"/>
  <c r="BY200" i="12"/>
  <c r="BY196" i="12"/>
  <c r="BY201" i="12"/>
  <c r="BY197" i="12"/>
  <c r="BY193" i="12"/>
  <c r="BY191" i="12"/>
  <c r="BY187" i="12"/>
  <c r="BY183" i="12"/>
  <c r="BY192" i="12"/>
  <c r="BY188" i="12"/>
  <c r="BY184" i="12"/>
  <c r="BY180" i="12"/>
  <c r="BY189" i="12"/>
  <c r="BY185" i="12"/>
  <c r="BY181" i="12"/>
  <c r="BY190" i="12"/>
  <c r="BY186" i="12"/>
  <c r="BY182" i="12"/>
  <c r="BY176" i="12"/>
  <c r="BY172" i="12"/>
  <c r="BY168" i="12"/>
  <c r="BY177" i="12"/>
  <c r="BY173" i="12"/>
  <c r="BY169" i="12"/>
  <c r="BY178" i="12"/>
  <c r="BY174" i="12"/>
  <c r="BY170" i="12"/>
  <c r="BY179" i="12"/>
  <c r="BY175" i="12"/>
  <c r="BY171" i="12"/>
  <c r="BY167" i="12"/>
  <c r="BY166" i="12"/>
  <c r="BY162" i="12"/>
  <c r="BY158" i="12"/>
  <c r="BY154" i="12"/>
  <c r="BY150" i="12"/>
  <c r="BY146" i="12"/>
  <c r="BY142" i="12"/>
  <c r="BY163" i="12"/>
  <c r="BY159" i="12"/>
  <c r="BY155" i="12"/>
  <c r="BY151" i="12"/>
  <c r="BY147" i="12"/>
  <c r="BY143" i="12"/>
  <c r="BY164" i="12"/>
  <c r="BY160" i="12"/>
  <c r="BY156" i="12"/>
  <c r="BY152" i="12"/>
  <c r="BY148" i="12"/>
  <c r="BY144" i="12"/>
  <c r="BY165" i="12"/>
  <c r="BY161" i="12"/>
  <c r="BY157" i="12"/>
  <c r="BY153" i="12"/>
  <c r="BY149" i="12"/>
  <c r="BY145" i="12"/>
  <c r="BY141" i="12"/>
  <c r="BY137" i="12"/>
  <c r="BY133" i="12"/>
  <c r="BY129" i="12"/>
  <c r="BY125" i="12"/>
  <c r="BY121" i="12"/>
  <c r="BY138" i="12"/>
  <c r="BY134" i="12"/>
  <c r="BY130" i="12"/>
  <c r="BY126" i="12"/>
  <c r="BY122" i="12"/>
  <c r="BY139" i="12"/>
  <c r="BY135" i="12"/>
  <c r="BY131" i="12"/>
  <c r="BY127" i="12"/>
  <c r="BY123" i="12"/>
  <c r="BY119" i="12"/>
  <c r="BY140" i="12"/>
  <c r="BY136" i="12"/>
  <c r="BY132" i="12"/>
  <c r="BY128" i="12"/>
  <c r="BY124" i="12"/>
  <c r="BY120" i="12"/>
  <c r="BY116" i="12"/>
  <c r="BY114" i="12"/>
  <c r="BY110" i="12"/>
  <c r="BY106" i="12"/>
  <c r="BY102" i="12"/>
  <c r="BY98" i="12"/>
  <c r="BY94" i="12"/>
  <c r="BY118" i="12"/>
  <c r="BY115" i="12"/>
  <c r="BY111" i="12"/>
  <c r="BY107" i="12"/>
  <c r="BY103" i="12"/>
  <c r="BY99" i="12"/>
  <c r="BY95" i="12"/>
  <c r="BY91" i="12"/>
  <c r="BY117" i="12"/>
  <c r="BY112" i="12"/>
  <c r="BY108" i="12"/>
  <c r="BY104" i="12"/>
  <c r="BY100" i="12"/>
  <c r="BY96" i="12"/>
  <c r="BY92" i="12"/>
  <c r="BY88" i="12"/>
  <c r="BY113" i="12"/>
  <c r="BY109" i="12"/>
  <c r="BY105" i="12"/>
  <c r="BY101" i="12"/>
  <c r="BY97" i="12"/>
  <c r="BY93" i="12"/>
  <c r="BY89" i="12"/>
  <c r="BY85" i="12"/>
  <c r="BY81" i="12"/>
  <c r="BY77" i="12"/>
  <c r="BY73" i="12"/>
  <c r="BY69" i="12"/>
  <c r="BY65" i="12"/>
  <c r="BY90" i="12"/>
  <c r="BY87" i="12"/>
  <c r="BY86" i="12"/>
  <c r="BY82" i="12"/>
  <c r="BY78" i="12"/>
  <c r="BY74" i="12"/>
  <c r="BY70" i="12"/>
  <c r="BY66" i="12"/>
  <c r="BY62" i="12"/>
  <c r="BY83" i="12"/>
  <c r="BY79" i="12"/>
  <c r="BY75" i="12"/>
  <c r="BY71" i="12"/>
  <c r="BY67" i="12"/>
  <c r="BY84" i="12"/>
  <c r="BY80" i="12"/>
  <c r="BY76" i="12"/>
  <c r="BY72" i="12"/>
  <c r="BY68" i="12"/>
  <c r="BY64" i="12"/>
  <c r="BY58" i="12"/>
  <c r="BY54" i="12"/>
  <c r="BY50" i="12"/>
  <c r="BY46" i="12"/>
  <c r="BY42" i="12"/>
  <c r="BY38" i="12"/>
  <c r="BY34" i="12"/>
  <c r="BY30" i="12"/>
  <c r="BY26" i="12"/>
  <c r="BY22" i="12"/>
  <c r="BY18" i="12"/>
  <c r="BY59" i="12"/>
  <c r="BY55" i="12"/>
  <c r="BY51" i="12"/>
  <c r="BY47" i="12"/>
  <c r="BY43" i="12"/>
  <c r="BY39" i="12"/>
  <c r="BY35" i="12"/>
  <c r="BY31" i="12"/>
  <c r="BY27" i="12"/>
  <c r="BY23" i="12"/>
  <c r="BY19" i="12"/>
  <c r="BY15" i="12"/>
  <c r="BY63" i="12"/>
  <c r="BY61" i="12"/>
  <c r="BY60" i="12"/>
  <c r="BY56" i="12"/>
  <c r="BY52" i="12"/>
  <c r="BY48" i="12"/>
  <c r="BY44" i="12"/>
  <c r="BY40" i="12"/>
  <c r="BY36" i="12"/>
  <c r="BY32" i="12"/>
  <c r="BY28" i="12"/>
  <c r="BY24" i="12"/>
  <c r="BY20" i="12"/>
  <c r="BY16" i="12"/>
  <c r="BY12" i="12"/>
  <c r="BY57" i="12"/>
  <c r="BY53" i="12"/>
  <c r="BY49" i="12"/>
  <c r="BY45" i="12"/>
  <c r="BY41" i="12"/>
  <c r="BY37" i="12"/>
  <c r="BY33" i="12"/>
  <c r="BY29" i="12"/>
  <c r="BY25" i="12"/>
  <c r="BY21" i="12"/>
  <c r="BY17" i="12"/>
  <c r="BY13" i="12"/>
  <c r="CC251" i="12"/>
  <c r="CC247" i="12"/>
  <c r="CC250" i="12"/>
  <c r="CC248" i="12"/>
  <c r="CC249" i="12"/>
  <c r="CC244" i="12"/>
  <c r="CC245" i="12"/>
  <c r="CC242" i="12"/>
  <c r="CC246" i="12"/>
  <c r="CC243" i="12"/>
  <c r="CC240" i="12"/>
  <c r="CC238" i="12"/>
  <c r="CC239" i="12"/>
  <c r="CC241" i="12"/>
  <c r="CC237" i="12"/>
  <c r="CC233" i="12"/>
  <c r="CC234" i="12"/>
  <c r="CC235" i="12"/>
  <c r="CC231" i="12"/>
  <c r="CC236" i="12"/>
  <c r="CC232" i="12"/>
  <c r="CC230" i="12"/>
  <c r="CC226" i="12"/>
  <c r="CC227" i="12"/>
  <c r="CC228" i="12"/>
  <c r="CC224" i="12"/>
  <c r="CC229" i="12"/>
  <c r="CC225" i="12"/>
  <c r="CC220" i="12"/>
  <c r="CC221" i="12"/>
  <c r="CC222" i="12"/>
  <c r="CC218" i="12"/>
  <c r="CC223" i="12"/>
  <c r="CC219" i="12"/>
  <c r="CC217" i="12"/>
  <c r="CC213" i="12"/>
  <c r="CC209" i="12"/>
  <c r="CC205" i="12"/>
  <c r="CC214" i="12"/>
  <c r="CC210" i="12"/>
  <c r="CC206" i="12"/>
  <c r="CC215" i="12"/>
  <c r="CC211" i="12"/>
  <c r="CC207" i="12"/>
  <c r="CC216" i="12"/>
  <c r="CC212" i="12"/>
  <c r="CC208" i="12"/>
  <c r="CC202" i="12"/>
  <c r="CC198" i="12"/>
  <c r="CC194" i="12"/>
  <c r="CC203" i="12"/>
  <c r="CC199" i="12"/>
  <c r="CC195" i="12"/>
  <c r="CC204" i="12"/>
  <c r="CC200" i="12"/>
  <c r="CC196" i="12"/>
  <c r="CC201" i="12"/>
  <c r="CC197" i="12"/>
  <c r="CC193" i="12"/>
  <c r="CC191" i="12"/>
  <c r="CC187" i="12"/>
  <c r="CC183" i="12"/>
  <c r="CC192" i="12"/>
  <c r="CC188" i="12"/>
  <c r="CC184" i="12"/>
  <c r="CC180" i="12"/>
  <c r="CC189" i="12"/>
  <c r="CC185" i="12"/>
  <c r="CC181" i="12"/>
  <c r="CC190" i="12"/>
  <c r="CC186" i="12"/>
  <c r="CC182" i="12"/>
  <c r="CC176" i="12"/>
  <c r="CC172" i="12"/>
  <c r="CC168" i="12"/>
  <c r="CC177" i="12"/>
  <c r="CC173" i="12"/>
  <c r="CC169" i="12"/>
  <c r="CC178" i="12"/>
  <c r="CC174" i="12"/>
  <c r="CC170" i="12"/>
  <c r="CC179" i="12"/>
  <c r="CC175" i="12"/>
  <c r="CC171" i="12"/>
  <c r="CC167" i="12"/>
  <c r="CC166" i="12"/>
  <c r="CC162" i="12"/>
  <c r="CC158" i="12"/>
  <c r="CC154" i="12"/>
  <c r="CC150" i="12"/>
  <c r="CC146" i="12"/>
  <c r="CC142" i="12"/>
  <c r="CC163" i="12"/>
  <c r="CC159" i="12"/>
  <c r="CC155" i="12"/>
  <c r="CC151" i="12"/>
  <c r="CC147" i="12"/>
  <c r="CC143" i="12"/>
  <c r="CC164" i="12"/>
  <c r="CC160" i="12"/>
  <c r="CC156" i="12"/>
  <c r="CC152" i="12"/>
  <c r="CC148" i="12"/>
  <c r="CC144" i="12"/>
  <c r="CC165" i="12"/>
  <c r="CC161" i="12"/>
  <c r="CC157" i="12"/>
  <c r="CC153" i="12"/>
  <c r="CC149" i="12"/>
  <c r="CC145" i="12"/>
  <c r="CC141" i="12"/>
  <c r="CC137" i="12"/>
  <c r="CC133" i="12"/>
  <c r="CC129" i="12"/>
  <c r="CC125" i="12"/>
  <c r="CC121" i="12"/>
  <c r="CC138" i="12"/>
  <c r="CC134" i="12"/>
  <c r="CC130" i="12"/>
  <c r="CC126" i="12"/>
  <c r="CC122" i="12"/>
  <c r="CC139" i="12"/>
  <c r="CC135" i="12"/>
  <c r="CC131" i="12"/>
  <c r="CC127" i="12"/>
  <c r="CC123" i="12"/>
  <c r="CC119" i="12"/>
  <c r="CC140" i="12"/>
  <c r="CC136" i="12"/>
  <c r="CC132" i="12"/>
  <c r="CC128" i="12"/>
  <c r="CC124" i="12"/>
  <c r="CC120" i="12"/>
  <c r="CC116" i="12"/>
  <c r="CC118" i="12"/>
  <c r="CC117" i="12"/>
  <c r="CC114" i="12"/>
  <c r="CC110" i="12"/>
  <c r="CC106" i="12"/>
  <c r="CC102" i="12"/>
  <c r="CC98" i="12"/>
  <c r="CC94" i="12"/>
  <c r="CC115" i="12"/>
  <c r="CC111" i="12"/>
  <c r="CC107" i="12"/>
  <c r="CC103" i="12"/>
  <c r="CC99" i="12"/>
  <c r="CC95" i="12"/>
  <c r="CC91" i="12"/>
  <c r="CC112" i="12"/>
  <c r="CC108" i="12"/>
  <c r="CC104" i="12"/>
  <c r="CC100" i="12"/>
  <c r="CC96" i="12"/>
  <c r="CC92" i="12"/>
  <c r="CC88" i="12"/>
  <c r="CC113" i="12"/>
  <c r="CC109" i="12"/>
  <c r="CC105" i="12"/>
  <c r="CC101" i="12"/>
  <c r="CC97" i="12"/>
  <c r="CC93" i="12"/>
  <c r="CC89" i="12"/>
  <c r="CC85" i="12"/>
  <c r="CC81" i="12"/>
  <c r="CC77" i="12"/>
  <c r="CC73" i="12"/>
  <c r="CC69" i="12"/>
  <c r="CC65" i="12"/>
  <c r="CC86" i="12"/>
  <c r="CC82" i="12"/>
  <c r="CC78" i="12"/>
  <c r="CC74" i="12"/>
  <c r="CC70" i="12"/>
  <c r="CC66" i="12"/>
  <c r="CC62" i="12"/>
  <c r="CC83" i="12"/>
  <c r="CC79" i="12"/>
  <c r="CC75" i="12"/>
  <c r="CC71" i="12"/>
  <c r="CC67" i="12"/>
  <c r="CC90" i="12"/>
  <c r="CC87" i="12"/>
  <c r="CC84" i="12"/>
  <c r="CC80" i="12"/>
  <c r="CC76" i="12"/>
  <c r="CC72" i="12"/>
  <c r="CC68" i="12"/>
  <c r="CC64" i="12"/>
  <c r="CC63" i="12"/>
  <c r="CC61" i="12"/>
  <c r="CC58" i="12"/>
  <c r="CC54" i="12"/>
  <c r="CC50" i="12"/>
  <c r="CC46" i="12"/>
  <c r="CC42" i="12"/>
  <c r="CC38" i="12"/>
  <c r="CC34" i="12"/>
  <c r="CC30" i="12"/>
  <c r="CC26" i="12"/>
  <c r="CC22" i="12"/>
  <c r="CC18" i="12"/>
  <c r="CC59" i="12"/>
  <c r="CC55" i="12"/>
  <c r="CC51" i="12"/>
  <c r="CC47" i="12"/>
  <c r="CC43" i="12"/>
  <c r="CC39" i="12"/>
  <c r="CC35" i="12"/>
  <c r="CC31" i="12"/>
  <c r="CC27" i="12"/>
  <c r="CC23" i="12"/>
  <c r="CC19" i="12"/>
  <c r="CC15" i="12"/>
  <c r="CC60" i="12"/>
  <c r="CC56" i="12"/>
  <c r="CC52" i="12"/>
  <c r="CC48" i="12"/>
  <c r="CC44" i="12"/>
  <c r="CC40" i="12"/>
  <c r="CC36" i="12"/>
  <c r="CC32" i="12"/>
  <c r="CC28" i="12"/>
  <c r="CC24" i="12"/>
  <c r="CC20" i="12"/>
  <c r="CC16" i="12"/>
  <c r="CC12" i="12"/>
  <c r="CC57" i="12"/>
  <c r="CC53" i="12"/>
  <c r="CC49" i="12"/>
  <c r="CC45" i="12"/>
  <c r="CC41" i="12"/>
  <c r="CC37" i="12"/>
  <c r="CC33" i="12"/>
  <c r="CC29" i="12"/>
  <c r="CC25" i="12"/>
  <c r="CC21" i="12"/>
  <c r="CC17" i="12"/>
  <c r="CC13" i="12"/>
  <c r="CG251" i="12"/>
  <c r="CG249" i="12"/>
  <c r="CG247" i="12"/>
  <c r="CG248" i="12"/>
  <c r="CG246" i="12"/>
  <c r="CG250" i="12"/>
  <c r="CG244" i="12"/>
  <c r="CG242" i="12"/>
  <c r="CG243" i="12"/>
  <c r="CG240" i="12"/>
  <c r="CG238" i="12"/>
  <c r="CG241" i="12"/>
  <c r="CG245" i="12"/>
  <c r="CG239" i="12"/>
  <c r="CG237" i="12"/>
  <c r="CG233" i="12"/>
  <c r="CG234" i="12"/>
  <c r="CG235" i="12"/>
  <c r="CG231" i="12"/>
  <c r="CG236" i="12"/>
  <c r="CG232" i="12"/>
  <c r="CG230" i="12"/>
  <c r="CG226" i="12"/>
  <c r="CG227" i="12"/>
  <c r="CG228" i="12"/>
  <c r="CG224" i="12"/>
  <c r="CG229" i="12"/>
  <c r="CG225" i="12"/>
  <c r="CG220" i="12"/>
  <c r="CG221" i="12"/>
  <c r="CG222" i="12"/>
  <c r="CG218" i="12"/>
  <c r="CG223" i="12"/>
  <c r="CG219" i="12"/>
  <c r="CG217" i="12"/>
  <c r="CG213" i="12"/>
  <c r="CG209" i="12"/>
  <c r="CG205" i="12"/>
  <c r="CG214" i="12"/>
  <c r="CG210" i="12"/>
  <c r="CG206" i="12"/>
  <c r="CG215" i="12"/>
  <c r="CG211" i="12"/>
  <c r="CG207" i="12"/>
  <c r="CG216" i="12"/>
  <c r="CG212" i="12"/>
  <c r="CG208" i="12"/>
  <c r="CG202" i="12"/>
  <c r="CG198" i="12"/>
  <c r="CG194" i="12"/>
  <c r="CG203" i="12"/>
  <c r="CG199" i="12"/>
  <c r="CG195" i="12"/>
  <c r="CG204" i="12"/>
  <c r="CG200" i="12"/>
  <c r="CG196" i="12"/>
  <c r="CG201" i="12"/>
  <c r="CG197" i="12"/>
  <c r="CG193" i="12"/>
  <c r="CG191" i="12"/>
  <c r="CG187" i="12"/>
  <c r="CG183" i="12"/>
  <c r="CG192" i="12"/>
  <c r="CG188" i="12"/>
  <c r="CG184" i="12"/>
  <c r="CG180" i="12"/>
  <c r="CG189" i="12"/>
  <c r="CG185" i="12"/>
  <c r="CG181" i="12"/>
  <c r="CG190" i="12"/>
  <c r="CG186" i="12"/>
  <c r="CG182" i="12"/>
  <c r="CG176" i="12"/>
  <c r="CG172" i="12"/>
  <c r="CG168" i="12"/>
  <c r="CG177" i="12"/>
  <c r="CG173" i="12"/>
  <c r="CG169" i="12"/>
  <c r="CG178" i="12"/>
  <c r="CG174" i="12"/>
  <c r="CG170" i="12"/>
  <c r="CG179" i="12"/>
  <c r="CG175" i="12"/>
  <c r="CG171" i="12"/>
  <c r="CG167" i="12"/>
  <c r="CG166" i="12"/>
  <c r="CG162" i="12"/>
  <c r="CG158" i="12"/>
  <c r="CG154" i="12"/>
  <c r="CG150" i="12"/>
  <c r="CG146" i="12"/>
  <c r="CG142" i="12"/>
  <c r="CG163" i="12"/>
  <c r="CG159" i="12"/>
  <c r="CG155" i="12"/>
  <c r="CG151" i="12"/>
  <c r="CG147" i="12"/>
  <c r="CG143" i="12"/>
  <c r="CG164" i="12"/>
  <c r="CG160" i="12"/>
  <c r="CG156" i="12"/>
  <c r="CG152" i="12"/>
  <c r="CG148" i="12"/>
  <c r="CG144" i="12"/>
  <c r="CG165" i="12"/>
  <c r="CG161" i="12"/>
  <c r="CG157" i="12"/>
  <c r="CG153" i="12"/>
  <c r="CG149" i="12"/>
  <c r="CG145" i="12"/>
  <c r="CG141" i="12"/>
  <c r="CG137" i="12"/>
  <c r="CG133" i="12"/>
  <c r="CG129" i="12"/>
  <c r="CG125" i="12"/>
  <c r="CG121" i="12"/>
  <c r="CG138" i="12"/>
  <c r="CG134" i="12"/>
  <c r="CG130" i="12"/>
  <c r="CG126" i="12"/>
  <c r="CG122" i="12"/>
  <c r="CG139" i="12"/>
  <c r="CG135" i="12"/>
  <c r="CG131" i="12"/>
  <c r="CG127" i="12"/>
  <c r="CG123" i="12"/>
  <c r="CG119" i="12"/>
  <c r="CG140" i="12"/>
  <c r="CG136" i="12"/>
  <c r="CG132" i="12"/>
  <c r="CG128" i="12"/>
  <c r="CG124" i="12"/>
  <c r="CG120" i="12"/>
  <c r="CG116" i="12"/>
  <c r="CG114" i="12"/>
  <c r="CG110" i="12"/>
  <c r="CG106" i="12"/>
  <c r="CG102" i="12"/>
  <c r="CG98" i="12"/>
  <c r="CG94" i="12"/>
  <c r="CG115" i="12"/>
  <c r="CG111" i="12"/>
  <c r="CG107" i="12"/>
  <c r="CG103" i="12"/>
  <c r="CG99" i="12"/>
  <c r="CG95" i="12"/>
  <c r="CG91" i="12"/>
  <c r="CG117" i="12"/>
  <c r="CG112" i="12"/>
  <c r="CG108" i="12"/>
  <c r="CG104" i="12"/>
  <c r="CG100" i="12"/>
  <c r="CG96" i="12"/>
  <c r="CG92" i="12"/>
  <c r="CG88" i="12"/>
  <c r="CG118" i="12"/>
  <c r="CG113" i="12"/>
  <c r="CG109" i="12"/>
  <c r="CG105" i="12"/>
  <c r="CG101" i="12"/>
  <c r="CG97" i="12"/>
  <c r="CG93" i="12"/>
  <c r="CG89" i="12"/>
  <c r="CG85" i="12"/>
  <c r="CG81" i="12"/>
  <c r="CG77" i="12"/>
  <c r="CG73" i="12"/>
  <c r="CG69" i="12"/>
  <c r="CG65" i="12"/>
  <c r="CG90" i="12"/>
  <c r="CG87" i="12"/>
  <c r="CG86" i="12"/>
  <c r="CG82" i="12"/>
  <c r="CG78" i="12"/>
  <c r="CG74" i="12"/>
  <c r="CG70" i="12"/>
  <c r="CG66" i="12"/>
  <c r="CG62" i="12"/>
  <c r="CG83" i="12"/>
  <c r="CG79" i="12"/>
  <c r="CG75" i="12"/>
  <c r="CG71" i="12"/>
  <c r="CG67" i="12"/>
  <c r="CG84" i="12"/>
  <c r="CG80" i="12"/>
  <c r="CG76" i="12"/>
  <c r="CG72" i="12"/>
  <c r="CG68" i="12"/>
  <c r="CG64" i="12"/>
  <c r="CG58" i="12"/>
  <c r="CG54" i="12"/>
  <c r="CG50" i="12"/>
  <c r="CG46" i="12"/>
  <c r="CG42" i="12"/>
  <c r="CG38" i="12"/>
  <c r="CG34" i="12"/>
  <c r="CG30" i="12"/>
  <c r="CG26" i="12"/>
  <c r="CG22" i="12"/>
  <c r="CG18" i="12"/>
  <c r="CG14" i="12"/>
  <c r="CG59" i="12"/>
  <c r="CG55" i="12"/>
  <c r="CG51" i="12"/>
  <c r="CG47" i="12"/>
  <c r="CG43" i="12"/>
  <c r="CG39" i="12"/>
  <c r="CG35" i="12"/>
  <c r="CG31" i="12"/>
  <c r="CG27" i="12"/>
  <c r="CG23" i="12"/>
  <c r="CG19" i="12"/>
  <c r="CG15" i="12"/>
  <c r="CG63" i="12"/>
  <c r="CG61" i="12"/>
  <c r="CG60" i="12"/>
  <c r="CG56" i="12"/>
  <c r="CG52" i="12"/>
  <c r="CG48" i="12"/>
  <c r="CG44" i="12"/>
  <c r="CG40" i="12"/>
  <c r="CG36" i="12"/>
  <c r="CG32" i="12"/>
  <c r="CG28" i="12"/>
  <c r="CG24" i="12"/>
  <c r="CG20" i="12"/>
  <c r="CG16" i="12"/>
  <c r="CG12" i="12"/>
  <c r="CG57" i="12"/>
  <c r="CG53" i="12"/>
  <c r="CG49" i="12"/>
  <c r="CG45" i="12"/>
  <c r="CG41" i="12"/>
  <c r="CG37" i="12"/>
  <c r="CG33" i="12"/>
  <c r="CG29" i="12"/>
  <c r="CG25" i="12"/>
  <c r="CG21" i="12"/>
  <c r="CG17" i="12"/>
  <c r="CG13" i="12"/>
  <c r="CK251" i="12"/>
  <c r="CK247" i="12"/>
  <c r="CK250" i="12"/>
  <c r="CK248" i="12"/>
  <c r="CK249" i="12"/>
  <c r="CK244" i="12"/>
  <c r="CK246" i="12"/>
  <c r="CK242" i="12"/>
  <c r="CK243" i="12"/>
  <c r="CK245" i="12"/>
  <c r="CK240" i="12"/>
  <c r="CK241" i="12"/>
  <c r="CK238" i="12"/>
  <c r="CK239" i="12"/>
  <c r="CK237" i="12"/>
  <c r="CK233" i="12"/>
  <c r="CK234" i="12"/>
  <c r="CK235" i="12"/>
  <c r="CK231" i="12"/>
  <c r="CK236" i="12"/>
  <c r="CK232" i="12"/>
  <c r="CK230" i="12"/>
  <c r="CK226" i="12"/>
  <c r="CK227" i="12"/>
  <c r="CK228" i="12"/>
  <c r="CK224" i="12"/>
  <c r="CK229" i="12"/>
  <c r="CK225" i="12"/>
  <c r="CK220" i="12"/>
  <c r="CK221" i="12"/>
  <c r="CK222" i="12"/>
  <c r="CK218" i="12"/>
  <c r="CK223" i="12"/>
  <c r="CK219" i="12"/>
  <c r="CK217" i="12"/>
  <c r="CK213" i="12"/>
  <c r="CK209" i="12"/>
  <c r="CK205" i="12"/>
  <c r="CK214" i="12"/>
  <c r="CK210" i="12"/>
  <c r="CK206" i="12"/>
  <c r="CK215" i="12"/>
  <c r="CK211" i="12"/>
  <c r="CK207" i="12"/>
  <c r="CK216" i="12"/>
  <c r="CK212" i="12"/>
  <c r="CK208" i="12"/>
  <c r="CK202" i="12"/>
  <c r="CK198" i="12"/>
  <c r="CK194" i="12"/>
  <c r="CK203" i="12"/>
  <c r="CK199" i="12"/>
  <c r="CK195" i="12"/>
  <c r="CK204" i="12"/>
  <c r="CK200" i="12"/>
  <c r="CK196" i="12"/>
  <c r="CK201" i="12"/>
  <c r="CK197" i="12"/>
  <c r="CK193" i="12"/>
  <c r="CK191" i="12"/>
  <c r="CK187" i="12"/>
  <c r="CK183" i="12"/>
  <c r="CK192" i="12"/>
  <c r="CK188" i="12"/>
  <c r="CK184" i="12"/>
  <c r="CK180" i="12"/>
  <c r="CK189" i="12"/>
  <c r="CK185" i="12"/>
  <c r="CK181" i="12"/>
  <c r="CK190" i="12"/>
  <c r="CK186" i="12"/>
  <c r="CK182" i="12"/>
  <c r="CK176" i="12"/>
  <c r="CK172" i="12"/>
  <c r="CK168" i="12"/>
  <c r="CK177" i="12"/>
  <c r="CK173" i="12"/>
  <c r="CK169" i="12"/>
  <c r="CK178" i="12"/>
  <c r="CK174" i="12"/>
  <c r="CK170" i="12"/>
  <c r="CK179" i="12"/>
  <c r="CK175" i="12"/>
  <c r="CK171" i="12"/>
  <c r="CK167" i="12"/>
  <c r="CK166" i="12"/>
  <c r="CK162" i="12"/>
  <c r="CK158" i="12"/>
  <c r="CK154" i="12"/>
  <c r="CK150" i="12"/>
  <c r="CK146" i="12"/>
  <c r="CK142" i="12"/>
  <c r="CK163" i="12"/>
  <c r="CK159" i="12"/>
  <c r="CK155" i="12"/>
  <c r="CK151" i="12"/>
  <c r="CK147" i="12"/>
  <c r="CK143" i="12"/>
  <c r="CK164" i="12"/>
  <c r="CK160" i="12"/>
  <c r="CK156" i="12"/>
  <c r="CK152" i="12"/>
  <c r="CK148" i="12"/>
  <c r="CK144" i="12"/>
  <c r="CK165" i="12"/>
  <c r="CK161" i="12"/>
  <c r="CK157" i="12"/>
  <c r="CK153" i="12"/>
  <c r="CK149" i="12"/>
  <c r="CK145" i="12"/>
  <c r="CK141" i="12"/>
  <c r="CK137" i="12"/>
  <c r="CK133" i="12"/>
  <c r="CK129" i="12"/>
  <c r="CK125" i="12"/>
  <c r="CK121" i="12"/>
  <c r="CK138" i="12"/>
  <c r="CK134" i="12"/>
  <c r="CK130" i="12"/>
  <c r="CK126" i="12"/>
  <c r="CK122" i="12"/>
  <c r="CK118" i="12"/>
  <c r="CK139" i="12"/>
  <c r="CK135" i="12"/>
  <c r="CK131" i="12"/>
  <c r="CK127" i="12"/>
  <c r="CK123" i="12"/>
  <c r="CK119" i="12"/>
  <c r="CK140" i="12"/>
  <c r="CK136" i="12"/>
  <c r="CK132" i="12"/>
  <c r="CK128" i="12"/>
  <c r="CK124" i="12"/>
  <c r="CK120" i="12"/>
  <c r="CK116" i="12"/>
  <c r="CK117" i="12"/>
  <c r="CK114" i="12"/>
  <c r="CK110" i="12"/>
  <c r="CK106" i="12"/>
  <c r="CK102" i="12"/>
  <c r="CK98" i="12"/>
  <c r="CK94" i="12"/>
  <c r="CK115" i="12"/>
  <c r="CK111" i="12"/>
  <c r="CK107" i="12"/>
  <c r="CK103" i="12"/>
  <c r="CK99" i="12"/>
  <c r="CK95" i="12"/>
  <c r="CK91" i="12"/>
  <c r="CK112" i="12"/>
  <c r="CK108" i="12"/>
  <c r="CK104" i="12"/>
  <c r="CK100" i="12"/>
  <c r="CK96" i="12"/>
  <c r="CK92" i="12"/>
  <c r="CK88" i="12"/>
  <c r="CK113" i="12"/>
  <c r="CK109" i="12"/>
  <c r="CK105" i="12"/>
  <c r="CK101" i="12"/>
  <c r="CK97" i="12"/>
  <c r="CK93" i="12"/>
  <c r="CK89" i="12"/>
  <c r="CK85" i="12"/>
  <c r="CK81" i="12"/>
  <c r="CK77" i="12"/>
  <c r="CK73" i="12"/>
  <c r="CK69" i="12"/>
  <c r="CK65" i="12"/>
  <c r="CK86" i="12"/>
  <c r="CK82" i="12"/>
  <c r="CK78" i="12"/>
  <c r="CK74" i="12"/>
  <c r="CK70" i="12"/>
  <c r="CK66" i="12"/>
  <c r="CK62" i="12"/>
  <c r="CK83" i="12"/>
  <c r="CK79" i="12"/>
  <c r="CK75" i="12"/>
  <c r="CK71" i="12"/>
  <c r="CK67" i="12"/>
  <c r="CK90" i="12"/>
  <c r="CK87" i="12"/>
  <c r="CK84" i="12"/>
  <c r="CK80" i="12"/>
  <c r="CK76" i="12"/>
  <c r="CK72" i="12"/>
  <c r="CK68" i="12"/>
  <c r="CK64" i="12"/>
  <c r="CK63" i="12"/>
  <c r="CK61" i="12"/>
  <c r="CK58" i="12"/>
  <c r="CK54" i="12"/>
  <c r="CK50" i="12"/>
  <c r="CK46" i="12"/>
  <c r="CK42" i="12"/>
  <c r="CK38" i="12"/>
  <c r="CK34" i="12"/>
  <c r="CK30" i="12"/>
  <c r="CK26" i="12"/>
  <c r="CK22" i="12"/>
  <c r="CK18" i="12"/>
  <c r="CK14" i="12"/>
  <c r="CK59" i="12"/>
  <c r="CK55" i="12"/>
  <c r="CK51" i="12"/>
  <c r="CK47" i="12"/>
  <c r="CK43" i="12"/>
  <c r="CK39" i="12"/>
  <c r="CK35" i="12"/>
  <c r="CK31" i="12"/>
  <c r="CK27" i="12"/>
  <c r="CK23" i="12"/>
  <c r="CK19" i="12"/>
  <c r="CK15" i="12"/>
  <c r="CK60" i="12"/>
  <c r="CK56" i="12"/>
  <c r="CK52" i="12"/>
  <c r="CK48" i="12"/>
  <c r="CK44" i="12"/>
  <c r="CK40" i="12"/>
  <c r="CK36" i="12"/>
  <c r="CK32" i="12"/>
  <c r="CK28" i="12"/>
  <c r="CK24" i="12"/>
  <c r="CK20" i="12"/>
  <c r="CK16" i="12"/>
  <c r="CK12" i="12"/>
  <c r="CK57" i="12"/>
  <c r="CK53" i="12"/>
  <c r="CK49" i="12"/>
  <c r="CK45" i="12"/>
  <c r="CK41" i="12"/>
  <c r="CK37" i="12"/>
  <c r="CK33" i="12"/>
  <c r="CK29" i="12"/>
  <c r="CK25" i="12"/>
  <c r="CK21" i="12"/>
  <c r="CK17" i="12"/>
  <c r="CK13" i="12"/>
  <c r="CO251" i="12"/>
  <c r="CO250" i="12"/>
  <c r="CO249" i="12"/>
  <c r="CO247" i="12"/>
  <c r="CO248" i="12"/>
  <c r="CO246" i="12"/>
  <c r="CO244" i="12"/>
  <c r="CO242" i="12"/>
  <c r="CO245" i="12"/>
  <c r="CO243" i="12"/>
  <c r="CO240" i="12"/>
  <c r="CO238" i="12"/>
  <c r="CO241" i="12"/>
  <c r="CO239" i="12"/>
  <c r="CO237" i="12"/>
  <c r="CO236" i="12"/>
  <c r="CO233" i="12"/>
  <c r="CO234" i="12"/>
  <c r="CO235" i="12"/>
  <c r="CO231" i="12"/>
  <c r="CO232" i="12"/>
  <c r="CO230" i="12"/>
  <c r="CO226" i="12"/>
  <c r="CO227" i="12"/>
  <c r="CO228" i="12"/>
  <c r="CO224" i="12"/>
  <c r="CO229" i="12"/>
  <c r="CO225" i="12"/>
  <c r="CO220" i="12"/>
  <c r="CO221" i="12"/>
  <c r="CO222" i="12"/>
  <c r="CO218" i="12"/>
  <c r="CO223" i="12"/>
  <c r="CO219" i="12"/>
  <c r="CO217" i="12"/>
  <c r="CO213" i="12"/>
  <c r="CO209" i="12"/>
  <c r="CO205" i="12"/>
  <c r="CO214" i="12"/>
  <c r="CO210" i="12"/>
  <c r="CO206" i="12"/>
  <c r="CO215" i="12"/>
  <c r="CO211" i="12"/>
  <c r="CO207" i="12"/>
  <c r="CO216" i="12"/>
  <c r="CO212" i="12"/>
  <c r="CO208" i="12"/>
  <c r="CO202" i="12"/>
  <c r="CO198" i="12"/>
  <c r="CO194" i="12"/>
  <c r="CO203" i="12"/>
  <c r="CO199" i="12"/>
  <c r="CO195" i="12"/>
  <c r="CO204" i="12"/>
  <c r="CO200" i="12"/>
  <c r="CO196" i="12"/>
  <c r="CO201" i="12"/>
  <c r="CO197" i="12"/>
  <c r="CO193" i="12"/>
  <c r="CO191" i="12"/>
  <c r="CO187" i="12"/>
  <c r="CO183" i="12"/>
  <c r="CO188" i="12"/>
  <c r="CO184" i="12"/>
  <c r="CO180" i="12"/>
  <c r="CO192" i="12"/>
  <c r="CO189" i="12"/>
  <c r="CO185" i="12"/>
  <c r="CO181" i="12"/>
  <c r="CO190" i="12"/>
  <c r="CO186" i="12"/>
  <c r="CO182" i="12"/>
  <c r="CO176" i="12"/>
  <c r="CO172" i="12"/>
  <c r="CO168" i="12"/>
  <c r="CO177" i="12"/>
  <c r="CO173" i="12"/>
  <c r="CO169" i="12"/>
  <c r="CO178" i="12"/>
  <c r="CO174" i="12"/>
  <c r="CO170" i="12"/>
  <c r="CO179" i="12"/>
  <c r="CO175" i="12"/>
  <c r="CO171" i="12"/>
  <c r="CO167" i="12"/>
  <c r="CO166" i="12"/>
  <c r="CO162" i="12"/>
  <c r="CO158" i="12"/>
  <c r="CO154" i="12"/>
  <c r="CO150" i="12"/>
  <c r="CO146" i="12"/>
  <c r="CO142" i="12"/>
  <c r="CO163" i="12"/>
  <c r="CO159" i="12"/>
  <c r="CO155" i="12"/>
  <c r="CO151" i="12"/>
  <c r="CO147" i="12"/>
  <c r="CO143" i="12"/>
  <c r="CO164" i="12"/>
  <c r="CO160" i="12"/>
  <c r="CO156" i="12"/>
  <c r="CO152" i="12"/>
  <c r="CO148" i="12"/>
  <c r="CO144" i="12"/>
  <c r="CO165" i="12"/>
  <c r="CO161" i="12"/>
  <c r="CO157" i="12"/>
  <c r="CO153" i="12"/>
  <c r="CO149" i="12"/>
  <c r="CO145" i="12"/>
  <c r="CO141" i="12"/>
  <c r="CO137" i="12"/>
  <c r="CO133" i="12"/>
  <c r="CO129" i="12"/>
  <c r="CO125" i="12"/>
  <c r="CO121" i="12"/>
  <c r="CO138" i="12"/>
  <c r="CO134" i="12"/>
  <c r="CO130" i="12"/>
  <c r="CO126" i="12"/>
  <c r="CO122" i="12"/>
  <c r="CO118" i="12"/>
  <c r="CO139" i="12"/>
  <c r="CO135" i="12"/>
  <c r="CO131" i="12"/>
  <c r="CO127" i="12"/>
  <c r="CO123" i="12"/>
  <c r="CO119" i="12"/>
  <c r="CO140" i="12"/>
  <c r="CO136" i="12"/>
  <c r="CO132" i="12"/>
  <c r="CO128" i="12"/>
  <c r="CO124" i="12"/>
  <c r="CO120" i="12"/>
  <c r="CO116" i="12"/>
  <c r="CO114" i="12"/>
  <c r="CO110" i="12"/>
  <c r="CO106" i="12"/>
  <c r="CO102" i="12"/>
  <c r="CO98" i="12"/>
  <c r="CO94" i="12"/>
  <c r="CO115" i="12"/>
  <c r="CO111" i="12"/>
  <c r="CO107" i="12"/>
  <c r="CO103" i="12"/>
  <c r="CO99" i="12"/>
  <c r="CO95" i="12"/>
  <c r="CO91" i="12"/>
  <c r="CO117" i="12"/>
  <c r="CO112" i="12"/>
  <c r="CO108" i="12"/>
  <c r="CO104" i="12"/>
  <c r="CO100" i="12"/>
  <c r="CO96" i="12"/>
  <c r="CO92" i="12"/>
  <c r="CO88" i="12"/>
  <c r="CO113" i="12"/>
  <c r="CO109" i="12"/>
  <c r="CO105" i="12"/>
  <c r="CO101" i="12"/>
  <c r="CO97" i="12"/>
  <c r="CO93" i="12"/>
  <c r="CO89" i="12"/>
  <c r="CO85" i="12"/>
  <c r="CO81" i="12"/>
  <c r="CO77" i="12"/>
  <c r="CO73" i="12"/>
  <c r="CO69" i="12"/>
  <c r="CO65" i="12"/>
  <c r="CO90" i="12"/>
  <c r="CO87" i="12"/>
  <c r="CO86" i="12"/>
  <c r="CO82" i="12"/>
  <c r="CO78" i="12"/>
  <c r="CO74" i="12"/>
  <c r="CO70" i="12"/>
  <c r="CO66" i="12"/>
  <c r="CO62" i="12"/>
  <c r="CO83" i="12"/>
  <c r="CO79" i="12"/>
  <c r="CO75" i="12"/>
  <c r="CO71" i="12"/>
  <c r="CO67" i="12"/>
  <c r="CO84" i="12"/>
  <c r="CO80" i="12"/>
  <c r="CO76" i="12"/>
  <c r="CO72" i="12"/>
  <c r="CO68" i="12"/>
  <c r="CO64" i="12"/>
  <c r="CO60" i="12"/>
  <c r="CO58" i="12"/>
  <c r="CO54" i="12"/>
  <c r="CO50" i="12"/>
  <c r="CO46" i="12"/>
  <c r="CO42" i="12"/>
  <c r="CO38" i="12"/>
  <c r="CO34" i="12"/>
  <c r="CO30" i="12"/>
  <c r="CO26" i="12"/>
  <c r="CO22" i="12"/>
  <c r="CO18" i="12"/>
  <c r="CO14" i="12"/>
  <c r="CO59" i="12"/>
  <c r="CO55" i="12"/>
  <c r="CO51" i="12"/>
  <c r="CO47" i="12"/>
  <c r="CO43" i="12"/>
  <c r="CO39" i="12"/>
  <c r="CO35" i="12"/>
  <c r="CO31" i="12"/>
  <c r="CO27" i="12"/>
  <c r="CO23" i="12"/>
  <c r="CO19" i="12"/>
  <c r="CO15" i="12"/>
  <c r="CO63" i="12"/>
  <c r="CO61" i="12"/>
  <c r="CO56" i="12"/>
  <c r="CO52" i="12"/>
  <c r="CO48" i="12"/>
  <c r="CO44" i="12"/>
  <c r="CO40" i="12"/>
  <c r="CO36" i="12"/>
  <c r="CO32" i="12"/>
  <c r="CO28" i="12"/>
  <c r="CO24" i="12"/>
  <c r="CO20" i="12"/>
  <c r="CO16" i="12"/>
  <c r="CO12" i="12"/>
  <c r="CO57" i="12"/>
  <c r="CO53" i="12"/>
  <c r="CO49" i="12"/>
  <c r="CO45" i="12"/>
  <c r="CO41" i="12"/>
  <c r="CO37" i="12"/>
  <c r="CO33" i="12"/>
  <c r="CO29" i="12"/>
  <c r="CO25" i="12"/>
  <c r="CO21" i="12"/>
  <c r="CO17" i="12"/>
  <c r="CO13" i="12"/>
  <c r="CS251" i="12"/>
  <c r="CS247" i="12"/>
  <c r="CS249" i="12"/>
  <c r="CS250" i="12"/>
  <c r="CS248" i="12"/>
  <c r="CS244" i="12"/>
  <c r="CS245" i="12"/>
  <c r="CS242" i="12"/>
  <c r="CS243" i="12"/>
  <c r="CS240" i="12"/>
  <c r="CS246" i="12"/>
  <c r="CS238" i="12"/>
  <c r="CS239" i="12"/>
  <c r="CS241" i="12"/>
  <c r="CS237" i="12"/>
  <c r="CS233" i="12"/>
  <c r="CS236" i="12"/>
  <c r="CS234" i="12"/>
  <c r="CS235" i="12"/>
  <c r="CS231" i="12"/>
  <c r="CS232" i="12"/>
  <c r="CS230" i="12"/>
  <c r="CS226" i="12"/>
  <c r="CS227" i="12"/>
  <c r="CS228" i="12"/>
  <c r="CS224" i="12"/>
  <c r="CS229" i="12"/>
  <c r="CS225" i="12"/>
  <c r="CS220" i="12"/>
  <c r="CS221" i="12"/>
  <c r="CS222" i="12"/>
  <c r="CS218" i="12"/>
  <c r="CS223" i="12"/>
  <c r="CS219" i="12"/>
  <c r="CS217" i="12"/>
  <c r="CS213" i="12"/>
  <c r="CS209" i="12"/>
  <c r="CS205" i="12"/>
  <c r="CS214" i="12"/>
  <c r="CS210" i="12"/>
  <c r="CS206" i="12"/>
  <c r="CS215" i="12"/>
  <c r="CS211" i="12"/>
  <c r="CS207" i="12"/>
  <c r="CS216" i="12"/>
  <c r="CS212" i="12"/>
  <c r="CS208" i="12"/>
  <c r="CS202" i="12"/>
  <c r="CS198" i="12"/>
  <c r="CS194" i="12"/>
  <c r="CS203" i="12"/>
  <c r="CS199" i="12"/>
  <c r="CS195" i="12"/>
  <c r="CS204" i="12"/>
  <c r="CS200" i="12"/>
  <c r="CS196" i="12"/>
  <c r="CS192" i="12"/>
  <c r="CS201" i="12"/>
  <c r="CS197" i="12"/>
  <c r="CS193" i="12"/>
  <c r="CS191" i="12"/>
  <c r="CS187" i="12"/>
  <c r="CS183" i="12"/>
  <c r="CS188" i="12"/>
  <c r="CS184" i="12"/>
  <c r="CS180" i="12"/>
  <c r="CS189" i="12"/>
  <c r="CS185" i="12"/>
  <c r="CS181" i="12"/>
  <c r="CS190" i="12"/>
  <c r="CS186" i="12"/>
  <c r="CS182" i="12"/>
  <c r="CS179" i="12"/>
  <c r="CS176" i="12"/>
  <c r="CS172" i="12"/>
  <c r="CS168" i="12"/>
  <c r="CS177" i="12"/>
  <c r="CS173" i="12"/>
  <c r="CS169" i="12"/>
  <c r="CS178" i="12"/>
  <c r="CS174" i="12"/>
  <c r="CS170" i="12"/>
  <c r="CS175" i="12"/>
  <c r="CS171" i="12"/>
  <c r="CS167" i="12"/>
  <c r="CS166" i="12"/>
  <c r="CS162" i="12"/>
  <c r="CS158" i="12"/>
  <c r="CS154" i="12"/>
  <c r="CS150" i="12"/>
  <c r="CS146" i="12"/>
  <c r="CS142" i="12"/>
  <c r="CS163" i="12"/>
  <c r="CS159" i="12"/>
  <c r="CS155" i="12"/>
  <c r="CS151" i="12"/>
  <c r="CS147" i="12"/>
  <c r="CS143" i="12"/>
  <c r="CS164" i="12"/>
  <c r="CS160" i="12"/>
  <c r="CS156" i="12"/>
  <c r="CS152" i="12"/>
  <c r="CS148" i="12"/>
  <c r="CS144" i="12"/>
  <c r="CS165" i="12"/>
  <c r="CS161" i="12"/>
  <c r="CS157" i="12"/>
  <c r="CS153" i="12"/>
  <c r="CS149" i="12"/>
  <c r="CS145" i="12"/>
  <c r="CS141" i="12"/>
  <c r="CS137" i="12"/>
  <c r="CS133" i="12"/>
  <c r="CS129" i="12"/>
  <c r="CS125" i="12"/>
  <c r="CS121" i="12"/>
  <c r="CS138" i="12"/>
  <c r="CS134" i="12"/>
  <c r="CS130" i="12"/>
  <c r="CS126" i="12"/>
  <c r="CS122" i="12"/>
  <c r="CS118" i="12"/>
  <c r="CS139" i="12"/>
  <c r="CS135" i="12"/>
  <c r="CS131" i="12"/>
  <c r="CS127" i="12"/>
  <c r="CS123" i="12"/>
  <c r="CS119" i="12"/>
  <c r="CS140" i="12"/>
  <c r="CS136" i="12"/>
  <c r="CS132" i="12"/>
  <c r="CS128" i="12"/>
  <c r="CS124" i="12"/>
  <c r="CS120" i="12"/>
  <c r="CS116" i="12"/>
  <c r="CS117" i="12"/>
  <c r="CS114" i="12"/>
  <c r="CS110" i="12"/>
  <c r="CS106" i="12"/>
  <c r="CS102" i="12"/>
  <c r="CS98" i="12"/>
  <c r="CS94" i="12"/>
  <c r="CS115" i="12"/>
  <c r="CS111" i="12"/>
  <c r="CS107" i="12"/>
  <c r="CS103" i="12"/>
  <c r="CS99" i="12"/>
  <c r="CS95" i="12"/>
  <c r="CS91" i="12"/>
  <c r="CS112" i="12"/>
  <c r="CS108" i="12"/>
  <c r="CS104" i="12"/>
  <c r="CS100" i="12"/>
  <c r="CS96" i="12"/>
  <c r="CS92" i="12"/>
  <c r="CS88" i="12"/>
  <c r="CS113" i="12"/>
  <c r="CS109" i="12"/>
  <c r="CS105" i="12"/>
  <c r="CS101" i="12"/>
  <c r="CS97" i="12"/>
  <c r="CS93" i="12"/>
  <c r="CS89" i="12"/>
  <c r="CS85" i="12"/>
  <c r="CS81" i="12"/>
  <c r="CS77" i="12"/>
  <c r="CS73" i="12"/>
  <c r="CS69" i="12"/>
  <c r="CS65" i="12"/>
  <c r="CS86" i="12"/>
  <c r="CS82" i="12"/>
  <c r="CS78" i="12"/>
  <c r="CS74" i="12"/>
  <c r="CS70" i="12"/>
  <c r="CS66" i="12"/>
  <c r="CS62" i="12"/>
  <c r="CS83" i="12"/>
  <c r="CS79" i="12"/>
  <c r="CS75" i="12"/>
  <c r="CS71" i="12"/>
  <c r="CS67" i="12"/>
  <c r="CS90" i="12"/>
  <c r="CS87" i="12"/>
  <c r="CS84" i="12"/>
  <c r="CS80" i="12"/>
  <c r="CS76" i="12"/>
  <c r="CS72" i="12"/>
  <c r="CS68" i="12"/>
  <c r="CS64" i="12"/>
  <c r="CS60" i="12"/>
  <c r="CS63" i="12"/>
  <c r="CS61" i="12"/>
  <c r="CS58" i="12"/>
  <c r="CS54" i="12"/>
  <c r="CS50" i="12"/>
  <c r="CS46" i="12"/>
  <c r="CS42" i="12"/>
  <c r="CS38" i="12"/>
  <c r="CS34" i="12"/>
  <c r="CS30" i="12"/>
  <c r="CS26" i="12"/>
  <c r="CS22" i="12"/>
  <c r="CS18" i="12"/>
  <c r="CS14" i="12"/>
  <c r="CS59" i="12"/>
  <c r="CS55" i="12"/>
  <c r="CS51" i="12"/>
  <c r="CS47" i="12"/>
  <c r="CS43" i="12"/>
  <c r="CS39" i="12"/>
  <c r="CS35" i="12"/>
  <c r="CS31" i="12"/>
  <c r="CS27" i="12"/>
  <c r="CS23" i="12"/>
  <c r="CS19" i="12"/>
  <c r="CS15" i="12"/>
  <c r="CS56" i="12"/>
  <c r="CS52" i="12"/>
  <c r="CS48" i="12"/>
  <c r="CS44" i="12"/>
  <c r="CS40" i="12"/>
  <c r="CS36" i="12"/>
  <c r="CS32" i="12"/>
  <c r="CS28" i="12"/>
  <c r="CS24" i="12"/>
  <c r="CS20" i="12"/>
  <c r="CS16" i="12"/>
  <c r="CS12" i="12"/>
  <c r="CS57" i="12"/>
  <c r="CS53" i="12"/>
  <c r="CS49" i="12"/>
  <c r="CS45" i="12"/>
  <c r="CS41" i="12"/>
  <c r="CS37" i="12"/>
  <c r="CS33" i="12"/>
  <c r="CS29" i="12"/>
  <c r="CS25" i="12"/>
  <c r="CS21" i="12"/>
  <c r="CS17" i="12"/>
  <c r="CS13" i="12"/>
  <c r="CW251" i="12"/>
  <c r="CW249" i="12"/>
  <c r="CW248" i="12"/>
  <c r="CW247" i="12"/>
  <c r="CW250" i="12"/>
  <c r="CW246" i="12"/>
  <c r="CW244" i="12"/>
  <c r="CW242" i="12"/>
  <c r="CW243" i="12"/>
  <c r="CW240" i="12"/>
  <c r="CW238" i="12"/>
  <c r="CW241" i="12"/>
  <c r="CW245" i="12"/>
  <c r="CW239" i="12"/>
  <c r="CW237" i="12"/>
  <c r="CW233" i="12"/>
  <c r="CW234" i="12"/>
  <c r="CW236" i="12"/>
  <c r="CW235" i="12"/>
  <c r="CW231" i="12"/>
  <c r="CW232" i="12"/>
  <c r="CW230" i="12"/>
  <c r="CW226" i="12"/>
  <c r="CW227" i="12"/>
  <c r="CW228" i="12"/>
  <c r="CW224" i="12"/>
  <c r="CW229" i="12"/>
  <c r="CW225" i="12"/>
  <c r="CW220" i="12"/>
  <c r="CW221" i="12"/>
  <c r="CW222" i="12"/>
  <c r="CW218" i="12"/>
  <c r="CW223" i="12"/>
  <c r="CW219" i="12"/>
  <c r="CW217" i="12"/>
  <c r="CW213" i="12"/>
  <c r="CW209" i="12"/>
  <c r="CW205" i="12"/>
  <c r="CW214" i="12"/>
  <c r="CW210" i="12"/>
  <c r="CW206" i="12"/>
  <c r="CW215" i="12"/>
  <c r="CW211" i="12"/>
  <c r="CW207" i="12"/>
  <c r="CW216" i="12"/>
  <c r="CW212" i="12"/>
  <c r="CW208" i="12"/>
  <c r="CW202" i="12"/>
  <c r="CW198" i="12"/>
  <c r="CW194" i="12"/>
  <c r="CW203" i="12"/>
  <c r="CW199" i="12"/>
  <c r="CW195" i="12"/>
  <c r="CW204" i="12"/>
  <c r="CW200" i="12"/>
  <c r="CW196" i="12"/>
  <c r="CW192" i="12"/>
  <c r="CW201" i="12"/>
  <c r="CW197" i="12"/>
  <c r="CW193" i="12"/>
  <c r="CW191" i="12"/>
  <c r="CW187" i="12"/>
  <c r="CW183" i="12"/>
  <c r="CW188" i="12"/>
  <c r="CW184" i="12"/>
  <c r="CW180" i="12"/>
  <c r="CW189" i="12"/>
  <c r="CW185" i="12"/>
  <c r="CW181" i="12"/>
  <c r="CW190" i="12"/>
  <c r="CW186" i="12"/>
  <c r="CW182" i="12"/>
  <c r="CW176" i="12"/>
  <c r="CW172" i="12"/>
  <c r="CW168" i="12"/>
  <c r="CW179" i="12"/>
  <c r="CW177" i="12"/>
  <c r="CW173" i="12"/>
  <c r="CW169" i="12"/>
  <c r="CW178" i="12"/>
  <c r="CW174" i="12"/>
  <c r="CW170" i="12"/>
  <c r="CW175" i="12"/>
  <c r="CW171" i="12"/>
  <c r="CW167" i="12"/>
  <c r="CW166" i="12"/>
  <c r="CW162" i="12"/>
  <c r="CW158" i="12"/>
  <c r="CW154" i="12"/>
  <c r="CW150" i="12"/>
  <c r="CW146" i="12"/>
  <c r="CW142" i="12"/>
  <c r="CW163" i="12"/>
  <c r="CW159" i="12"/>
  <c r="CW155" i="12"/>
  <c r="CW151" i="12"/>
  <c r="CW147" i="12"/>
  <c r="CW143" i="12"/>
  <c r="CW164" i="12"/>
  <c r="CW160" i="12"/>
  <c r="CW156" i="12"/>
  <c r="CW152" i="12"/>
  <c r="CW148" i="12"/>
  <c r="CW144" i="12"/>
  <c r="CW165" i="12"/>
  <c r="CW161" i="12"/>
  <c r="CW157" i="12"/>
  <c r="CW153" i="12"/>
  <c r="CW149" i="12"/>
  <c r="CW145" i="12"/>
  <c r="CW141" i="12"/>
  <c r="CW137" i="12"/>
  <c r="CW133" i="12"/>
  <c r="CW129" i="12"/>
  <c r="CW125" i="12"/>
  <c r="CW121" i="12"/>
  <c r="CW138" i="12"/>
  <c r="CW134" i="12"/>
  <c r="CW130" i="12"/>
  <c r="CW126" i="12"/>
  <c r="CW122" i="12"/>
  <c r="CW118" i="12"/>
  <c r="CW139" i="12"/>
  <c r="CW135" i="12"/>
  <c r="CW131" i="12"/>
  <c r="CW127" i="12"/>
  <c r="CW123" i="12"/>
  <c r="CW119" i="12"/>
  <c r="CW115" i="12"/>
  <c r="CW140" i="12"/>
  <c r="CW136" i="12"/>
  <c r="CW132" i="12"/>
  <c r="CW128" i="12"/>
  <c r="CW124" i="12"/>
  <c r="CW120" i="12"/>
  <c r="CW116" i="12"/>
  <c r="CW114" i="12"/>
  <c r="CW110" i="12"/>
  <c r="CW106" i="12"/>
  <c r="CW102" i="12"/>
  <c r="CW98" i="12"/>
  <c r="CW94" i="12"/>
  <c r="CW111" i="12"/>
  <c r="CW107" i="12"/>
  <c r="CW103" i="12"/>
  <c r="CW99" i="12"/>
  <c r="CW95" i="12"/>
  <c r="CW91" i="12"/>
  <c r="CW117" i="12"/>
  <c r="CW112" i="12"/>
  <c r="CW108" i="12"/>
  <c r="CW104" i="12"/>
  <c r="CW100" i="12"/>
  <c r="CW96" i="12"/>
  <c r="CW92" i="12"/>
  <c r="CW88" i="12"/>
  <c r="CW113" i="12"/>
  <c r="CW109" i="12"/>
  <c r="CW105" i="12"/>
  <c r="CW101" i="12"/>
  <c r="CW97" i="12"/>
  <c r="CW93" i="12"/>
  <c r="CW89" i="12"/>
  <c r="CW85" i="12"/>
  <c r="CW81" i="12"/>
  <c r="CW77" i="12"/>
  <c r="CW73" i="12"/>
  <c r="CW69" i="12"/>
  <c r="CW65" i="12"/>
  <c r="CW90" i="12"/>
  <c r="CW87" i="12"/>
  <c r="CW86" i="12"/>
  <c r="CW82" i="12"/>
  <c r="CW78" i="12"/>
  <c r="CW74" i="12"/>
  <c r="CW70" i="12"/>
  <c r="CW66" i="12"/>
  <c r="CW62" i="12"/>
  <c r="CW83" i="12"/>
  <c r="CW79" i="12"/>
  <c r="CW75" i="12"/>
  <c r="CW71" i="12"/>
  <c r="CW67" i="12"/>
  <c r="CW84" i="12"/>
  <c r="CW80" i="12"/>
  <c r="CW76" i="12"/>
  <c r="CW72" i="12"/>
  <c r="CW68" i="12"/>
  <c r="CW64" i="12"/>
  <c r="CW60" i="12"/>
  <c r="CW58" i="12"/>
  <c r="CW54" i="12"/>
  <c r="CW50" i="12"/>
  <c r="CW46" i="12"/>
  <c r="CW42" i="12"/>
  <c r="CW38" i="12"/>
  <c r="CW34" i="12"/>
  <c r="CW30" i="12"/>
  <c r="CW26" i="12"/>
  <c r="CW22" i="12"/>
  <c r="CW18" i="12"/>
  <c r="CW14" i="12"/>
  <c r="CW59" i="12"/>
  <c r="CW55" i="12"/>
  <c r="CW51" i="12"/>
  <c r="CW47" i="12"/>
  <c r="CW43" i="12"/>
  <c r="CW39" i="12"/>
  <c r="CW35" i="12"/>
  <c r="CW31" i="12"/>
  <c r="CW27" i="12"/>
  <c r="CW23" i="12"/>
  <c r="CW19" i="12"/>
  <c r="CW15" i="12"/>
  <c r="CW63" i="12"/>
  <c r="CW61" i="12"/>
  <c r="CW56" i="12"/>
  <c r="CW52" i="12"/>
  <c r="CW48" i="12"/>
  <c r="CW44" i="12"/>
  <c r="CW40" i="12"/>
  <c r="CW36" i="12"/>
  <c r="CW32" i="12"/>
  <c r="CW28" i="12"/>
  <c r="CW24" i="12"/>
  <c r="CW20" i="12"/>
  <c r="CW16" i="12"/>
  <c r="CW12" i="12"/>
  <c r="CW57" i="12"/>
  <c r="CW53" i="12"/>
  <c r="CW49" i="12"/>
  <c r="CW45" i="12"/>
  <c r="CW41" i="12"/>
  <c r="CW37" i="12"/>
  <c r="CW33" i="12"/>
  <c r="CW29" i="12"/>
  <c r="CW25" i="12"/>
  <c r="CW21" i="12"/>
  <c r="CW17" i="12"/>
  <c r="CW13" i="12"/>
  <c r="DA251" i="12"/>
  <c r="DA247" i="12"/>
  <c r="DA250" i="12"/>
  <c r="DA248" i="12"/>
  <c r="DA249" i="12"/>
  <c r="DA244" i="12"/>
  <c r="DA242" i="12"/>
  <c r="DA243" i="12"/>
  <c r="DA246" i="12"/>
  <c r="DA245" i="12"/>
  <c r="DA240" i="12"/>
  <c r="DA241" i="12"/>
  <c r="DA238" i="12"/>
  <c r="DA239" i="12"/>
  <c r="DA237" i="12"/>
  <c r="DA233" i="12"/>
  <c r="DA234" i="12"/>
  <c r="DA235" i="12"/>
  <c r="DA231" i="12"/>
  <c r="DA236" i="12"/>
  <c r="DA232" i="12"/>
  <c r="DA230" i="12"/>
  <c r="DA226" i="12"/>
  <c r="DA227" i="12"/>
  <c r="DA228" i="12"/>
  <c r="DA224" i="12"/>
  <c r="DA229" i="12"/>
  <c r="DA225" i="12"/>
  <c r="DA220" i="12"/>
  <c r="DA221" i="12"/>
  <c r="DA222" i="12"/>
  <c r="DA218" i="12"/>
  <c r="DA223" i="12"/>
  <c r="DA219" i="12"/>
  <c r="DA217" i="12"/>
  <c r="DA213" i="12"/>
  <c r="DA209" i="12"/>
  <c r="DA205" i="12"/>
  <c r="DA214" i="12"/>
  <c r="DA210" i="12"/>
  <c r="DA206" i="12"/>
  <c r="DA215" i="12"/>
  <c r="DA211" i="12"/>
  <c r="DA207" i="12"/>
  <c r="DA216" i="12"/>
  <c r="DA212" i="12"/>
  <c r="DA208" i="12"/>
  <c r="DA202" i="12"/>
  <c r="DA198" i="12"/>
  <c r="DA194" i="12"/>
  <c r="DA203" i="12"/>
  <c r="DA199" i="12"/>
  <c r="DA195" i="12"/>
  <c r="DA204" i="12"/>
  <c r="DA200" i="12"/>
  <c r="DA196" i="12"/>
  <c r="DA192" i="12"/>
  <c r="DA201" i="12"/>
  <c r="DA197" i="12"/>
  <c r="DA193" i="12"/>
  <c r="DA191" i="12"/>
  <c r="DA187" i="12"/>
  <c r="DA183" i="12"/>
  <c r="DA179" i="12"/>
  <c r="DA188" i="12"/>
  <c r="DA184" i="12"/>
  <c r="DA180" i="12"/>
  <c r="DA189" i="12"/>
  <c r="DA185" i="12"/>
  <c r="DA181" i="12"/>
  <c r="DA190" i="12"/>
  <c r="DA186" i="12"/>
  <c r="DA182" i="12"/>
  <c r="DA176" i="12"/>
  <c r="DA172" i="12"/>
  <c r="DA168" i="12"/>
  <c r="DA177" i="12"/>
  <c r="DA173" i="12"/>
  <c r="DA169" i="12"/>
  <c r="DA178" i="12"/>
  <c r="DA174" i="12"/>
  <c r="DA170" i="12"/>
  <c r="DA175" i="12"/>
  <c r="DA171" i="12"/>
  <c r="DA167" i="12"/>
  <c r="DA166" i="12"/>
  <c r="DA162" i="12"/>
  <c r="DA158" i="12"/>
  <c r="DA154" i="12"/>
  <c r="DA150" i="12"/>
  <c r="DA146" i="12"/>
  <c r="DA142" i="12"/>
  <c r="DA163" i="12"/>
  <c r="DA159" i="12"/>
  <c r="DA155" i="12"/>
  <c r="DA151" i="12"/>
  <c r="DA147" i="12"/>
  <c r="DA143" i="12"/>
  <c r="DA164" i="12"/>
  <c r="DA160" i="12"/>
  <c r="DA156" i="12"/>
  <c r="DA152" i="12"/>
  <c r="DA148" i="12"/>
  <c r="DA144" i="12"/>
  <c r="DA165" i="12"/>
  <c r="DA161" i="12"/>
  <c r="DA157" i="12"/>
  <c r="DA153" i="12"/>
  <c r="DA149" i="12"/>
  <c r="DA145" i="12"/>
  <c r="DA141" i="12"/>
  <c r="DA137" i="12"/>
  <c r="DA133" i="12"/>
  <c r="DA129" i="12"/>
  <c r="DA125" i="12"/>
  <c r="DA121" i="12"/>
  <c r="DA138" i="12"/>
  <c r="DA134" i="12"/>
  <c r="DA130" i="12"/>
  <c r="DA126" i="12"/>
  <c r="DA122" i="12"/>
  <c r="DA118" i="12"/>
  <c r="DA139" i="12"/>
  <c r="DA135" i="12"/>
  <c r="DA131" i="12"/>
  <c r="DA127" i="12"/>
  <c r="DA123" i="12"/>
  <c r="DA119" i="12"/>
  <c r="DA115" i="12"/>
  <c r="DA140" i="12"/>
  <c r="DA136" i="12"/>
  <c r="DA132" i="12"/>
  <c r="DA128" i="12"/>
  <c r="DA124" i="12"/>
  <c r="DA120" i="12"/>
  <c r="DA116" i="12"/>
  <c r="DA117" i="12"/>
  <c r="DA114" i="12"/>
  <c r="DA110" i="12"/>
  <c r="DA106" i="12"/>
  <c r="DA102" i="12"/>
  <c r="DA98" i="12"/>
  <c r="DA94" i="12"/>
  <c r="DA111" i="12"/>
  <c r="DA107" i="12"/>
  <c r="DA103" i="12"/>
  <c r="DA99" i="12"/>
  <c r="DA95" i="12"/>
  <c r="DA91" i="12"/>
  <c r="DA112" i="12"/>
  <c r="DA108" i="12"/>
  <c r="DA104" i="12"/>
  <c r="DA100" i="12"/>
  <c r="DA96" i="12"/>
  <c r="DA92" i="12"/>
  <c r="DA88" i="12"/>
  <c r="DA113" i="12"/>
  <c r="DA109" i="12"/>
  <c r="DA105" i="12"/>
  <c r="DA101" i="12"/>
  <c r="DA97" i="12"/>
  <c r="DA93" i="12"/>
  <c r="DA89" i="12"/>
  <c r="DA85" i="12"/>
  <c r="DA81" i="12"/>
  <c r="DA77" i="12"/>
  <c r="DA73" i="12"/>
  <c r="DA69" i="12"/>
  <c r="DA65" i="12"/>
  <c r="DA86" i="12"/>
  <c r="DA82" i="12"/>
  <c r="DA78" i="12"/>
  <c r="DA74" i="12"/>
  <c r="DA70" i="12"/>
  <c r="DA66" i="12"/>
  <c r="DA62" i="12"/>
  <c r="DA83" i="12"/>
  <c r="DA79" i="12"/>
  <c r="DA75" i="12"/>
  <c r="DA71" i="12"/>
  <c r="DA67" i="12"/>
  <c r="DA90" i="12"/>
  <c r="DA87" i="12"/>
  <c r="DA84" i="12"/>
  <c r="DA80" i="12"/>
  <c r="DA76" i="12"/>
  <c r="DA72" i="12"/>
  <c r="DA68" i="12"/>
  <c r="DA64" i="12"/>
  <c r="DA60" i="12"/>
  <c r="DA63" i="12"/>
  <c r="DA61" i="12"/>
  <c r="DA58" i="12"/>
  <c r="DA54" i="12"/>
  <c r="DA50" i="12"/>
  <c r="DA46" i="12"/>
  <c r="DA42" i="12"/>
  <c r="DA38" i="12"/>
  <c r="DA34" i="12"/>
  <c r="DA30" i="12"/>
  <c r="DA26" i="12"/>
  <c r="DA22" i="12"/>
  <c r="DA18" i="12"/>
  <c r="DA14" i="12"/>
  <c r="DA59" i="12"/>
  <c r="DA55" i="12"/>
  <c r="DA51" i="12"/>
  <c r="DA47" i="12"/>
  <c r="DA43" i="12"/>
  <c r="DA39" i="12"/>
  <c r="DA35" i="12"/>
  <c r="DA31" i="12"/>
  <c r="DA27" i="12"/>
  <c r="DA23" i="12"/>
  <c r="DA19" i="12"/>
  <c r="DA15" i="12"/>
  <c r="DA56" i="12"/>
  <c r="DA52" i="12"/>
  <c r="DA48" i="12"/>
  <c r="DA44" i="12"/>
  <c r="DA40" i="12"/>
  <c r="DA36" i="12"/>
  <c r="DA32" i="12"/>
  <c r="DA28" i="12"/>
  <c r="DA24" i="12"/>
  <c r="DA20" i="12"/>
  <c r="DA16" i="12"/>
  <c r="DA12" i="12"/>
  <c r="DA57" i="12"/>
  <c r="DA53" i="12"/>
  <c r="DA49" i="12"/>
  <c r="DA45" i="12"/>
  <c r="DA41" i="12"/>
  <c r="DA37" i="12"/>
  <c r="DA33" i="12"/>
  <c r="DA29" i="12"/>
  <c r="DA25" i="12"/>
  <c r="DA21" i="12"/>
  <c r="DA17" i="12"/>
  <c r="DA13" i="12"/>
  <c r="F2" i="12"/>
  <c r="J2" i="12"/>
  <c r="N2" i="12"/>
  <c r="R2" i="12"/>
  <c r="V2" i="12"/>
  <c r="Z2" i="12"/>
  <c r="AD2" i="12"/>
  <c r="AH2" i="12"/>
  <c r="AL2" i="12"/>
  <c r="AP2" i="12"/>
  <c r="AT2" i="12"/>
  <c r="AX2" i="12"/>
  <c r="BB2" i="12"/>
  <c r="BF2" i="12"/>
  <c r="BJ2" i="12"/>
  <c r="BN2" i="12"/>
  <c r="BR2" i="12"/>
  <c r="BV2" i="12"/>
  <c r="BZ2" i="12"/>
  <c r="CD2" i="12"/>
  <c r="CH2" i="12"/>
  <c r="CL2" i="12"/>
  <c r="CP2" i="12"/>
  <c r="CT2" i="12"/>
  <c r="CX2" i="12"/>
  <c r="DB2" i="12"/>
  <c r="C3" i="12"/>
  <c r="G3" i="12"/>
  <c r="K3" i="12"/>
  <c r="O3" i="12"/>
  <c r="S3" i="12"/>
  <c r="W3" i="12"/>
  <c r="AA3" i="12"/>
  <c r="AE3" i="12"/>
  <c r="AI3" i="12"/>
  <c r="AM3" i="12"/>
  <c r="AQ3" i="12"/>
  <c r="AU3" i="12"/>
  <c r="AY3" i="12"/>
  <c r="BC3" i="12"/>
  <c r="BG3" i="12"/>
  <c r="BK3" i="12"/>
  <c r="BO3" i="12"/>
  <c r="BS3" i="12"/>
  <c r="BW3" i="12"/>
  <c r="CA3" i="12"/>
  <c r="CE3" i="12"/>
  <c r="CI3" i="12"/>
  <c r="CM3" i="12"/>
  <c r="CQ3" i="12"/>
  <c r="CU3" i="12"/>
  <c r="CY3" i="12"/>
  <c r="DC3" i="12"/>
  <c r="D4" i="12"/>
  <c r="H4" i="12"/>
  <c r="L4" i="12"/>
  <c r="P4" i="12"/>
  <c r="T4" i="12"/>
  <c r="X4" i="12"/>
  <c r="AB4" i="12"/>
  <c r="AF4" i="12"/>
  <c r="AJ4" i="12"/>
  <c r="AN4" i="12"/>
  <c r="AR4" i="12"/>
  <c r="AV4" i="12"/>
  <c r="AZ4" i="12"/>
  <c r="BD4" i="12"/>
  <c r="BH4" i="12"/>
  <c r="BL4" i="12"/>
  <c r="BP4" i="12"/>
  <c r="BT4" i="12"/>
  <c r="BX4" i="12"/>
  <c r="CB4" i="12"/>
  <c r="CF4" i="12"/>
  <c r="CJ4" i="12"/>
  <c r="CN4" i="12"/>
  <c r="CR4" i="12"/>
  <c r="CV4" i="12"/>
  <c r="CZ4" i="12"/>
  <c r="E5" i="12"/>
  <c r="I5" i="12"/>
  <c r="M5" i="12"/>
  <c r="Q5" i="12"/>
  <c r="U5" i="12"/>
  <c r="Y5" i="12"/>
  <c r="AC5" i="12"/>
  <c r="AG5" i="12"/>
  <c r="AK5" i="12"/>
  <c r="AO5" i="12"/>
  <c r="AS5" i="12"/>
  <c r="AW5" i="12"/>
  <c r="BA5" i="12"/>
  <c r="BE5" i="12"/>
  <c r="BI5" i="12"/>
  <c r="BM5" i="12"/>
  <c r="BQ5" i="12"/>
  <c r="BU5" i="12"/>
  <c r="BY5" i="12"/>
  <c r="CC5" i="12"/>
  <c r="CG5" i="12"/>
  <c r="CK5" i="12"/>
  <c r="CO5" i="12"/>
  <c r="CS5" i="12"/>
  <c r="CW5" i="12"/>
  <c r="DA5" i="12"/>
  <c r="F6" i="12"/>
  <c r="J6" i="12"/>
  <c r="N6" i="12"/>
  <c r="R6" i="12"/>
  <c r="V6" i="12"/>
  <c r="Z6" i="12"/>
  <c r="AD6" i="12"/>
  <c r="AH6" i="12"/>
  <c r="AL6" i="12"/>
  <c r="AP6" i="12"/>
  <c r="AT6" i="12"/>
  <c r="AX6" i="12"/>
  <c r="BB6" i="12"/>
  <c r="BF6" i="12"/>
  <c r="BJ6" i="12"/>
  <c r="BN6" i="12"/>
  <c r="BR6" i="12"/>
  <c r="BV6" i="12"/>
  <c r="BZ6" i="12"/>
  <c r="CD6" i="12"/>
  <c r="CH6" i="12"/>
  <c r="CL6" i="12"/>
  <c r="CP6" i="12"/>
  <c r="CT6" i="12"/>
  <c r="CX6" i="12"/>
  <c r="C7" i="12"/>
  <c r="G7" i="12"/>
  <c r="K7" i="12"/>
  <c r="O7" i="12"/>
  <c r="S7" i="12"/>
  <c r="W7" i="12"/>
  <c r="AA7" i="12"/>
  <c r="AE7" i="12"/>
  <c r="AI7" i="12"/>
  <c r="AM7" i="12"/>
  <c r="AQ7" i="12"/>
  <c r="AU7" i="12"/>
  <c r="AY7" i="12"/>
  <c r="BC7" i="12"/>
  <c r="BG7" i="12"/>
  <c r="BK7" i="12"/>
  <c r="BO7" i="12"/>
  <c r="BS7" i="12"/>
  <c r="BW7" i="12"/>
  <c r="CA7" i="12"/>
  <c r="CE7" i="12"/>
  <c r="CI7" i="12"/>
  <c r="CM7" i="12"/>
  <c r="CQ7" i="12"/>
  <c r="CU7" i="12"/>
  <c r="CY7" i="12"/>
  <c r="DC7" i="12"/>
  <c r="D8" i="12"/>
  <c r="H8" i="12"/>
  <c r="L8" i="12"/>
  <c r="P8" i="12"/>
  <c r="T8" i="12"/>
  <c r="X8" i="12"/>
  <c r="AB8" i="12"/>
  <c r="AF8" i="12"/>
  <c r="AJ8" i="12"/>
  <c r="AN8" i="12"/>
  <c r="AR8" i="12"/>
  <c r="AV8" i="12"/>
  <c r="AZ8" i="12"/>
  <c r="BD8" i="12"/>
  <c r="BH8" i="12"/>
  <c r="BL8" i="12"/>
  <c r="BP8" i="12"/>
  <c r="BT8" i="12"/>
  <c r="BX8" i="12"/>
  <c r="CB8" i="12"/>
  <c r="CF8" i="12"/>
  <c r="CJ8" i="12"/>
  <c r="CN8" i="12"/>
  <c r="CR8" i="12"/>
  <c r="CV8" i="12"/>
  <c r="E9" i="12"/>
  <c r="I9" i="12"/>
  <c r="M9" i="12"/>
  <c r="Q9" i="12"/>
  <c r="U9" i="12"/>
  <c r="Y9" i="12"/>
  <c r="AC9" i="12"/>
  <c r="AG9" i="12"/>
  <c r="AK9" i="12"/>
  <c r="AO9" i="12"/>
  <c r="AS9" i="12"/>
  <c r="AW9" i="12"/>
  <c r="BA9" i="12"/>
  <c r="BE9" i="12"/>
  <c r="BI9" i="12"/>
  <c r="BM9" i="12"/>
  <c r="BQ9" i="12"/>
  <c r="BU9" i="12"/>
  <c r="BY9" i="12"/>
  <c r="CC9" i="12"/>
  <c r="CG9" i="12"/>
  <c r="CK9" i="12"/>
  <c r="CO9" i="12"/>
  <c r="CS9" i="12"/>
  <c r="CW9" i="12"/>
  <c r="DA9" i="12"/>
  <c r="F10" i="12"/>
  <c r="V10" i="12"/>
  <c r="AL10" i="12"/>
  <c r="BB10" i="12"/>
  <c r="BJ10" i="12"/>
  <c r="BR10" i="12"/>
  <c r="BZ10" i="12"/>
  <c r="CH10" i="12"/>
  <c r="CP10" i="12"/>
  <c r="CX10" i="12"/>
  <c r="K11" i="12"/>
  <c r="Q11" i="12"/>
  <c r="AA11" i="12"/>
  <c r="AG11" i="12"/>
  <c r="AQ11" i="12"/>
  <c r="AW11" i="12"/>
  <c r="C12" i="12"/>
  <c r="K12" i="12"/>
  <c r="S12" i="12"/>
  <c r="AA12" i="12"/>
  <c r="AI12" i="12"/>
  <c r="AQ12" i="12"/>
  <c r="AY12" i="12"/>
  <c r="BG12" i="12"/>
  <c r="BO12" i="12"/>
  <c r="BW12" i="12"/>
  <c r="CE12" i="12"/>
  <c r="CM12" i="12"/>
  <c r="CU12" i="12"/>
  <c r="DC12" i="12"/>
  <c r="D13" i="12"/>
  <c r="T13" i="12"/>
  <c r="AJ13" i="12"/>
  <c r="AZ13" i="12"/>
  <c r="BP13" i="12"/>
  <c r="CF13" i="12"/>
  <c r="CN13" i="12"/>
  <c r="CV13" i="12"/>
  <c r="H14" i="12"/>
  <c r="P14" i="12"/>
  <c r="X14" i="12"/>
  <c r="AF14" i="12"/>
  <c r="AN14" i="12"/>
  <c r="AV14" i="12"/>
  <c r="BD14" i="12"/>
  <c r="BL14" i="12"/>
  <c r="BT14" i="12"/>
  <c r="CB14" i="12"/>
  <c r="L250" i="12"/>
  <c r="L251" i="12"/>
  <c r="L249" i="12"/>
  <c r="L247" i="12"/>
  <c r="L248" i="12"/>
  <c r="L245" i="12"/>
  <c r="L246" i="12"/>
  <c r="L241" i="12"/>
  <c r="L242" i="12"/>
  <c r="L243" i="12"/>
  <c r="L239" i="12"/>
  <c r="L244" i="12"/>
  <c r="L237" i="12"/>
  <c r="L238" i="12"/>
  <c r="L240" i="12"/>
  <c r="L236" i="12"/>
  <c r="L232" i="12"/>
  <c r="L233" i="12"/>
  <c r="L234" i="12"/>
  <c r="L235" i="12"/>
  <c r="L231" i="12"/>
  <c r="L229" i="12"/>
  <c r="L225" i="12"/>
  <c r="L230" i="12"/>
  <c r="L226" i="12"/>
  <c r="L227" i="12"/>
  <c r="L228" i="12"/>
  <c r="L223" i="12"/>
  <c r="L219" i="12"/>
  <c r="L224" i="12"/>
  <c r="L220" i="12"/>
  <c r="L221" i="12"/>
  <c r="L222" i="12"/>
  <c r="L216" i="12"/>
  <c r="L212" i="12"/>
  <c r="L208" i="12"/>
  <c r="L217" i="12"/>
  <c r="L213" i="12"/>
  <c r="L209" i="12"/>
  <c r="L218" i="12"/>
  <c r="L214" i="12"/>
  <c r="L210" i="12"/>
  <c r="L206" i="12"/>
  <c r="L215" i="12"/>
  <c r="L211" i="12"/>
  <c r="L207" i="12"/>
  <c r="L205" i="12"/>
  <c r="L201" i="12"/>
  <c r="L197" i="12"/>
  <c r="L193" i="12"/>
  <c r="L202" i="12"/>
  <c r="L198" i="12"/>
  <c r="L194" i="12"/>
  <c r="L203" i="12"/>
  <c r="L199" i="12"/>
  <c r="L195" i="12"/>
  <c r="L204" i="12"/>
  <c r="L200" i="12"/>
  <c r="L196" i="12"/>
  <c r="L190" i="12"/>
  <c r="L186" i="12"/>
  <c r="L182" i="12"/>
  <c r="L191" i="12"/>
  <c r="L187" i="12"/>
  <c r="L183" i="12"/>
  <c r="L192" i="12"/>
  <c r="L188" i="12"/>
  <c r="L184" i="12"/>
  <c r="L180" i="12"/>
  <c r="L189" i="12"/>
  <c r="L185" i="12"/>
  <c r="L181" i="12"/>
  <c r="L179" i="12"/>
  <c r="L175" i="12"/>
  <c r="L171" i="12"/>
  <c r="L176" i="12"/>
  <c r="L172" i="12"/>
  <c r="L168" i="12"/>
  <c r="L177" i="12"/>
  <c r="L173" i="12"/>
  <c r="L169" i="12"/>
  <c r="L178" i="12"/>
  <c r="L174" i="12"/>
  <c r="L170" i="12"/>
  <c r="L165" i="12"/>
  <c r="L161" i="12"/>
  <c r="L157" i="12"/>
  <c r="L153" i="12"/>
  <c r="L149" i="12"/>
  <c r="L145" i="12"/>
  <c r="L166" i="12"/>
  <c r="L162" i="12"/>
  <c r="L158" i="12"/>
  <c r="L154" i="12"/>
  <c r="L150" i="12"/>
  <c r="L146" i="12"/>
  <c r="L142" i="12"/>
  <c r="L167" i="12"/>
  <c r="L163" i="12"/>
  <c r="L159" i="12"/>
  <c r="L155" i="12"/>
  <c r="L151" i="12"/>
  <c r="L147" i="12"/>
  <c r="L143" i="12"/>
  <c r="L164" i="12"/>
  <c r="L160" i="12"/>
  <c r="L156" i="12"/>
  <c r="L152" i="12"/>
  <c r="L148" i="12"/>
  <c r="L144" i="12"/>
  <c r="L140" i="12"/>
  <c r="L136" i="12"/>
  <c r="L132" i="12"/>
  <c r="L128" i="12"/>
  <c r="L124" i="12"/>
  <c r="L120" i="12"/>
  <c r="L141" i="12"/>
  <c r="L137" i="12"/>
  <c r="L133" i="12"/>
  <c r="L129" i="12"/>
  <c r="L125" i="12"/>
  <c r="L121" i="12"/>
  <c r="L138" i="12"/>
  <c r="L134" i="12"/>
  <c r="L130" i="12"/>
  <c r="L126" i="12"/>
  <c r="L122" i="12"/>
  <c r="L118" i="12"/>
  <c r="L139" i="12"/>
  <c r="L135" i="12"/>
  <c r="L131" i="12"/>
  <c r="L127" i="12"/>
  <c r="L123" i="12"/>
  <c r="L119" i="12"/>
  <c r="L113" i="12"/>
  <c r="L109" i="12"/>
  <c r="L105" i="12"/>
  <c r="L101" i="12"/>
  <c r="L97" i="12"/>
  <c r="L116" i="12"/>
  <c r="L114" i="12"/>
  <c r="L110" i="12"/>
  <c r="L106" i="12"/>
  <c r="L102" i="12"/>
  <c r="L98" i="12"/>
  <c r="L94" i="12"/>
  <c r="L115" i="12"/>
  <c r="L111" i="12"/>
  <c r="L107" i="12"/>
  <c r="L103" i="12"/>
  <c r="L99" i="12"/>
  <c r="L95" i="12"/>
  <c r="L91" i="12"/>
  <c r="L117" i="12"/>
  <c r="L112" i="12"/>
  <c r="L108" i="12"/>
  <c r="L104" i="12"/>
  <c r="L100" i="12"/>
  <c r="L96" i="12"/>
  <c r="L92" i="12"/>
  <c r="L88" i="12"/>
  <c r="L89" i="12"/>
  <c r="L84" i="12"/>
  <c r="L80" i="12"/>
  <c r="L76" i="12"/>
  <c r="L72" i="12"/>
  <c r="L68" i="12"/>
  <c r="L85" i="12"/>
  <c r="L81" i="12"/>
  <c r="L77" i="12"/>
  <c r="L73" i="12"/>
  <c r="L69" i="12"/>
  <c r="L65" i="12"/>
  <c r="L61" i="12"/>
  <c r="L90" i="12"/>
  <c r="L86" i="12"/>
  <c r="L82" i="12"/>
  <c r="L78" i="12"/>
  <c r="L74" i="12"/>
  <c r="L70" i="12"/>
  <c r="L66" i="12"/>
  <c r="L93" i="12"/>
  <c r="L87" i="12"/>
  <c r="L83" i="12"/>
  <c r="L79" i="12"/>
  <c r="L75" i="12"/>
  <c r="L71" i="12"/>
  <c r="L67" i="12"/>
  <c r="L63" i="12"/>
  <c r="L57" i="12"/>
  <c r="L53" i="12"/>
  <c r="L49" i="12"/>
  <c r="L45" i="12"/>
  <c r="L41" i="12"/>
  <c r="L37" i="12"/>
  <c r="L33" i="12"/>
  <c r="L29" i="12"/>
  <c r="L25" i="12"/>
  <c r="L21" i="12"/>
  <c r="L17" i="12"/>
  <c r="L62" i="12"/>
  <c r="L58" i="12"/>
  <c r="L54" i="12"/>
  <c r="L50" i="12"/>
  <c r="L46" i="12"/>
  <c r="L42" i="12"/>
  <c r="L38" i="12"/>
  <c r="L34" i="12"/>
  <c r="L30" i="12"/>
  <c r="L26" i="12"/>
  <c r="L22" i="12"/>
  <c r="L18" i="12"/>
  <c r="L59" i="12"/>
  <c r="L55" i="12"/>
  <c r="L51" i="12"/>
  <c r="L47" i="12"/>
  <c r="L43" i="12"/>
  <c r="L39" i="12"/>
  <c r="L35" i="12"/>
  <c r="L31" i="12"/>
  <c r="L27" i="12"/>
  <c r="L23" i="12"/>
  <c r="L19" i="12"/>
  <c r="L15" i="12"/>
  <c r="L11" i="12"/>
  <c r="L64" i="12"/>
  <c r="L60" i="12"/>
  <c r="L56" i="12"/>
  <c r="L52" i="12"/>
  <c r="L48" i="12"/>
  <c r="L44" i="12"/>
  <c r="L40" i="12"/>
  <c r="L36" i="12"/>
  <c r="L32" i="12"/>
  <c r="L28" i="12"/>
  <c r="L24" i="12"/>
  <c r="L20" i="12"/>
  <c r="L16" i="12"/>
  <c r="L12" i="12"/>
  <c r="AB250" i="12"/>
  <c r="AB251" i="12"/>
  <c r="AB249" i="12"/>
  <c r="AB247" i="12"/>
  <c r="AB248" i="12"/>
  <c r="AB245" i="12"/>
  <c r="AB241" i="12"/>
  <c r="AB242" i="12"/>
  <c r="AB243" i="12"/>
  <c r="AB239" i="12"/>
  <c r="AB244" i="12"/>
  <c r="AB237" i="12"/>
  <c r="AB238" i="12"/>
  <c r="AB246" i="12"/>
  <c r="AB240" i="12"/>
  <c r="AB236" i="12"/>
  <c r="AB232" i="12"/>
  <c r="AB233" i="12"/>
  <c r="AB234" i="12"/>
  <c r="AB235" i="12"/>
  <c r="AB231" i="12"/>
  <c r="AB229" i="12"/>
  <c r="AB225" i="12"/>
  <c r="AB230" i="12"/>
  <c r="AB226" i="12"/>
  <c r="AB227" i="12"/>
  <c r="AB228" i="12"/>
  <c r="AB223" i="12"/>
  <c r="AB219" i="12"/>
  <c r="AB224" i="12"/>
  <c r="AB220" i="12"/>
  <c r="AB221" i="12"/>
  <c r="AB222" i="12"/>
  <c r="AB216" i="12"/>
  <c r="AB212" i="12"/>
  <c r="AB208" i="12"/>
  <c r="AB217" i="12"/>
  <c r="AB213" i="12"/>
  <c r="AB209" i="12"/>
  <c r="AB218" i="12"/>
  <c r="AB214" i="12"/>
  <c r="AB210" i="12"/>
  <c r="AB206" i="12"/>
  <c r="AB215" i="12"/>
  <c r="AB211" i="12"/>
  <c r="AB207" i="12"/>
  <c r="AB205" i="12"/>
  <c r="AB201" i="12"/>
  <c r="AB197" i="12"/>
  <c r="AB193" i="12"/>
  <c r="AB202" i="12"/>
  <c r="AB198" i="12"/>
  <c r="AB194" i="12"/>
  <c r="AB203" i="12"/>
  <c r="AB199" i="12"/>
  <c r="AB195" i="12"/>
  <c r="AB204" i="12"/>
  <c r="AB200" i="12"/>
  <c r="AB196" i="12"/>
  <c r="AB190" i="12"/>
  <c r="AB186" i="12"/>
  <c r="AB182" i="12"/>
  <c r="AB191" i="12"/>
  <c r="AB187" i="12"/>
  <c r="AB183" i="12"/>
  <c r="AB192" i="12"/>
  <c r="AB188" i="12"/>
  <c r="AB184" i="12"/>
  <c r="AB180" i="12"/>
  <c r="AB189" i="12"/>
  <c r="AB185" i="12"/>
  <c r="AB181" i="12"/>
  <c r="AB179" i="12"/>
  <c r="AB175" i="12"/>
  <c r="AB171" i="12"/>
  <c r="AB176" i="12"/>
  <c r="AB172" i="12"/>
  <c r="AB168" i="12"/>
  <c r="AB177" i="12"/>
  <c r="AB173" i="12"/>
  <c r="AB169" i="12"/>
  <c r="AB178" i="12"/>
  <c r="AB174" i="12"/>
  <c r="AB170" i="12"/>
  <c r="AB165" i="12"/>
  <c r="AB161" i="12"/>
  <c r="AB157" i="12"/>
  <c r="AB153" i="12"/>
  <c r="AB149" i="12"/>
  <c r="AB145" i="12"/>
  <c r="AB166" i="12"/>
  <c r="AB162" i="12"/>
  <c r="AB158" i="12"/>
  <c r="AB154" i="12"/>
  <c r="AB150" i="12"/>
  <c r="AB146" i="12"/>
  <c r="AB142" i="12"/>
  <c r="AB167" i="12"/>
  <c r="AB163" i="12"/>
  <c r="AB159" i="12"/>
  <c r="AB155" i="12"/>
  <c r="AB151" i="12"/>
  <c r="AB147" i="12"/>
  <c r="AB143" i="12"/>
  <c r="AB164" i="12"/>
  <c r="AB160" i="12"/>
  <c r="AB156" i="12"/>
  <c r="AB152" i="12"/>
  <c r="AB148" i="12"/>
  <c r="AB144" i="12"/>
  <c r="AB140" i="12"/>
  <c r="AB136" i="12"/>
  <c r="AB132" i="12"/>
  <c r="AB128" i="12"/>
  <c r="AB124" i="12"/>
  <c r="AB120" i="12"/>
  <c r="AB141" i="12"/>
  <c r="AB137" i="12"/>
  <c r="AB133" i="12"/>
  <c r="AB129" i="12"/>
  <c r="AB125" i="12"/>
  <c r="AB121" i="12"/>
  <c r="AB138" i="12"/>
  <c r="AB134" i="12"/>
  <c r="AB130" i="12"/>
  <c r="AB126" i="12"/>
  <c r="AB122" i="12"/>
  <c r="AB118" i="12"/>
  <c r="AB139" i="12"/>
  <c r="AB135" i="12"/>
  <c r="AB131" i="12"/>
  <c r="AB127" i="12"/>
  <c r="AB123" i="12"/>
  <c r="AB119" i="12"/>
  <c r="AB113" i="12"/>
  <c r="AB109" i="12"/>
  <c r="AB105" i="12"/>
  <c r="AB101" i="12"/>
  <c r="AB97" i="12"/>
  <c r="AB116" i="12"/>
  <c r="AB114" i="12"/>
  <c r="AB110" i="12"/>
  <c r="AB106" i="12"/>
  <c r="AB102" i="12"/>
  <c r="AB98" i="12"/>
  <c r="AB94" i="12"/>
  <c r="AB115" i="12"/>
  <c r="AB111" i="12"/>
  <c r="AB107" i="12"/>
  <c r="AB103" i="12"/>
  <c r="AB99" i="12"/>
  <c r="AB95" i="12"/>
  <c r="AB91" i="12"/>
  <c r="AB117" i="12"/>
  <c r="AB112" i="12"/>
  <c r="AB108" i="12"/>
  <c r="AB104" i="12"/>
  <c r="AB100" i="12"/>
  <c r="AB96" i="12"/>
  <c r="AB92" i="12"/>
  <c r="AB88" i="12"/>
  <c r="AB89" i="12"/>
  <c r="AB84" i="12"/>
  <c r="AB80" i="12"/>
  <c r="AB76" i="12"/>
  <c r="AB72" i="12"/>
  <c r="AB68" i="12"/>
  <c r="AB64" i="12"/>
  <c r="AB85" i="12"/>
  <c r="AB81" i="12"/>
  <c r="AB77" i="12"/>
  <c r="AB73" i="12"/>
  <c r="AB69" i="12"/>
  <c r="AB65" i="12"/>
  <c r="AB61" i="12"/>
  <c r="AB90" i="12"/>
  <c r="AB86" i="12"/>
  <c r="AB82" i="12"/>
  <c r="AB78" i="12"/>
  <c r="AB74" i="12"/>
  <c r="AB70" i="12"/>
  <c r="AB66" i="12"/>
  <c r="AB93" i="12"/>
  <c r="AB87" i="12"/>
  <c r="AB83" i="12"/>
  <c r="AB79" i="12"/>
  <c r="AB75" i="12"/>
  <c r="AB71" i="12"/>
  <c r="AB67" i="12"/>
  <c r="AB63" i="12"/>
  <c r="AB57" i="12"/>
  <c r="AB53" i="12"/>
  <c r="AB49" i="12"/>
  <c r="AB45" i="12"/>
  <c r="AB41" i="12"/>
  <c r="AB37" i="12"/>
  <c r="AB33" i="12"/>
  <c r="AB29" i="12"/>
  <c r="AB25" i="12"/>
  <c r="AB21" i="12"/>
  <c r="AB17" i="12"/>
  <c r="AB62" i="12"/>
  <c r="AB58" i="12"/>
  <c r="AB54" i="12"/>
  <c r="AB50" i="12"/>
  <c r="AB46" i="12"/>
  <c r="AB42" i="12"/>
  <c r="AB38" i="12"/>
  <c r="AB34" i="12"/>
  <c r="AB30" i="12"/>
  <c r="AB26" i="12"/>
  <c r="AB22" i="12"/>
  <c r="AB18" i="12"/>
  <c r="AB59" i="12"/>
  <c r="AB55" i="12"/>
  <c r="AB51" i="12"/>
  <c r="AB47" i="12"/>
  <c r="AB43" i="12"/>
  <c r="AB39" i="12"/>
  <c r="AB35" i="12"/>
  <c r="AB31" i="12"/>
  <c r="AB27" i="12"/>
  <c r="AB23" i="12"/>
  <c r="AB19" i="12"/>
  <c r="AB15" i="12"/>
  <c r="AB11" i="12"/>
  <c r="AB60" i="12"/>
  <c r="AB56" i="12"/>
  <c r="AB52" i="12"/>
  <c r="AB48" i="12"/>
  <c r="AB44" i="12"/>
  <c r="AB40" i="12"/>
  <c r="AB36" i="12"/>
  <c r="AB32" i="12"/>
  <c r="AB28" i="12"/>
  <c r="AB24" i="12"/>
  <c r="AB20" i="12"/>
  <c r="AB16" i="12"/>
  <c r="AB12" i="12"/>
  <c r="AR250" i="12"/>
  <c r="AR251" i="12"/>
  <c r="AR249" i="12"/>
  <c r="AR247" i="12"/>
  <c r="AR248" i="12"/>
  <c r="AR245" i="12"/>
  <c r="AR246" i="12"/>
  <c r="AR244" i="12"/>
  <c r="AR241" i="12"/>
  <c r="AR242" i="12"/>
  <c r="AR243" i="12"/>
  <c r="AR239" i="12"/>
  <c r="AR237" i="12"/>
  <c r="AR238" i="12"/>
  <c r="AR240" i="12"/>
  <c r="AR236" i="12"/>
  <c r="AR232" i="12"/>
  <c r="AR233" i="12"/>
  <c r="AR234" i="12"/>
  <c r="AR235" i="12"/>
  <c r="AR231" i="12"/>
  <c r="AR229" i="12"/>
  <c r="AR225" i="12"/>
  <c r="AR230" i="12"/>
  <c r="AR226" i="12"/>
  <c r="AR227" i="12"/>
  <c r="AR228" i="12"/>
  <c r="AR223" i="12"/>
  <c r="AR219" i="12"/>
  <c r="AR224" i="12"/>
  <c r="AR220" i="12"/>
  <c r="AR221" i="12"/>
  <c r="AR222" i="12"/>
  <c r="AR218" i="12"/>
  <c r="AR216" i="12"/>
  <c r="AR212" i="12"/>
  <c r="AR208" i="12"/>
  <c r="AR217" i="12"/>
  <c r="AR213" i="12"/>
  <c r="AR209" i="12"/>
  <c r="AR214" i="12"/>
  <c r="AR210" i="12"/>
  <c r="AR206" i="12"/>
  <c r="AR215" i="12"/>
  <c r="AR211" i="12"/>
  <c r="AR207" i="12"/>
  <c r="AR205" i="12"/>
  <c r="AR201" i="12"/>
  <c r="AR197" i="12"/>
  <c r="AR193" i="12"/>
  <c r="AR202" i="12"/>
  <c r="AR198" i="12"/>
  <c r="AR194" i="12"/>
  <c r="AR203" i="12"/>
  <c r="AR199" i="12"/>
  <c r="AR195" i="12"/>
  <c r="AR204" i="12"/>
  <c r="AR200" i="12"/>
  <c r="AR196" i="12"/>
  <c r="AR190" i="12"/>
  <c r="AR186" i="12"/>
  <c r="AR182" i="12"/>
  <c r="AR191" i="12"/>
  <c r="AR187" i="12"/>
  <c r="AR183" i="12"/>
  <c r="AR192" i="12"/>
  <c r="AR188" i="12"/>
  <c r="AR184" i="12"/>
  <c r="AR180" i="12"/>
  <c r="AR189" i="12"/>
  <c r="AR185" i="12"/>
  <c r="AR181" i="12"/>
  <c r="AR179" i="12"/>
  <c r="AR175" i="12"/>
  <c r="AR171" i="12"/>
  <c r="AR167" i="12"/>
  <c r="AR176" i="12"/>
  <c r="AR172" i="12"/>
  <c r="AR168" i="12"/>
  <c r="AR177" i="12"/>
  <c r="AR173" i="12"/>
  <c r="AR169" i="12"/>
  <c r="AR178" i="12"/>
  <c r="AR174" i="12"/>
  <c r="AR170" i="12"/>
  <c r="AR165" i="12"/>
  <c r="AR161" i="12"/>
  <c r="AR157" i="12"/>
  <c r="AR153" i="12"/>
  <c r="AR149" i="12"/>
  <c r="AR145" i="12"/>
  <c r="AR166" i="12"/>
  <c r="AR162" i="12"/>
  <c r="AR158" i="12"/>
  <c r="AR154" i="12"/>
  <c r="AR150" i="12"/>
  <c r="AR146" i="12"/>
  <c r="AR142" i="12"/>
  <c r="AR163" i="12"/>
  <c r="AR159" i="12"/>
  <c r="AR155" i="12"/>
  <c r="AR151" i="12"/>
  <c r="AR147" i="12"/>
  <c r="AR143" i="12"/>
  <c r="AR164" i="12"/>
  <c r="AR160" i="12"/>
  <c r="AR156" i="12"/>
  <c r="AR152" i="12"/>
  <c r="AR148" i="12"/>
  <c r="AR144" i="12"/>
  <c r="AR140" i="12"/>
  <c r="AR136" i="12"/>
  <c r="AR132" i="12"/>
  <c r="AR128" i="12"/>
  <c r="AR124" i="12"/>
  <c r="AR120" i="12"/>
  <c r="AR141" i="12"/>
  <c r="AR137" i="12"/>
  <c r="AR133" i="12"/>
  <c r="AR129" i="12"/>
  <c r="AR125" i="12"/>
  <c r="AR121" i="12"/>
  <c r="AR138" i="12"/>
  <c r="AR134" i="12"/>
  <c r="AR130" i="12"/>
  <c r="AR126" i="12"/>
  <c r="AR122" i="12"/>
  <c r="AR118" i="12"/>
  <c r="AR139" i="12"/>
  <c r="AR135" i="12"/>
  <c r="AR131" i="12"/>
  <c r="AR127" i="12"/>
  <c r="AR123" i="12"/>
  <c r="AR119" i="12"/>
  <c r="AR113" i="12"/>
  <c r="AR109" i="12"/>
  <c r="AR105" i="12"/>
  <c r="AR101" i="12"/>
  <c r="AR97" i="12"/>
  <c r="AR116" i="12"/>
  <c r="AR114" i="12"/>
  <c r="AR110" i="12"/>
  <c r="AR106" i="12"/>
  <c r="AR102" i="12"/>
  <c r="AR98" i="12"/>
  <c r="AR94" i="12"/>
  <c r="AR115" i="12"/>
  <c r="AR111" i="12"/>
  <c r="AR107" i="12"/>
  <c r="AR103" i="12"/>
  <c r="AR99" i="12"/>
  <c r="AR95" i="12"/>
  <c r="AR91" i="12"/>
  <c r="AR117" i="12"/>
  <c r="AR112" i="12"/>
  <c r="AR108" i="12"/>
  <c r="AR104" i="12"/>
  <c r="AR100" i="12"/>
  <c r="AR96" i="12"/>
  <c r="AR92" i="12"/>
  <c r="AR88" i="12"/>
  <c r="AR89" i="12"/>
  <c r="AR84" i="12"/>
  <c r="AR80" i="12"/>
  <c r="AR76" i="12"/>
  <c r="AR72" i="12"/>
  <c r="AR68" i="12"/>
  <c r="AR64" i="12"/>
  <c r="AR85" i="12"/>
  <c r="AR81" i="12"/>
  <c r="AR77" i="12"/>
  <c r="AR73" i="12"/>
  <c r="AR69" i="12"/>
  <c r="AR65" i="12"/>
  <c r="AR61" i="12"/>
  <c r="AR90" i="12"/>
  <c r="AR86" i="12"/>
  <c r="AR82" i="12"/>
  <c r="AR78" i="12"/>
  <c r="AR74" i="12"/>
  <c r="AR70" i="12"/>
  <c r="AR66" i="12"/>
  <c r="AR93" i="12"/>
  <c r="AR87" i="12"/>
  <c r="AR83" i="12"/>
  <c r="AR79" i="12"/>
  <c r="AR75" i="12"/>
  <c r="AR71" i="12"/>
  <c r="AR67" i="12"/>
  <c r="AR63" i="12"/>
  <c r="AR57" i="12"/>
  <c r="AR53" i="12"/>
  <c r="AR49" i="12"/>
  <c r="AR45" i="12"/>
  <c r="AR41" i="12"/>
  <c r="AR37" i="12"/>
  <c r="AR33" i="12"/>
  <c r="AR29" i="12"/>
  <c r="AR25" i="12"/>
  <c r="AR21" i="12"/>
  <c r="AR17" i="12"/>
  <c r="AR62" i="12"/>
  <c r="AR58" i="12"/>
  <c r="AR54" i="12"/>
  <c r="AR50" i="12"/>
  <c r="AR46" i="12"/>
  <c r="AR42" i="12"/>
  <c r="AR38" i="12"/>
  <c r="AR34" i="12"/>
  <c r="AR30" i="12"/>
  <c r="AR26" i="12"/>
  <c r="AR22" i="12"/>
  <c r="AR18" i="12"/>
  <c r="AR59" i="12"/>
  <c r="AR55" i="12"/>
  <c r="AR51" i="12"/>
  <c r="AR47" i="12"/>
  <c r="AR43" i="12"/>
  <c r="AR39" i="12"/>
  <c r="AR35" i="12"/>
  <c r="AR31" i="12"/>
  <c r="AR27" i="12"/>
  <c r="AR23" i="12"/>
  <c r="AR19" i="12"/>
  <c r="AR15" i="12"/>
  <c r="AR11" i="12"/>
  <c r="AR60" i="12"/>
  <c r="AR56" i="12"/>
  <c r="AR52" i="12"/>
  <c r="AR48" i="12"/>
  <c r="AR44" i="12"/>
  <c r="AR40" i="12"/>
  <c r="AR36" i="12"/>
  <c r="AR32" i="12"/>
  <c r="AR28" i="12"/>
  <c r="AR24" i="12"/>
  <c r="AR20" i="12"/>
  <c r="AR16" i="12"/>
  <c r="AR12" i="12"/>
  <c r="BH250" i="12"/>
  <c r="BH251" i="12"/>
  <c r="BH249" i="12"/>
  <c r="BH247" i="12"/>
  <c r="BH248" i="12"/>
  <c r="BH245" i="12"/>
  <c r="BH244" i="12"/>
  <c r="BH241" i="12"/>
  <c r="BH246" i="12"/>
  <c r="BH242" i="12"/>
  <c r="BH243" i="12"/>
  <c r="BH239" i="12"/>
  <c r="BH237" i="12"/>
  <c r="BH238" i="12"/>
  <c r="BH240" i="12"/>
  <c r="BH236" i="12"/>
  <c r="BH232" i="12"/>
  <c r="BH233" i="12"/>
  <c r="BH234" i="12"/>
  <c r="BH235" i="12"/>
  <c r="BH231" i="12"/>
  <c r="BH229" i="12"/>
  <c r="BH225" i="12"/>
  <c r="BH230" i="12"/>
  <c r="BH226" i="12"/>
  <c r="BH227" i="12"/>
  <c r="BH228" i="12"/>
  <c r="BH223" i="12"/>
  <c r="BH219" i="12"/>
  <c r="BH224" i="12"/>
  <c r="BH220" i="12"/>
  <c r="BH221" i="12"/>
  <c r="BH222" i="12"/>
  <c r="BH218" i="12"/>
  <c r="BH216" i="12"/>
  <c r="BH212" i="12"/>
  <c r="BH208" i="12"/>
  <c r="BH217" i="12"/>
  <c r="BH213" i="12"/>
  <c r="BH209" i="12"/>
  <c r="BH214" i="12"/>
  <c r="BH210" i="12"/>
  <c r="BH206" i="12"/>
  <c r="BH215" i="12"/>
  <c r="BH211" i="12"/>
  <c r="BH207" i="12"/>
  <c r="BH201" i="12"/>
  <c r="BH197" i="12"/>
  <c r="BH193" i="12"/>
  <c r="BH205" i="12"/>
  <c r="BH202" i="12"/>
  <c r="BH198" i="12"/>
  <c r="BH194" i="12"/>
  <c r="BH203" i="12"/>
  <c r="BH199" i="12"/>
  <c r="BH195" i="12"/>
  <c r="BH204" i="12"/>
  <c r="BH200" i="12"/>
  <c r="BH196" i="12"/>
  <c r="BH190" i="12"/>
  <c r="BH186" i="12"/>
  <c r="BH182" i="12"/>
  <c r="BH191" i="12"/>
  <c r="BH187" i="12"/>
  <c r="BH183" i="12"/>
  <c r="BH192" i="12"/>
  <c r="BH188" i="12"/>
  <c r="BH184" i="12"/>
  <c r="BH180" i="12"/>
  <c r="BH189" i="12"/>
  <c r="BH185" i="12"/>
  <c r="BH181" i="12"/>
  <c r="BH179" i="12"/>
  <c r="BH175" i="12"/>
  <c r="BH171" i="12"/>
  <c r="BH167" i="12"/>
  <c r="BH176" i="12"/>
  <c r="BH172" i="12"/>
  <c r="BH168" i="12"/>
  <c r="BH177" i="12"/>
  <c r="BH173" i="12"/>
  <c r="BH169" i="12"/>
  <c r="BH178" i="12"/>
  <c r="BH174" i="12"/>
  <c r="BH170" i="12"/>
  <c r="BH165" i="12"/>
  <c r="BH161" i="12"/>
  <c r="BH157" i="12"/>
  <c r="BH153" i="12"/>
  <c r="BH149" i="12"/>
  <c r="BH145" i="12"/>
  <c r="BH166" i="12"/>
  <c r="BH162" i="12"/>
  <c r="BH158" i="12"/>
  <c r="BH154" i="12"/>
  <c r="BH150" i="12"/>
  <c r="BH146" i="12"/>
  <c r="BH142" i="12"/>
  <c r="BH163" i="12"/>
  <c r="BH159" i="12"/>
  <c r="BH155" i="12"/>
  <c r="BH151" i="12"/>
  <c r="BH147" i="12"/>
  <c r="BH143" i="12"/>
  <c r="BH164" i="12"/>
  <c r="BH160" i="12"/>
  <c r="BH156" i="12"/>
  <c r="BH152" i="12"/>
  <c r="BH148" i="12"/>
  <c r="BH144" i="12"/>
  <c r="BH141" i="12"/>
  <c r="BH140" i="12"/>
  <c r="BH136" i="12"/>
  <c r="BH132" i="12"/>
  <c r="BH128" i="12"/>
  <c r="BH124" i="12"/>
  <c r="BH120" i="12"/>
  <c r="BH137" i="12"/>
  <c r="BH133" i="12"/>
  <c r="BH129" i="12"/>
  <c r="BH125" i="12"/>
  <c r="BH121" i="12"/>
  <c r="BH138" i="12"/>
  <c r="BH134" i="12"/>
  <c r="BH130" i="12"/>
  <c r="BH126" i="12"/>
  <c r="BH122" i="12"/>
  <c r="BH118" i="12"/>
  <c r="BH139" i="12"/>
  <c r="BH135" i="12"/>
  <c r="BH131" i="12"/>
  <c r="BH127" i="12"/>
  <c r="BH123" i="12"/>
  <c r="BH119" i="12"/>
  <c r="BH113" i="12"/>
  <c r="BH109" i="12"/>
  <c r="BH105" i="12"/>
  <c r="BH101" i="12"/>
  <c r="BH97" i="12"/>
  <c r="BH93" i="12"/>
  <c r="BH116" i="12"/>
  <c r="BH114" i="12"/>
  <c r="BH110" i="12"/>
  <c r="BH106" i="12"/>
  <c r="BH102" i="12"/>
  <c r="BH98" i="12"/>
  <c r="BH94" i="12"/>
  <c r="BH115" i="12"/>
  <c r="BH111" i="12"/>
  <c r="BH107" i="12"/>
  <c r="BH103" i="12"/>
  <c r="BH99" i="12"/>
  <c r="BH95" i="12"/>
  <c r="BH91" i="12"/>
  <c r="BH87" i="12"/>
  <c r="BH117" i="12"/>
  <c r="BH112" i="12"/>
  <c r="BH108" i="12"/>
  <c r="BH104" i="12"/>
  <c r="BH100" i="12"/>
  <c r="BH96" i="12"/>
  <c r="BH92" i="12"/>
  <c r="BH88" i="12"/>
  <c r="BH89" i="12"/>
  <c r="BH84" i="12"/>
  <c r="BH80" i="12"/>
  <c r="BH76" i="12"/>
  <c r="BH72" i="12"/>
  <c r="BH68" i="12"/>
  <c r="BH64" i="12"/>
  <c r="BH85" i="12"/>
  <c r="BH81" i="12"/>
  <c r="BH77" i="12"/>
  <c r="BH73" i="12"/>
  <c r="BH69" i="12"/>
  <c r="BH65" i="12"/>
  <c r="BH61" i="12"/>
  <c r="BH90" i="12"/>
  <c r="BH86" i="12"/>
  <c r="BH82" i="12"/>
  <c r="BH78" i="12"/>
  <c r="BH74" i="12"/>
  <c r="BH70" i="12"/>
  <c r="BH66" i="12"/>
  <c r="BH83" i="12"/>
  <c r="BH79" i="12"/>
  <c r="BH75" i="12"/>
  <c r="BH71" i="12"/>
  <c r="BH67" i="12"/>
  <c r="BH63" i="12"/>
  <c r="BH57" i="12"/>
  <c r="BH53" i="12"/>
  <c r="BH49" i="12"/>
  <c r="BH45" i="12"/>
  <c r="BH41" i="12"/>
  <c r="BH37" i="12"/>
  <c r="BH33" i="12"/>
  <c r="BH29" i="12"/>
  <c r="BH25" i="12"/>
  <c r="BH21" i="12"/>
  <c r="BH17" i="12"/>
  <c r="BH62" i="12"/>
  <c r="BH58" i="12"/>
  <c r="BH54" i="12"/>
  <c r="BH50" i="12"/>
  <c r="BH46" i="12"/>
  <c r="BH42" i="12"/>
  <c r="BH38" i="12"/>
  <c r="BH34" i="12"/>
  <c r="BH30" i="12"/>
  <c r="BH26" i="12"/>
  <c r="BH22" i="12"/>
  <c r="BH18" i="12"/>
  <c r="BH59" i="12"/>
  <c r="BH55" i="12"/>
  <c r="BH51" i="12"/>
  <c r="BH47" i="12"/>
  <c r="BH43" i="12"/>
  <c r="BH39" i="12"/>
  <c r="BH35" i="12"/>
  <c r="BH31" i="12"/>
  <c r="BH27" i="12"/>
  <c r="BH23" i="12"/>
  <c r="BH19" i="12"/>
  <c r="BH15" i="12"/>
  <c r="BH11" i="12"/>
  <c r="BH60" i="12"/>
  <c r="BH56" i="12"/>
  <c r="BH52" i="12"/>
  <c r="BH48" i="12"/>
  <c r="BH44" i="12"/>
  <c r="BH40" i="12"/>
  <c r="BH36" i="12"/>
  <c r="BH32" i="12"/>
  <c r="BH28" i="12"/>
  <c r="BH24" i="12"/>
  <c r="BH20" i="12"/>
  <c r="BH16" i="12"/>
  <c r="BH12" i="12"/>
  <c r="BX250" i="12"/>
  <c r="BX251" i="12"/>
  <c r="BX249" i="12"/>
  <c r="BX247" i="12"/>
  <c r="BX248" i="12"/>
  <c r="BX245" i="12"/>
  <c r="BX244" i="12"/>
  <c r="BX241" i="12"/>
  <c r="BX242" i="12"/>
  <c r="BX246" i="12"/>
  <c r="BX243" i="12"/>
  <c r="BX239" i="12"/>
  <c r="BX237" i="12"/>
  <c r="BX238" i="12"/>
  <c r="BX240" i="12"/>
  <c r="BX236" i="12"/>
  <c r="BX232" i="12"/>
  <c r="BX233" i="12"/>
  <c r="BX234" i="12"/>
  <c r="BX235" i="12"/>
  <c r="BX231" i="12"/>
  <c r="BX229" i="12"/>
  <c r="BX225" i="12"/>
  <c r="BX230" i="12"/>
  <c r="BX226" i="12"/>
  <c r="BX227" i="12"/>
  <c r="BX228" i="12"/>
  <c r="BX224" i="12"/>
  <c r="BX223" i="12"/>
  <c r="BX219" i="12"/>
  <c r="BX220" i="12"/>
  <c r="BX221" i="12"/>
  <c r="BX222" i="12"/>
  <c r="BX218" i="12"/>
  <c r="BX216" i="12"/>
  <c r="BX212" i="12"/>
  <c r="BX208" i="12"/>
  <c r="BX217" i="12"/>
  <c r="BX213" i="12"/>
  <c r="BX209" i="12"/>
  <c r="BX214" i="12"/>
  <c r="BX210" i="12"/>
  <c r="BX206" i="12"/>
  <c r="BX215" i="12"/>
  <c r="BX211" i="12"/>
  <c r="BX207" i="12"/>
  <c r="BX205" i="12"/>
  <c r="BX201" i="12"/>
  <c r="BX197" i="12"/>
  <c r="BX193" i="12"/>
  <c r="BX202" i="12"/>
  <c r="BX198" i="12"/>
  <c r="BX194" i="12"/>
  <c r="BX203" i="12"/>
  <c r="BX199" i="12"/>
  <c r="BX195" i="12"/>
  <c r="BX204" i="12"/>
  <c r="BX200" i="12"/>
  <c r="BX196" i="12"/>
  <c r="BX190" i="12"/>
  <c r="BX186" i="12"/>
  <c r="BX182" i="12"/>
  <c r="BX191" i="12"/>
  <c r="BX187" i="12"/>
  <c r="BX183" i="12"/>
  <c r="BX192" i="12"/>
  <c r="BX188" i="12"/>
  <c r="BX184" i="12"/>
  <c r="BX180" i="12"/>
  <c r="BX189" i="12"/>
  <c r="BX185" i="12"/>
  <c r="BX181" i="12"/>
  <c r="BX179" i="12"/>
  <c r="BX175" i="12"/>
  <c r="BX171" i="12"/>
  <c r="BX167" i="12"/>
  <c r="BX176" i="12"/>
  <c r="BX172" i="12"/>
  <c r="BX168" i="12"/>
  <c r="BX177" i="12"/>
  <c r="BX173" i="12"/>
  <c r="BX169" i="12"/>
  <c r="BX178" i="12"/>
  <c r="BX174" i="12"/>
  <c r="BX170" i="12"/>
  <c r="BX165" i="12"/>
  <c r="BX161" i="12"/>
  <c r="BX157" i="12"/>
  <c r="BX153" i="12"/>
  <c r="BX149" i="12"/>
  <c r="BX145" i="12"/>
  <c r="BX141" i="12"/>
  <c r="BX166" i="12"/>
  <c r="BX162" i="12"/>
  <c r="BX158" i="12"/>
  <c r="BX154" i="12"/>
  <c r="BX150" i="12"/>
  <c r="BX146" i="12"/>
  <c r="BX142" i="12"/>
  <c r="BX163" i="12"/>
  <c r="BX159" i="12"/>
  <c r="BX155" i="12"/>
  <c r="BX151" i="12"/>
  <c r="BX147" i="12"/>
  <c r="BX143" i="12"/>
  <c r="BX164" i="12"/>
  <c r="BX160" i="12"/>
  <c r="BX156" i="12"/>
  <c r="BX152" i="12"/>
  <c r="BX148" i="12"/>
  <c r="BX144" i="12"/>
  <c r="BX140" i="12"/>
  <c r="BX136" i="12"/>
  <c r="BX132" i="12"/>
  <c r="BX128" i="12"/>
  <c r="BX124" i="12"/>
  <c r="BX120" i="12"/>
  <c r="BX137" i="12"/>
  <c r="BX133" i="12"/>
  <c r="BX129" i="12"/>
  <c r="BX125" i="12"/>
  <c r="BX121" i="12"/>
  <c r="BX138" i="12"/>
  <c r="BX134" i="12"/>
  <c r="BX130" i="12"/>
  <c r="BX126" i="12"/>
  <c r="BX122" i="12"/>
  <c r="BX118" i="12"/>
  <c r="BX139" i="12"/>
  <c r="BX135" i="12"/>
  <c r="BX131" i="12"/>
  <c r="BX127" i="12"/>
  <c r="BX123" i="12"/>
  <c r="BX119" i="12"/>
  <c r="BX113" i="12"/>
  <c r="BX109" i="12"/>
  <c r="BX105" i="12"/>
  <c r="BX101" i="12"/>
  <c r="BX97" i="12"/>
  <c r="BX93" i="12"/>
  <c r="BX116" i="12"/>
  <c r="BX114" i="12"/>
  <c r="BX110" i="12"/>
  <c r="BX106" i="12"/>
  <c r="BX102" i="12"/>
  <c r="BX98" i="12"/>
  <c r="BX94" i="12"/>
  <c r="BX115" i="12"/>
  <c r="BX111" i="12"/>
  <c r="BX107" i="12"/>
  <c r="BX103" i="12"/>
  <c r="BX99" i="12"/>
  <c r="BX95" i="12"/>
  <c r="BX91" i="12"/>
  <c r="BX87" i="12"/>
  <c r="BX117" i="12"/>
  <c r="BX112" i="12"/>
  <c r="BX108" i="12"/>
  <c r="BX104" i="12"/>
  <c r="BX100" i="12"/>
  <c r="BX96" i="12"/>
  <c r="BX92" i="12"/>
  <c r="BX88" i="12"/>
  <c r="BX89" i="12"/>
  <c r="BX84" i="12"/>
  <c r="BX80" i="12"/>
  <c r="BX76" i="12"/>
  <c r="BX72" i="12"/>
  <c r="BX68" i="12"/>
  <c r="BX64" i="12"/>
  <c r="BX85" i="12"/>
  <c r="BX81" i="12"/>
  <c r="BX77" i="12"/>
  <c r="BX73" i="12"/>
  <c r="BX69" i="12"/>
  <c r="BX65" i="12"/>
  <c r="BX61" i="12"/>
  <c r="BX90" i="12"/>
  <c r="BX86" i="12"/>
  <c r="BX82" i="12"/>
  <c r="BX78" i="12"/>
  <c r="BX74" i="12"/>
  <c r="BX70" i="12"/>
  <c r="BX66" i="12"/>
  <c r="BX83" i="12"/>
  <c r="BX79" i="12"/>
  <c r="BX75" i="12"/>
  <c r="BX71" i="12"/>
  <c r="BX67" i="12"/>
  <c r="BX63" i="12"/>
  <c r="BX57" i="12"/>
  <c r="BX53" i="12"/>
  <c r="BX49" i="12"/>
  <c r="BX45" i="12"/>
  <c r="BX41" i="12"/>
  <c r="BX37" i="12"/>
  <c r="BX33" i="12"/>
  <c r="BX29" i="12"/>
  <c r="BX25" i="12"/>
  <c r="BX21" i="12"/>
  <c r="BX17" i="12"/>
  <c r="BX62" i="12"/>
  <c r="BX58" i="12"/>
  <c r="BX54" i="12"/>
  <c r="BX50" i="12"/>
  <c r="BX46" i="12"/>
  <c r="BX42" i="12"/>
  <c r="BX38" i="12"/>
  <c r="BX34" i="12"/>
  <c r="BX30" i="12"/>
  <c r="BX26" i="12"/>
  <c r="BX22" i="12"/>
  <c r="BX18" i="12"/>
  <c r="BX59" i="12"/>
  <c r="BX55" i="12"/>
  <c r="BX51" i="12"/>
  <c r="BX47" i="12"/>
  <c r="BX43" i="12"/>
  <c r="BX39" i="12"/>
  <c r="BX35" i="12"/>
  <c r="BX31" i="12"/>
  <c r="BX27" i="12"/>
  <c r="BX23" i="12"/>
  <c r="BX19" i="12"/>
  <c r="BX15" i="12"/>
  <c r="BX11" i="12"/>
  <c r="BX60" i="12"/>
  <c r="BX56" i="12"/>
  <c r="BX52" i="12"/>
  <c r="BX48" i="12"/>
  <c r="BX44" i="12"/>
  <c r="BX40" i="12"/>
  <c r="BX36" i="12"/>
  <c r="BX32" i="12"/>
  <c r="BX28" i="12"/>
  <c r="BX24" i="12"/>
  <c r="BX20" i="12"/>
  <c r="BX16" i="12"/>
  <c r="BX12" i="12"/>
  <c r="CN250" i="12"/>
  <c r="CN251" i="12"/>
  <c r="CN249" i="12"/>
  <c r="CN247" i="12"/>
  <c r="CN245" i="12"/>
  <c r="CN246" i="12"/>
  <c r="CN244" i="12"/>
  <c r="CN241" i="12"/>
  <c r="CN242" i="12"/>
  <c r="CN248" i="12"/>
  <c r="CN243" i="12"/>
  <c r="CN239" i="12"/>
  <c r="CN237" i="12"/>
  <c r="CN238" i="12"/>
  <c r="CN240" i="12"/>
  <c r="CN232" i="12"/>
  <c r="CN236" i="12"/>
  <c r="CN233" i="12"/>
  <c r="CN234" i="12"/>
  <c r="CN235" i="12"/>
  <c r="CN231" i="12"/>
  <c r="CN229" i="12"/>
  <c r="CN225" i="12"/>
  <c r="CN230" i="12"/>
  <c r="CN226" i="12"/>
  <c r="CN227" i="12"/>
  <c r="CN228" i="12"/>
  <c r="CN224" i="12"/>
  <c r="CN223" i="12"/>
  <c r="CN219" i="12"/>
  <c r="CN220" i="12"/>
  <c r="CN221" i="12"/>
  <c r="CN222" i="12"/>
  <c r="CN218" i="12"/>
  <c r="CN216" i="12"/>
  <c r="CN212" i="12"/>
  <c r="CN208" i="12"/>
  <c r="CN217" i="12"/>
  <c r="CN213" i="12"/>
  <c r="CN209" i="12"/>
  <c r="CN214" i="12"/>
  <c r="CN210" i="12"/>
  <c r="CN206" i="12"/>
  <c r="CN215" i="12"/>
  <c r="CN211" i="12"/>
  <c r="CN207" i="12"/>
  <c r="CN201" i="12"/>
  <c r="CN197" i="12"/>
  <c r="CN193" i="12"/>
  <c r="CN202" i="12"/>
  <c r="CN198" i="12"/>
  <c r="CN194" i="12"/>
  <c r="CN205" i="12"/>
  <c r="CN203" i="12"/>
  <c r="CN199" i="12"/>
  <c r="CN195" i="12"/>
  <c r="CN204" i="12"/>
  <c r="CN200" i="12"/>
  <c r="CN196" i="12"/>
  <c r="CN190" i="12"/>
  <c r="CN186" i="12"/>
  <c r="CN182" i="12"/>
  <c r="CN191" i="12"/>
  <c r="CN187" i="12"/>
  <c r="CN183" i="12"/>
  <c r="CN188" i="12"/>
  <c r="CN184" i="12"/>
  <c r="CN180" i="12"/>
  <c r="CN192" i="12"/>
  <c r="CN189" i="12"/>
  <c r="CN185" i="12"/>
  <c r="CN181" i="12"/>
  <c r="CN179" i="12"/>
  <c r="CN175" i="12"/>
  <c r="CN171" i="12"/>
  <c r="CN167" i="12"/>
  <c r="CN176" i="12"/>
  <c r="CN172" i="12"/>
  <c r="CN168" i="12"/>
  <c r="CN177" i="12"/>
  <c r="CN173" i="12"/>
  <c r="CN169" i="12"/>
  <c r="CN178" i="12"/>
  <c r="CN174" i="12"/>
  <c r="CN170" i="12"/>
  <c r="CN165" i="12"/>
  <c r="CN161" i="12"/>
  <c r="CN157" i="12"/>
  <c r="CN153" i="12"/>
  <c r="CN149" i="12"/>
  <c r="CN145" i="12"/>
  <c r="CN141" i="12"/>
  <c r="CN166" i="12"/>
  <c r="CN162" i="12"/>
  <c r="CN158" i="12"/>
  <c r="CN154" i="12"/>
  <c r="CN150" i="12"/>
  <c r="CN146" i="12"/>
  <c r="CN142" i="12"/>
  <c r="CN163" i="12"/>
  <c r="CN159" i="12"/>
  <c r="CN155" i="12"/>
  <c r="CN151" i="12"/>
  <c r="CN147" i="12"/>
  <c r="CN143" i="12"/>
  <c r="CN164" i="12"/>
  <c r="CN160" i="12"/>
  <c r="CN156" i="12"/>
  <c r="CN152" i="12"/>
  <c r="CN148" i="12"/>
  <c r="CN144" i="12"/>
  <c r="CN140" i="12"/>
  <c r="CN136" i="12"/>
  <c r="CN132" i="12"/>
  <c r="CN128" i="12"/>
  <c r="CN124" i="12"/>
  <c r="CN120" i="12"/>
  <c r="CN137" i="12"/>
  <c r="CN133" i="12"/>
  <c r="CN129" i="12"/>
  <c r="CN125" i="12"/>
  <c r="CN121" i="12"/>
  <c r="CN138" i="12"/>
  <c r="CN134" i="12"/>
  <c r="CN130" i="12"/>
  <c r="CN126" i="12"/>
  <c r="CN122" i="12"/>
  <c r="CN118" i="12"/>
  <c r="CN139" i="12"/>
  <c r="CN135" i="12"/>
  <c r="CN131" i="12"/>
  <c r="CN127" i="12"/>
  <c r="CN123" i="12"/>
  <c r="CN119" i="12"/>
  <c r="CN113" i="12"/>
  <c r="CN109" i="12"/>
  <c r="CN105" i="12"/>
  <c r="CN101" i="12"/>
  <c r="CN97" i="12"/>
  <c r="CN93" i="12"/>
  <c r="CN116" i="12"/>
  <c r="CN114" i="12"/>
  <c r="CN110" i="12"/>
  <c r="CN106" i="12"/>
  <c r="CN102" i="12"/>
  <c r="CN98" i="12"/>
  <c r="CN94" i="12"/>
  <c r="CN115" i="12"/>
  <c r="CN111" i="12"/>
  <c r="CN107" i="12"/>
  <c r="CN103" i="12"/>
  <c r="CN99" i="12"/>
  <c r="CN95" i="12"/>
  <c r="CN91" i="12"/>
  <c r="CN87" i="12"/>
  <c r="CN117" i="12"/>
  <c r="CN112" i="12"/>
  <c r="CN108" i="12"/>
  <c r="CN104" i="12"/>
  <c r="CN100" i="12"/>
  <c r="CN96" i="12"/>
  <c r="CN92" i="12"/>
  <c r="CN88" i="12"/>
  <c r="CN89" i="12"/>
  <c r="CN84" i="12"/>
  <c r="CN80" i="12"/>
  <c r="CN76" i="12"/>
  <c r="CN72" i="12"/>
  <c r="CN68" i="12"/>
  <c r="CN64" i="12"/>
  <c r="CN85" i="12"/>
  <c r="CN81" i="12"/>
  <c r="CN77" i="12"/>
  <c r="CN73" i="12"/>
  <c r="CN69" i="12"/>
  <c r="CN65" i="12"/>
  <c r="CN61" i="12"/>
  <c r="CN90" i="12"/>
  <c r="CN86" i="12"/>
  <c r="CN82" i="12"/>
  <c r="CN78" i="12"/>
  <c r="CN74" i="12"/>
  <c r="CN70" i="12"/>
  <c r="CN66" i="12"/>
  <c r="CN83" i="12"/>
  <c r="CN79" i="12"/>
  <c r="CN75" i="12"/>
  <c r="CN71" i="12"/>
  <c r="CN67" i="12"/>
  <c r="CN63" i="12"/>
  <c r="CN57" i="12"/>
  <c r="CN53" i="12"/>
  <c r="CN49" i="12"/>
  <c r="CN45" i="12"/>
  <c r="CN41" i="12"/>
  <c r="CN37" i="12"/>
  <c r="CN33" i="12"/>
  <c r="CN29" i="12"/>
  <c r="CN25" i="12"/>
  <c r="CN21" i="12"/>
  <c r="CN17" i="12"/>
  <c r="CN62" i="12"/>
  <c r="CN58" i="12"/>
  <c r="CN54" i="12"/>
  <c r="CN50" i="12"/>
  <c r="CN46" i="12"/>
  <c r="CN42" i="12"/>
  <c r="CN38" i="12"/>
  <c r="CN34" i="12"/>
  <c r="CN30" i="12"/>
  <c r="CN26" i="12"/>
  <c r="CN22" i="12"/>
  <c r="CN18" i="12"/>
  <c r="CN59" i="12"/>
  <c r="CN55" i="12"/>
  <c r="CN51" i="12"/>
  <c r="CN47" i="12"/>
  <c r="CN43" i="12"/>
  <c r="CN39" i="12"/>
  <c r="CN35" i="12"/>
  <c r="CN31" i="12"/>
  <c r="CN27" i="12"/>
  <c r="CN23" i="12"/>
  <c r="CN19" i="12"/>
  <c r="CN15" i="12"/>
  <c r="CN11" i="12"/>
  <c r="CN60" i="12"/>
  <c r="CN56" i="12"/>
  <c r="CN52" i="12"/>
  <c r="CN48" i="12"/>
  <c r="CN44" i="12"/>
  <c r="CN40" i="12"/>
  <c r="CN36" i="12"/>
  <c r="CN32" i="12"/>
  <c r="CN28" i="12"/>
  <c r="CN24" i="12"/>
  <c r="CN20" i="12"/>
  <c r="CN16" i="12"/>
  <c r="CN12" i="12"/>
  <c r="CZ250" i="12"/>
  <c r="CZ251" i="12"/>
  <c r="CZ247" i="12"/>
  <c r="CZ248" i="12"/>
  <c r="CZ246" i="12"/>
  <c r="CZ245" i="12"/>
  <c r="CZ249" i="12"/>
  <c r="CZ241" i="12"/>
  <c r="CZ242" i="12"/>
  <c r="CZ244" i="12"/>
  <c r="CZ243" i="12"/>
  <c r="CZ239" i="12"/>
  <c r="CZ240" i="12"/>
  <c r="CZ237" i="12"/>
  <c r="CZ238" i="12"/>
  <c r="CZ236" i="12"/>
  <c r="CZ232" i="12"/>
  <c r="CZ233" i="12"/>
  <c r="CZ234" i="12"/>
  <c r="CZ235" i="12"/>
  <c r="CZ231" i="12"/>
  <c r="CZ229" i="12"/>
  <c r="CZ225" i="12"/>
  <c r="CZ230" i="12"/>
  <c r="CZ226" i="12"/>
  <c r="CZ227" i="12"/>
  <c r="CZ228" i="12"/>
  <c r="CZ224" i="12"/>
  <c r="CZ223" i="12"/>
  <c r="CZ219" i="12"/>
  <c r="CZ220" i="12"/>
  <c r="CZ221" i="12"/>
  <c r="CZ222" i="12"/>
  <c r="CZ218" i="12"/>
  <c r="CZ216" i="12"/>
  <c r="CZ212" i="12"/>
  <c r="CZ208" i="12"/>
  <c r="CZ217" i="12"/>
  <c r="CZ213" i="12"/>
  <c r="CZ209" i="12"/>
  <c r="CZ205" i="12"/>
  <c r="CZ214" i="12"/>
  <c r="CZ210" i="12"/>
  <c r="CZ206" i="12"/>
  <c r="CZ215" i="12"/>
  <c r="CZ211" i="12"/>
  <c r="CZ207" i="12"/>
  <c r="CZ201" i="12"/>
  <c r="CZ197" i="12"/>
  <c r="CZ193" i="12"/>
  <c r="CZ202" i="12"/>
  <c r="CZ198" i="12"/>
  <c r="CZ194" i="12"/>
  <c r="CZ203" i="12"/>
  <c r="CZ199" i="12"/>
  <c r="CZ195" i="12"/>
  <c r="CZ204" i="12"/>
  <c r="CZ200" i="12"/>
  <c r="CZ196" i="12"/>
  <c r="CZ190" i="12"/>
  <c r="CZ186" i="12"/>
  <c r="CZ182" i="12"/>
  <c r="CZ191" i="12"/>
  <c r="CZ187" i="12"/>
  <c r="CZ183" i="12"/>
  <c r="CZ188" i="12"/>
  <c r="CZ184" i="12"/>
  <c r="CZ180" i="12"/>
  <c r="CZ192" i="12"/>
  <c r="CZ189" i="12"/>
  <c r="CZ185" i="12"/>
  <c r="CZ181" i="12"/>
  <c r="CZ175" i="12"/>
  <c r="CZ171" i="12"/>
  <c r="CZ167" i="12"/>
  <c r="CZ176" i="12"/>
  <c r="CZ172" i="12"/>
  <c r="CZ168" i="12"/>
  <c r="CZ177" i="12"/>
  <c r="CZ173" i="12"/>
  <c r="CZ169" i="12"/>
  <c r="CZ179" i="12"/>
  <c r="CZ178" i="12"/>
  <c r="CZ174" i="12"/>
  <c r="CZ170" i="12"/>
  <c r="CZ165" i="12"/>
  <c r="CZ161" i="12"/>
  <c r="CZ157" i="12"/>
  <c r="CZ153" i="12"/>
  <c r="CZ149" i="12"/>
  <c r="CZ145" i="12"/>
  <c r="CZ141" i="12"/>
  <c r="CZ166" i="12"/>
  <c r="CZ162" i="12"/>
  <c r="CZ158" i="12"/>
  <c r="CZ154" i="12"/>
  <c r="CZ150" i="12"/>
  <c r="CZ146" i="12"/>
  <c r="CZ142" i="12"/>
  <c r="CZ163" i="12"/>
  <c r="CZ159" i="12"/>
  <c r="CZ155" i="12"/>
  <c r="CZ151" i="12"/>
  <c r="CZ147" i="12"/>
  <c r="CZ143" i="12"/>
  <c r="CZ164" i="12"/>
  <c r="CZ160" i="12"/>
  <c r="CZ156" i="12"/>
  <c r="CZ152" i="12"/>
  <c r="CZ148" i="12"/>
  <c r="CZ144" i="12"/>
  <c r="CZ140" i="12"/>
  <c r="CZ136" i="12"/>
  <c r="CZ132" i="12"/>
  <c r="CZ128" i="12"/>
  <c r="CZ124" i="12"/>
  <c r="CZ120" i="12"/>
  <c r="CZ137" i="12"/>
  <c r="CZ133" i="12"/>
  <c r="CZ129" i="12"/>
  <c r="CZ125" i="12"/>
  <c r="CZ121" i="12"/>
  <c r="CZ138" i="12"/>
  <c r="CZ134" i="12"/>
  <c r="CZ130" i="12"/>
  <c r="CZ126" i="12"/>
  <c r="CZ122" i="12"/>
  <c r="CZ118" i="12"/>
  <c r="CZ139" i="12"/>
  <c r="CZ135" i="12"/>
  <c r="CZ131" i="12"/>
  <c r="CZ127" i="12"/>
  <c r="CZ123" i="12"/>
  <c r="CZ119" i="12"/>
  <c r="CZ113" i="12"/>
  <c r="CZ109" i="12"/>
  <c r="CZ105" i="12"/>
  <c r="CZ101" i="12"/>
  <c r="CZ97" i="12"/>
  <c r="CZ93" i="12"/>
  <c r="CZ117" i="12"/>
  <c r="CZ114" i="12"/>
  <c r="CZ110" i="12"/>
  <c r="CZ106" i="12"/>
  <c r="CZ102" i="12"/>
  <c r="CZ98" i="12"/>
  <c r="CZ94" i="12"/>
  <c r="CZ111" i="12"/>
  <c r="CZ107" i="12"/>
  <c r="CZ103" i="12"/>
  <c r="CZ99" i="12"/>
  <c r="CZ95" i="12"/>
  <c r="CZ91" i="12"/>
  <c r="CZ87" i="12"/>
  <c r="CZ116" i="12"/>
  <c r="CZ115" i="12"/>
  <c r="CZ112" i="12"/>
  <c r="CZ108" i="12"/>
  <c r="CZ104" i="12"/>
  <c r="CZ100" i="12"/>
  <c r="CZ96" i="12"/>
  <c r="CZ92" i="12"/>
  <c r="CZ88" i="12"/>
  <c r="CZ90" i="12"/>
  <c r="CZ84" i="12"/>
  <c r="CZ80" i="12"/>
  <c r="CZ76" i="12"/>
  <c r="CZ72" i="12"/>
  <c r="CZ68" i="12"/>
  <c r="CZ64" i="12"/>
  <c r="CZ85" i="12"/>
  <c r="CZ81" i="12"/>
  <c r="CZ77" i="12"/>
  <c r="CZ73" i="12"/>
  <c r="CZ69" i="12"/>
  <c r="CZ65" i="12"/>
  <c r="CZ61" i="12"/>
  <c r="CZ89" i="12"/>
  <c r="CZ86" i="12"/>
  <c r="CZ82" i="12"/>
  <c r="CZ78" i="12"/>
  <c r="CZ74" i="12"/>
  <c r="CZ70" i="12"/>
  <c r="CZ66" i="12"/>
  <c r="CZ83" i="12"/>
  <c r="CZ79" i="12"/>
  <c r="CZ75" i="12"/>
  <c r="CZ71" i="12"/>
  <c r="CZ67" i="12"/>
  <c r="CZ63" i="12"/>
  <c r="CZ57" i="12"/>
  <c r="CZ53" i="12"/>
  <c r="CZ49" i="12"/>
  <c r="CZ45" i="12"/>
  <c r="CZ41" i="12"/>
  <c r="CZ37" i="12"/>
  <c r="CZ33" i="12"/>
  <c r="CZ29" i="12"/>
  <c r="CZ25" i="12"/>
  <c r="CZ21" i="12"/>
  <c r="CZ17" i="12"/>
  <c r="CZ58" i="12"/>
  <c r="CZ54" i="12"/>
  <c r="CZ50" i="12"/>
  <c r="CZ46" i="12"/>
  <c r="CZ42" i="12"/>
  <c r="CZ38" i="12"/>
  <c r="CZ34" i="12"/>
  <c r="CZ30" i="12"/>
  <c r="CZ26" i="12"/>
  <c r="CZ22" i="12"/>
  <c r="CZ18" i="12"/>
  <c r="CZ59" i="12"/>
  <c r="CZ55" i="12"/>
  <c r="CZ51" i="12"/>
  <c r="CZ47" i="12"/>
  <c r="CZ43" i="12"/>
  <c r="CZ39" i="12"/>
  <c r="CZ35" i="12"/>
  <c r="CZ31" i="12"/>
  <c r="CZ27" i="12"/>
  <c r="CZ23" i="12"/>
  <c r="CZ19" i="12"/>
  <c r="CZ15" i="12"/>
  <c r="CZ11" i="12"/>
  <c r="CZ62" i="12"/>
  <c r="CZ60" i="12"/>
  <c r="CZ56" i="12"/>
  <c r="CZ52" i="12"/>
  <c r="CZ48" i="12"/>
  <c r="CZ44" i="12"/>
  <c r="CZ40" i="12"/>
  <c r="CZ36" i="12"/>
  <c r="CZ32" i="12"/>
  <c r="CZ28" i="12"/>
  <c r="CZ24" i="12"/>
  <c r="CZ20" i="12"/>
  <c r="CZ16" i="12"/>
  <c r="CZ12" i="12"/>
  <c r="J3" i="12"/>
  <c r="Z3" i="12"/>
  <c r="AL3" i="12"/>
  <c r="BB3" i="12"/>
  <c r="BR3" i="12"/>
  <c r="CD3" i="12"/>
  <c r="CT3" i="12"/>
  <c r="H5" i="12"/>
  <c r="AF5" i="12"/>
  <c r="F251" i="12"/>
  <c r="F249" i="12"/>
  <c r="F248" i="12"/>
  <c r="F250" i="12"/>
  <c r="F245" i="12"/>
  <c r="F247" i="12"/>
  <c r="F246" i="12"/>
  <c r="F243" i="12"/>
  <c r="F244" i="12"/>
  <c r="F241" i="12"/>
  <c r="F239" i="12"/>
  <c r="F240" i="12"/>
  <c r="F242" i="12"/>
  <c r="F238" i="12"/>
  <c r="F234" i="12"/>
  <c r="F237" i="12"/>
  <c r="F235" i="12"/>
  <c r="F236" i="12"/>
  <c r="F232" i="12"/>
  <c r="F233" i="12"/>
  <c r="F231" i="12"/>
  <c r="F227" i="12"/>
  <c r="F228" i="12"/>
  <c r="F229" i="12"/>
  <c r="F225" i="12"/>
  <c r="F230" i="12"/>
  <c r="F226" i="12"/>
  <c r="F221" i="12"/>
  <c r="F222" i="12"/>
  <c r="F223" i="12"/>
  <c r="F219" i="12"/>
  <c r="F224" i="12"/>
  <c r="F220" i="12"/>
  <c r="F218" i="12"/>
  <c r="F214" i="12"/>
  <c r="F210" i="12"/>
  <c r="F206" i="12"/>
  <c r="F215" i="12"/>
  <c r="F211" i="12"/>
  <c r="F207" i="12"/>
  <c r="F216" i="12"/>
  <c r="F212" i="12"/>
  <c r="F208" i="12"/>
  <c r="F217" i="12"/>
  <c r="F213" i="12"/>
  <c r="F209" i="12"/>
  <c r="F203" i="12"/>
  <c r="F199" i="12"/>
  <c r="F195" i="12"/>
  <c r="F204" i="12"/>
  <c r="F200" i="12"/>
  <c r="F196" i="12"/>
  <c r="F205" i="12"/>
  <c r="F201" i="12"/>
  <c r="F197" i="12"/>
  <c r="F193" i="12"/>
  <c r="F202" i="12"/>
  <c r="F198" i="12"/>
  <c r="F194" i="12"/>
  <c r="F192" i="12"/>
  <c r="F188" i="12"/>
  <c r="F184" i="12"/>
  <c r="F180" i="12"/>
  <c r="F189" i="12"/>
  <c r="F185" i="12"/>
  <c r="F181" i="12"/>
  <c r="F190" i="12"/>
  <c r="F186" i="12"/>
  <c r="F182" i="12"/>
  <c r="F191" i="12"/>
  <c r="F187" i="12"/>
  <c r="F183" i="12"/>
  <c r="F177" i="12"/>
  <c r="F173" i="12"/>
  <c r="F169" i="12"/>
  <c r="F178" i="12"/>
  <c r="F174" i="12"/>
  <c r="F170" i="12"/>
  <c r="F179" i="12"/>
  <c r="F175" i="12"/>
  <c r="F171" i="12"/>
  <c r="F176" i="12"/>
  <c r="F172" i="12"/>
  <c r="F168" i="12"/>
  <c r="F167" i="12"/>
  <c r="F163" i="12"/>
  <c r="F159" i="12"/>
  <c r="F155" i="12"/>
  <c r="F151" i="12"/>
  <c r="F147" i="12"/>
  <c r="F143" i="12"/>
  <c r="F164" i="12"/>
  <c r="F160" i="12"/>
  <c r="F156" i="12"/>
  <c r="F152" i="12"/>
  <c r="F148" i="12"/>
  <c r="F144" i="12"/>
  <c r="F165" i="12"/>
  <c r="F161" i="12"/>
  <c r="F157" i="12"/>
  <c r="F153" i="12"/>
  <c r="F149" i="12"/>
  <c r="F145" i="12"/>
  <c r="F166" i="12"/>
  <c r="F162" i="12"/>
  <c r="F158" i="12"/>
  <c r="F154" i="12"/>
  <c r="F150" i="12"/>
  <c r="F146" i="12"/>
  <c r="F142" i="12"/>
  <c r="F138" i="12"/>
  <c r="F134" i="12"/>
  <c r="F130" i="12"/>
  <c r="F126" i="12"/>
  <c r="F122" i="12"/>
  <c r="F139" i="12"/>
  <c r="F135" i="12"/>
  <c r="F131" i="12"/>
  <c r="F127" i="12"/>
  <c r="F123" i="12"/>
  <c r="F119" i="12"/>
  <c r="F140" i="12"/>
  <c r="F136" i="12"/>
  <c r="F132" i="12"/>
  <c r="F128" i="12"/>
  <c r="F124" i="12"/>
  <c r="F120" i="12"/>
  <c r="F116" i="12"/>
  <c r="F141" i="12"/>
  <c r="F137" i="12"/>
  <c r="F133" i="12"/>
  <c r="F129" i="12"/>
  <c r="F125" i="12"/>
  <c r="F121" i="12"/>
  <c r="F117" i="12"/>
  <c r="F118" i="12"/>
  <c r="F115" i="12"/>
  <c r="F111" i="12"/>
  <c r="F107" i="12"/>
  <c r="F103" i="12"/>
  <c r="F99" i="12"/>
  <c r="F95" i="12"/>
  <c r="F112" i="12"/>
  <c r="F108" i="12"/>
  <c r="F104" i="12"/>
  <c r="F100" i="12"/>
  <c r="F96" i="12"/>
  <c r="F92" i="12"/>
  <c r="F113" i="12"/>
  <c r="F109" i="12"/>
  <c r="F105" i="12"/>
  <c r="F101" i="12"/>
  <c r="F97" i="12"/>
  <c r="F93" i="12"/>
  <c r="F89" i="12"/>
  <c r="F114" i="12"/>
  <c r="F110" i="12"/>
  <c r="F106" i="12"/>
  <c r="F102" i="12"/>
  <c r="F98" i="12"/>
  <c r="F94" i="12"/>
  <c r="F90" i="12"/>
  <c r="F86" i="12"/>
  <c r="F82" i="12"/>
  <c r="F78" i="12"/>
  <c r="F74" i="12"/>
  <c r="F70" i="12"/>
  <c r="F66" i="12"/>
  <c r="F87" i="12"/>
  <c r="F83" i="12"/>
  <c r="F79" i="12"/>
  <c r="F75" i="12"/>
  <c r="F71" i="12"/>
  <c r="F67" i="12"/>
  <c r="F63" i="12"/>
  <c r="F84" i="12"/>
  <c r="F80" i="12"/>
  <c r="F76" i="12"/>
  <c r="F72" i="12"/>
  <c r="F68" i="12"/>
  <c r="F64" i="12"/>
  <c r="F91" i="12"/>
  <c r="F88" i="12"/>
  <c r="F85" i="12"/>
  <c r="F81" i="12"/>
  <c r="F77" i="12"/>
  <c r="F73" i="12"/>
  <c r="F69" i="12"/>
  <c r="F65" i="12"/>
  <c r="F61" i="12"/>
  <c r="F62" i="12"/>
  <c r="F59" i="12"/>
  <c r="F55" i="12"/>
  <c r="F51" i="12"/>
  <c r="F47" i="12"/>
  <c r="F43" i="12"/>
  <c r="F39" i="12"/>
  <c r="F35" i="12"/>
  <c r="F31" i="12"/>
  <c r="F27" i="12"/>
  <c r="F23" i="12"/>
  <c r="F19" i="12"/>
  <c r="F15" i="12"/>
  <c r="F60" i="12"/>
  <c r="F56" i="12"/>
  <c r="F52" i="12"/>
  <c r="F48" i="12"/>
  <c r="F44" i="12"/>
  <c r="F40" i="12"/>
  <c r="F36" i="12"/>
  <c r="F32" i="12"/>
  <c r="F28" i="12"/>
  <c r="F24" i="12"/>
  <c r="F20" i="12"/>
  <c r="F16" i="12"/>
  <c r="F57" i="12"/>
  <c r="F53" i="12"/>
  <c r="F49" i="12"/>
  <c r="F45" i="12"/>
  <c r="F41" i="12"/>
  <c r="F37" i="12"/>
  <c r="F33" i="12"/>
  <c r="F29" i="12"/>
  <c r="F25" i="12"/>
  <c r="F21" i="12"/>
  <c r="F17" i="12"/>
  <c r="F13" i="12"/>
  <c r="F58" i="12"/>
  <c r="F54" i="12"/>
  <c r="F50" i="12"/>
  <c r="F46" i="12"/>
  <c r="F42" i="12"/>
  <c r="F38" i="12"/>
  <c r="F34" i="12"/>
  <c r="F30" i="12"/>
  <c r="F26" i="12"/>
  <c r="F22" i="12"/>
  <c r="F18" i="12"/>
  <c r="F14" i="12"/>
  <c r="J251" i="12"/>
  <c r="J249" i="12"/>
  <c r="J250" i="12"/>
  <c r="J248" i="12"/>
  <c r="J247" i="12"/>
  <c r="J245" i="12"/>
  <c r="J243" i="12"/>
  <c r="J239" i="12"/>
  <c r="J244" i="12"/>
  <c r="J240" i="12"/>
  <c r="J241" i="12"/>
  <c r="J246" i="12"/>
  <c r="J242" i="12"/>
  <c r="J238" i="12"/>
  <c r="J234" i="12"/>
  <c r="J235" i="12"/>
  <c r="J237" i="12"/>
  <c r="J236" i="12"/>
  <c r="J232" i="12"/>
  <c r="J233" i="12"/>
  <c r="J231" i="12"/>
  <c r="J227" i="12"/>
  <c r="J228" i="12"/>
  <c r="J229" i="12"/>
  <c r="J225" i="12"/>
  <c r="J230" i="12"/>
  <c r="J226" i="12"/>
  <c r="J221" i="12"/>
  <c r="J222" i="12"/>
  <c r="J223" i="12"/>
  <c r="J219" i="12"/>
  <c r="J224" i="12"/>
  <c r="J220" i="12"/>
  <c r="J218" i="12"/>
  <c r="J214" i="12"/>
  <c r="J210" i="12"/>
  <c r="J206" i="12"/>
  <c r="J215" i="12"/>
  <c r="J211" i="12"/>
  <c r="J207" i="12"/>
  <c r="J216" i="12"/>
  <c r="J212" i="12"/>
  <c r="J208" i="12"/>
  <c r="J217" i="12"/>
  <c r="J213" i="12"/>
  <c r="J209" i="12"/>
  <c r="J203" i="12"/>
  <c r="J199" i="12"/>
  <c r="J195" i="12"/>
  <c r="J204" i="12"/>
  <c r="J200" i="12"/>
  <c r="J196" i="12"/>
  <c r="J205" i="12"/>
  <c r="J201" i="12"/>
  <c r="J197" i="12"/>
  <c r="J193" i="12"/>
  <c r="J202" i="12"/>
  <c r="J198" i="12"/>
  <c r="J194" i="12"/>
  <c r="J192" i="12"/>
  <c r="J188" i="12"/>
  <c r="J184" i="12"/>
  <c r="J180" i="12"/>
  <c r="J189" i="12"/>
  <c r="J185" i="12"/>
  <c r="J181" i="12"/>
  <c r="J190" i="12"/>
  <c r="J186" i="12"/>
  <c r="J182" i="12"/>
  <c r="J191" i="12"/>
  <c r="J187" i="12"/>
  <c r="J183" i="12"/>
  <c r="J177" i="12"/>
  <c r="J173" i="12"/>
  <c r="J169" i="12"/>
  <c r="J178" i="12"/>
  <c r="J174" i="12"/>
  <c r="J170" i="12"/>
  <c r="J179" i="12"/>
  <c r="J175" i="12"/>
  <c r="J171" i="12"/>
  <c r="J176" i="12"/>
  <c r="J172" i="12"/>
  <c r="J168" i="12"/>
  <c r="J167" i="12"/>
  <c r="J163" i="12"/>
  <c r="J159" i="12"/>
  <c r="J155" i="12"/>
  <c r="J151" i="12"/>
  <c r="J147" i="12"/>
  <c r="J143" i="12"/>
  <c r="J164" i="12"/>
  <c r="J160" i="12"/>
  <c r="J156" i="12"/>
  <c r="J152" i="12"/>
  <c r="J148" i="12"/>
  <c r="J144" i="12"/>
  <c r="J165" i="12"/>
  <c r="J161" i="12"/>
  <c r="J157" i="12"/>
  <c r="J153" i="12"/>
  <c r="J149" i="12"/>
  <c r="J145" i="12"/>
  <c r="J166" i="12"/>
  <c r="J162" i="12"/>
  <c r="J158" i="12"/>
  <c r="J154" i="12"/>
  <c r="J150" i="12"/>
  <c r="J146" i="12"/>
  <c r="J142" i="12"/>
  <c r="J138" i="12"/>
  <c r="J134" i="12"/>
  <c r="J130" i="12"/>
  <c r="J126" i="12"/>
  <c r="J122" i="12"/>
  <c r="J139" i="12"/>
  <c r="J135" i="12"/>
  <c r="J131" i="12"/>
  <c r="J127" i="12"/>
  <c r="J123" i="12"/>
  <c r="J119" i="12"/>
  <c r="J140" i="12"/>
  <c r="J136" i="12"/>
  <c r="J132" i="12"/>
  <c r="J128" i="12"/>
  <c r="J124" i="12"/>
  <c r="J120" i="12"/>
  <c r="J116" i="12"/>
  <c r="J141" i="12"/>
  <c r="J137" i="12"/>
  <c r="J133" i="12"/>
  <c r="J129" i="12"/>
  <c r="J125" i="12"/>
  <c r="J121" i="12"/>
  <c r="J117" i="12"/>
  <c r="J115" i="12"/>
  <c r="J111" i="12"/>
  <c r="J107" i="12"/>
  <c r="J103" i="12"/>
  <c r="J99" i="12"/>
  <c r="J95" i="12"/>
  <c r="J112" i="12"/>
  <c r="J108" i="12"/>
  <c r="J104" i="12"/>
  <c r="J100" i="12"/>
  <c r="J96" i="12"/>
  <c r="J92" i="12"/>
  <c r="J118" i="12"/>
  <c r="J113" i="12"/>
  <c r="J109" i="12"/>
  <c r="J105" i="12"/>
  <c r="J101" i="12"/>
  <c r="J97" i="12"/>
  <c r="J93" i="12"/>
  <c r="J89" i="12"/>
  <c r="J114" i="12"/>
  <c r="J110" i="12"/>
  <c r="J106" i="12"/>
  <c r="J102" i="12"/>
  <c r="J98" i="12"/>
  <c r="J94" i="12"/>
  <c r="J90" i="12"/>
  <c r="J86" i="12"/>
  <c r="J82" i="12"/>
  <c r="J78" i="12"/>
  <c r="J74" i="12"/>
  <c r="J70" i="12"/>
  <c r="J66" i="12"/>
  <c r="J91" i="12"/>
  <c r="J88" i="12"/>
  <c r="J87" i="12"/>
  <c r="J83" i="12"/>
  <c r="J79" i="12"/>
  <c r="J75" i="12"/>
  <c r="J71" i="12"/>
  <c r="J67" i="12"/>
  <c r="J63" i="12"/>
  <c r="J84" i="12"/>
  <c r="J80" i="12"/>
  <c r="J76" i="12"/>
  <c r="J72" i="12"/>
  <c r="J68" i="12"/>
  <c r="J64" i="12"/>
  <c r="J85" i="12"/>
  <c r="J81" i="12"/>
  <c r="J77" i="12"/>
  <c r="J73" i="12"/>
  <c r="J69" i="12"/>
  <c r="J65" i="12"/>
  <c r="J61" i="12"/>
  <c r="J59" i="12"/>
  <c r="J55" i="12"/>
  <c r="J51" i="12"/>
  <c r="J47" i="12"/>
  <c r="J43" i="12"/>
  <c r="J39" i="12"/>
  <c r="J35" i="12"/>
  <c r="J31" i="12"/>
  <c r="J27" i="12"/>
  <c r="J23" i="12"/>
  <c r="J19" i="12"/>
  <c r="J15" i="12"/>
  <c r="J60" i="12"/>
  <c r="J56" i="12"/>
  <c r="J52" i="12"/>
  <c r="J48" i="12"/>
  <c r="J44" i="12"/>
  <c r="J40" i="12"/>
  <c r="J36" i="12"/>
  <c r="J32" i="12"/>
  <c r="J28" i="12"/>
  <c r="J24" i="12"/>
  <c r="J20" i="12"/>
  <c r="J16" i="12"/>
  <c r="J62" i="12"/>
  <c r="J57" i="12"/>
  <c r="J53" i="12"/>
  <c r="J49" i="12"/>
  <c r="J45" i="12"/>
  <c r="J41" i="12"/>
  <c r="J37" i="12"/>
  <c r="J33" i="12"/>
  <c r="J29" i="12"/>
  <c r="J25" i="12"/>
  <c r="J21" i="12"/>
  <c r="J17" i="12"/>
  <c r="J13" i="12"/>
  <c r="J58" i="12"/>
  <c r="J54" i="12"/>
  <c r="J50" i="12"/>
  <c r="J46" i="12"/>
  <c r="J42" i="12"/>
  <c r="J38" i="12"/>
  <c r="J34" i="12"/>
  <c r="J30" i="12"/>
  <c r="J26" i="12"/>
  <c r="J22" i="12"/>
  <c r="J18" i="12"/>
  <c r="J14" i="12"/>
  <c r="N251" i="12"/>
  <c r="N249" i="12"/>
  <c r="N248" i="12"/>
  <c r="N250" i="12"/>
  <c r="N245" i="12"/>
  <c r="N243" i="12"/>
  <c r="N239" i="12"/>
  <c r="N244" i="12"/>
  <c r="N240" i="12"/>
  <c r="N246" i="12"/>
  <c r="N241" i="12"/>
  <c r="N242" i="12"/>
  <c r="N247" i="12"/>
  <c r="N238" i="12"/>
  <c r="N234" i="12"/>
  <c r="N235" i="12"/>
  <c r="N236" i="12"/>
  <c r="N232" i="12"/>
  <c r="N237" i="12"/>
  <c r="N233" i="12"/>
  <c r="N227" i="12"/>
  <c r="N228" i="12"/>
  <c r="N231" i="12"/>
  <c r="N229" i="12"/>
  <c r="N225" i="12"/>
  <c r="N230" i="12"/>
  <c r="N226" i="12"/>
  <c r="N221" i="12"/>
  <c r="N222" i="12"/>
  <c r="N223" i="12"/>
  <c r="N219" i="12"/>
  <c r="N224" i="12"/>
  <c r="N220" i="12"/>
  <c r="N218" i="12"/>
  <c r="N214" i="12"/>
  <c r="N210" i="12"/>
  <c r="N206" i="12"/>
  <c r="N215" i="12"/>
  <c r="N211" i="12"/>
  <c r="N207" i="12"/>
  <c r="N216" i="12"/>
  <c r="N212" i="12"/>
  <c r="N208" i="12"/>
  <c r="N217" i="12"/>
  <c r="N213" i="12"/>
  <c r="N209" i="12"/>
  <c r="N203" i="12"/>
  <c r="N199" i="12"/>
  <c r="N195" i="12"/>
  <c r="N204" i="12"/>
  <c r="N200" i="12"/>
  <c r="N196" i="12"/>
  <c r="N205" i="12"/>
  <c r="N201" i="12"/>
  <c r="N197" i="12"/>
  <c r="N193" i="12"/>
  <c r="N202" i="12"/>
  <c r="N198" i="12"/>
  <c r="N194" i="12"/>
  <c r="N192" i="12"/>
  <c r="N188" i="12"/>
  <c r="N184" i="12"/>
  <c r="N180" i="12"/>
  <c r="N189" i="12"/>
  <c r="N185" i="12"/>
  <c r="N181" i="12"/>
  <c r="N190" i="12"/>
  <c r="N186" i="12"/>
  <c r="N182" i="12"/>
  <c r="N191" i="12"/>
  <c r="N187" i="12"/>
  <c r="N183" i="12"/>
  <c r="N177" i="12"/>
  <c r="N173" i="12"/>
  <c r="N169" i="12"/>
  <c r="N178" i="12"/>
  <c r="N174" i="12"/>
  <c r="N170" i="12"/>
  <c r="N179" i="12"/>
  <c r="N175" i="12"/>
  <c r="N171" i="12"/>
  <c r="N167" i="12"/>
  <c r="N176" i="12"/>
  <c r="N172" i="12"/>
  <c r="N168" i="12"/>
  <c r="N163" i="12"/>
  <c r="N159" i="12"/>
  <c r="N155" i="12"/>
  <c r="N151" i="12"/>
  <c r="N147" i="12"/>
  <c r="N143" i="12"/>
  <c r="N164" i="12"/>
  <c r="N160" i="12"/>
  <c r="N156" i="12"/>
  <c r="N152" i="12"/>
  <c r="N148" i="12"/>
  <c r="N144" i="12"/>
  <c r="N165" i="12"/>
  <c r="N161" i="12"/>
  <c r="N157" i="12"/>
  <c r="N153" i="12"/>
  <c r="N149" i="12"/>
  <c r="N145" i="12"/>
  <c r="N166" i="12"/>
  <c r="N162" i="12"/>
  <c r="N158" i="12"/>
  <c r="N154" i="12"/>
  <c r="N150" i="12"/>
  <c r="N146" i="12"/>
  <c r="N142" i="12"/>
  <c r="N138" i="12"/>
  <c r="N134" i="12"/>
  <c r="N130" i="12"/>
  <c r="N126" i="12"/>
  <c r="N122" i="12"/>
  <c r="N139" i="12"/>
  <c r="N135" i="12"/>
  <c r="N131" i="12"/>
  <c r="N127" i="12"/>
  <c r="N123" i="12"/>
  <c r="N119" i="12"/>
  <c r="N140" i="12"/>
  <c r="N136" i="12"/>
  <c r="N132" i="12"/>
  <c r="N128" i="12"/>
  <c r="N124" i="12"/>
  <c r="N120" i="12"/>
  <c r="N116" i="12"/>
  <c r="N141" i="12"/>
  <c r="N137" i="12"/>
  <c r="N133" i="12"/>
  <c r="N129" i="12"/>
  <c r="N125" i="12"/>
  <c r="N121" i="12"/>
  <c r="N117" i="12"/>
  <c r="N118" i="12"/>
  <c r="N115" i="12"/>
  <c r="N111" i="12"/>
  <c r="N107" i="12"/>
  <c r="N103" i="12"/>
  <c r="N99" i="12"/>
  <c r="N95" i="12"/>
  <c r="N112" i="12"/>
  <c r="N108" i="12"/>
  <c r="N104" i="12"/>
  <c r="N100" i="12"/>
  <c r="N96" i="12"/>
  <c r="N92" i="12"/>
  <c r="N113" i="12"/>
  <c r="N109" i="12"/>
  <c r="N105" i="12"/>
  <c r="N101" i="12"/>
  <c r="N97" i="12"/>
  <c r="N93" i="12"/>
  <c r="N89" i="12"/>
  <c r="N114" i="12"/>
  <c r="N110" i="12"/>
  <c r="N106" i="12"/>
  <c r="N102" i="12"/>
  <c r="N98" i="12"/>
  <c r="N94" i="12"/>
  <c r="N90" i="12"/>
  <c r="N86" i="12"/>
  <c r="N82" i="12"/>
  <c r="N78" i="12"/>
  <c r="N74" i="12"/>
  <c r="N70" i="12"/>
  <c r="N66" i="12"/>
  <c r="N87" i="12"/>
  <c r="N83" i="12"/>
  <c r="N79" i="12"/>
  <c r="N75" i="12"/>
  <c r="N71" i="12"/>
  <c r="N67" i="12"/>
  <c r="N63" i="12"/>
  <c r="N84" i="12"/>
  <c r="N80" i="12"/>
  <c r="N76" i="12"/>
  <c r="N72" i="12"/>
  <c r="N68" i="12"/>
  <c r="N64" i="12"/>
  <c r="N91" i="12"/>
  <c r="N88" i="12"/>
  <c r="N85" i="12"/>
  <c r="N81" i="12"/>
  <c r="N77" i="12"/>
  <c r="N73" i="12"/>
  <c r="N69" i="12"/>
  <c r="N65" i="12"/>
  <c r="N61" i="12"/>
  <c r="N62" i="12"/>
  <c r="N59" i="12"/>
  <c r="N55" i="12"/>
  <c r="N51" i="12"/>
  <c r="N47" i="12"/>
  <c r="N43" i="12"/>
  <c r="N39" i="12"/>
  <c r="N35" i="12"/>
  <c r="N31" i="12"/>
  <c r="N27" i="12"/>
  <c r="N23" i="12"/>
  <c r="N19" i="12"/>
  <c r="N15" i="12"/>
  <c r="N60" i="12"/>
  <c r="N56" i="12"/>
  <c r="N52" i="12"/>
  <c r="N48" i="12"/>
  <c r="N44" i="12"/>
  <c r="N40" i="12"/>
  <c r="N36" i="12"/>
  <c r="N32" i="12"/>
  <c r="N28" i="12"/>
  <c r="N24" i="12"/>
  <c r="N20" i="12"/>
  <c r="N16" i="12"/>
  <c r="N57" i="12"/>
  <c r="N53" i="12"/>
  <c r="N49" i="12"/>
  <c r="N45" i="12"/>
  <c r="N41" i="12"/>
  <c r="N37" i="12"/>
  <c r="N33" i="12"/>
  <c r="N29" i="12"/>
  <c r="N25" i="12"/>
  <c r="N21" i="12"/>
  <c r="N17" i="12"/>
  <c r="N13" i="12"/>
  <c r="N58" i="12"/>
  <c r="N54" i="12"/>
  <c r="N50" i="12"/>
  <c r="N46" i="12"/>
  <c r="N42" i="12"/>
  <c r="N38" i="12"/>
  <c r="N34" i="12"/>
  <c r="N30" i="12"/>
  <c r="N26" i="12"/>
  <c r="N22" i="12"/>
  <c r="N18" i="12"/>
  <c r="N14" i="12"/>
  <c r="R251" i="12"/>
  <c r="R249" i="12"/>
  <c r="R250" i="12"/>
  <c r="R248" i="12"/>
  <c r="R247" i="12"/>
  <c r="R245" i="12"/>
  <c r="R243" i="12"/>
  <c r="R239" i="12"/>
  <c r="R246" i="12"/>
  <c r="R244" i="12"/>
  <c r="R240" i="12"/>
  <c r="R241" i="12"/>
  <c r="R242" i="12"/>
  <c r="R238" i="12"/>
  <c r="R237" i="12"/>
  <c r="R234" i="12"/>
  <c r="R235" i="12"/>
  <c r="R231" i="12"/>
  <c r="R236" i="12"/>
  <c r="R232" i="12"/>
  <c r="R233" i="12"/>
  <c r="R227" i="12"/>
  <c r="R228" i="12"/>
  <c r="R229" i="12"/>
  <c r="R225" i="12"/>
  <c r="R230" i="12"/>
  <c r="R226" i="12"/>
  <c r="R221" i="12"/>
  <c r="R222" i="12"/>
  <c r="R223" i="12"/>
  <c r="R219" i="12"/>
  <c r="R224" i="12"/>
  <c r="R220" i="12"/>
  <c r="R218" i="12"/>
  <c r="R214" i="12"/>
  <c r="R210" i="12"/>
  <c r="R206" i="12"/>
  <c r="R215" i="12"/>
  <c r="R211" i="12"/>
  <c r="R207" i="12"/>
  <c r="R216" i="12"/>
  <c r="R212" i="12"/>
  <c r="R208" i="12"/>
  <c r="R217" i="12"/>
  <c r="R213" i="12"/>
  <c r="R209" i="12"/>
  <c r="R203" i="12"/>
  <c r="R199" i="12"/>
  <c r="R195" i="12"/>
  <c r="R204" i="12"/>
  <c r="R200" i="12"/>
  <c r="R196" i="12"/>
  <c r="R205" i="12"/>
  <c r="R201" i="12"/>
  <c r="R197" i="12"/>
  <c r="R193" i="12"/>
  <c r="R202" i="12"/>
  <c r="R198" i="12"/>
  <c r="R194" i="12"/>
  <c r="R192" i="12"/>
  <c r="R188" i="12"/>
  <c r="R184" i="12"/>
  <c r="R180" i="12"/>
  <c r="R189" i="12"/>
  <c r="R185" i="12"/>
  <c r="R181" i="12"/>
  <c r="R190" i="12"/>
  <c r="R186" i="12"/>
  <c r="R182" i="12"/>
  <c r="R191" i="12"/>
  <c r="R187" i="12"/>
  <c r="R183" i="12"/>
  <c r="R177" i="12"/>
  <c r="R173" i="12"/>
  <c r="R169" i="12"/>
  <c r="R178" i="12"/>
  <c r="R174" i="12"/>
  <c r="R170" i="12"/>
  <c r="R179" i="12"/>
  <c r="R175" i="12"/>
  <c r="R171" i="12"/>
  <c r="R167" i="12"/>
  <c r="R176" i="12"/>
  <c r="R172" i="12"/>
  <c r="R168" i="12"/>
  <c r="R163" i="12"/>
  <c r="R159" i="12"/>
  <c r="R155" i="12"/>
  <c r="R151" i="12"/>
  <c r="R147" i="12"/>
  <c r="R143" i="12"/>
  <c r="R164" i="12"/>
  <c r="R160" i="12"/>
  <c r="R156" i="12"/>
  <c r="R152" i="12"/>
  <c r="R148" i="12"/>
  <c r="R144" i="12"/>
  <c r="R165" i="12"/>
  <c r="R161" i="12"/>
  <c r="R157" i="12"/>
  <c r="R153" i="12"/>
  <c r="R149" i="12"/>
  <c r="R145" i="12"/>
  <c r="R166" i="12"/>
  <c r="R162" i="12"/>
  <c r="R158" i="12"/>
  <c r="R154" i="12"/>
  <c r="R150" i="12"/>
  <c r="R146" i="12"/>
  <c r="R142" i="12"/>
  <c r="R138" i="12"/>
  <c r="R134" i="12"/>
  <c r="R130" i="12"/>
  <c r="R126" i="12"/>
  <c r="R122" i="12"/>
  <c r="R139" i="12"/>
  <c r="R135" i="12"/>
  <c r="R131" i="12"/>
  <c r="R127" i="12"/>
  <c r="R123" i="12"/>
  <c r="R119" i="12"/>
  <c r="R140" i="12"/>
  <c r="R136" i="12"/>
  <c r="R132" i="12"/>
  <c r="R128" i="12"/>
  <c r="R124" i="12"/>
  <c r="R120" i="12"/>
  <c r="R116" i="12"/>
  <c r="R141" i="12"/>
  <c r="R137" i="12"/>
  <c r="R133" i="12"/>
  <c r="R129" i="12"/>
  <c r="R125" i="12"/>
  <c r="R121" i="12"/>
  <c r="R117" i="12"/>
  <c r="R115" i="12"/>
  <c r="R111" i="12"/>
  <c r="R107" i="12"/>
  <c r="R103" i="12"/>
  <c r="R99" i="12"/>
  <c r="R95" i="12"/>
  <c r="R112" i="12"/>
  <c r="R108" i="12"/>
  <c r="R104" i="12"/>
  <c r="R100" i="12"/>
  <c r="R96" i="12"/>
  <c r="R92" i="12"/>
  <c r="R118" i="12"/>
  <c r="R113" i="12"/>
  <c r="R109" i="12"/>
  <c r="R105" i="12"/>
  <c r="R101" i="12"/>
  <c r="R97" i="12"/>
  <c r="R93" i="12"/>
  <c r="R89" i="12"/>
  <c r="R114" i="12"/>
  <c r="R110" i="12"/>
  <c r="R106" i="12"/>
  <c r="R102" i="12"/>
  <c r="R98" i="12"/>
  <c r="R94" i="12"/>
  <c r="R90" i="12"/>
  <c r="R86" i="12"/>
  <c r="R82" i="12"/>
  <c r="R78" i="12"/>
  <c r="R74" i="12"/>
  <c r="R70" i="12"/>
  <c r="R66" i="12"/>
  <c r="R91" i="12"/>
  <c r="R88" i="12"/>
  <c r="R87" i="12"/>
  <c r="R83" i="12"/>
  <c r="R79" i="12"/>
  <c r="R75" i="12"/>
  <c r="R71" i="12"/>
  <c r="R67" i="12"/>
  <c r="R63" i="12"/>
  <c r="R84" i="12"/>
  <c r="R80" i="12"/>
  <c r="R76" i="12"/>
  <c r="R72" i="12"/>
  <c r="R68" i="12"/>
  <c r="R64" i="12"/>
  <c r="R85" i="12"/>
  <c r="R81" i="12"/>
  <c r="R77" i="12"/>
  <c r="R73" i="12"/>
  <c r="R69" i="12"/>
  <c r="R65" i="12"/>
  <c r="R61" i="12"/>
  <c r="R59" i="12"/>
  <c r="R55" i="12"/>
  <c r="R51" i="12"/>
  <c r="R47" i="12"/>
  <c r="R43" i="12"/>
  <c r="R39" i="12"/>
  <c r="R35" i="12"/>
  <c r="R31" i="12"/>
  <c r="R27" i="12"/>
  <c r="R23" i="12"/>
  <c r="R19" i="12"/>
  <c r="R15" i="12"/>
  <c r="R60" i="12"/>
  <c r="R56" i="12"/>
  <c r="R52" i="12"/>
  <c r="R48" i="12"/>
  <c r="R44" i="12"/>
  <c r="R40" i="12"/>
  <c r="R36" i="12"/>
  <c r="R32" i="12"/>
  <c r="R28" i="12"/>
  <c r="R24" i="12"/>
  <c r="R20" i="12"/>
  <c r="R16" i="12"/>
  <c r="R62" i="12"/>
  <c r="R57" i="12"/>
  <c r="R53" i="12"/>
  <c r="R49" i="12"/>
  <c r="R45" i="12"/>
  <c r="R41" i="12"/>
  <c r="R37" i="12"/>
  <c r="R33" i="12"/>
  <c r="R29" i="12"/>
  <c r="R25" i="12"/>
  <c r="R21" i="12"/>
  <c r="R17" i="12"/>
  <c r="R13" i="12"/>
  <c r="R58" i="12"/>
  <c r="R54" i="12"/>
  <c r="R50" i="12"/>
  <c r="R46" i="12"/>
  <c r="R42" i="12"/>
  <c r="R38" i="12"/>
  <c r="R34" i="12"/>
  <c r="R30" i="12"/>
  <c r="R26" i="12"/>
  <c r="R22" i="12"/>
  <c r="R18" i="12"/>
  <c r="R14" i="12"/>
  <c r="V251" i="12"/>
  <c r="V249" i="12"/>
  <c r="V248" i="12"/>
  <c r="V250" i="12"/>
  <c r="V246" i="12"/>
  <c r="V247" i="12"/>
  <c r="V245" i="12"/>
  <c r="V243" i="12"/>
  <c r="V239" i="12"/>
  <c r="V244" i="12"/>
  <c r="V240" i="12"/>
  <c r="V241" i="12"/>
  <c r="V242" i="12"/>
  <c r="V238" i="12"/>
  <c r="V234" i="12"/>
  <c r="V237" i="12"/>
  <c r="V235" i="12"/>
  <c r="V231" i="12"/>
  <c r="V236" i="12"/>
  <c r="V232" i="12"/>
  <c r="V233" i="12"/>
  <c r="V227" i="12"/>
  <c r="V228" i="12"/>
  <c r="V229" i="12"/>
  <c r="V225" i="12"/>
  <c r="V230" i="12"/>
  <c r="V226" i="12"/>
  <c r="V221" i="12"/>
  <c r="V222" i="12"/>
  <c r="V223" i="12"/>
  <c r="V219" i="12"/>
  <c r="V224" i="12"/>
  <c r="V220" i="12"/>
  <c r="V218" i="12"/>
  <c r="V214" i="12"/>
  <c r="V210" i="12"/>
  <c r="V206" i="12"/>
  <c r="V215" i="12"/>
  <c r="V211" i="12"/>
  <c r="V207" i="12"/>
  <c r="V216" i="12"/>
  <c r="V212" i="12"/>
  <c r="V208" i="12"/>
  <c r="V217" i="12"/>
  <c r="V213" i="12"/>
  <c r="V209" i="12"/>
  <c r="V203" i="12"/>
  <c r="V199" i="12"/>
  <c r="V195" i="12"/>
  <c r="V204" i="12"/>
  <c r="V200" i="12"/>
  <c r="V196" i="12"/>
  <c r="V205" i="12"/>
  <c r="V201" i="12"/>
  <c r="V197" i="12"/>
  <c r="V193" i="12"/>
  <c r="V202" i="12"/>
  <c r="V198" i="12"/>
  <c r="V194" i="12"/>
  <c r="V192" i="12"/>
  <c r="V188" i="12"/>
  <c r="V184" i="12"/>
  <c r="V180" i="12"/>
  <c r="V189" i="12"/>
  <c r="V185" i="12"/>
  <c r="V181" i="12"/>
  <c r="V190" i="12"/>
  <c r="V186" i="12"/>
  <c r="V182" i="12"/>
  <c r="V191" i="12"/>
  <c r="V187" i="12"/>
  <c r="V183" i="12"/>
  <c r="V177" i="12"/>
  <c r="V173" i="12"/>
  <c r="V169" i="12"/>
  <c r="V178" i="12"/>
  <c r="V174" i="12"/>
  <c r="V170" i="12"/>
  <c r="V179" i="12"/>
  <c r="V175" i="12"/>
  <c r="V171" i="12"/>
  <c r="V167" i="12"/>
  <c r="V176" i="12"/>
  <c r="V172" i="12"/>
  <c r="V168" i="12"/>
  <c r="V163" i="12"/>
  <c r="V159" i="12"/>
  <c r="V155" i="12"/>
  <c r="V151" i="12"/>
  <c r="V147" i="12"/>
  <c r="V143" i="12"/>
  <c r="V164" i="12"/>
  <c r="V160" i="12"/>
  <c r="V156" i="12"/>
  <c r="V152" i="12"/>
  <c r="V148" i="12"/>
  <c r="V144" i="12"/>
  <c r="V165" i="12"/>
  <c r="V161" i="12"/>
  <c r="V157" i="12"/>
  <c r="V153" i="12"/>
  <c r="V149" i="12"/>
  <c r="V145" i="12"/>
  <c r="V166" i="12"/>
  <c r="V162" i="12"/>
  <c r="V158" i="12"/>
  <c r="V154" i="12"/>
  <c r="V150" i="12"/>
  <c r="V146" i="12"/>
  <c r="V142" i="12"/>
  <c r="V138" i="12"/>
  <c r="V134" i="12"/>
  <c r="V130" i="12"/>
  <c r="V126" i="12"/>
  <c r="V122" i="12"/>
  <c r="V139" i="12"/>
  <c r="V135" i="12"/>
  <c r="V131" i="12"/>
  <c r="V127" i="12"/>
  <c r="V123" i="12"/>
  <c r="V119" i="12"/>
  <c r="V140" i="12"/>
  <c r="V136" i="12"/>
  <c r="V132" i="12"/>
  <c r="V128" i="12"/>
  <c r="V124" i="12"/>
  <c r="V120" i="12"/>
  <c r="V116" i="12"/>
  <c r="V141" i="12"/>
  <c r="V137" i="12"/>
  <c r="V133" i="12"/>
  <c r="V129" i="12"/>
  <c r="V125" i="12"/>
  <c r="V121" i="12"/>
  <c r="V117" i="12"/>
  <c r="V118" i="12"/>
  <c r="V115" i="12"/>
  <c r="V111" i="12"/>
  <c r="V107" i="12"/>
  <c r="V103" i="12"/>
  <c r="V99" i="12"/>
  <c r="V95" i="12"/>
  <c r="V112" i="12"/>
  <c r="V108" i="12"/>
  <c r="V104" i="12"/>
  <c r="V100" i="12"/>
  <c r="V96" i="12"/>
  <c r="V92" i="12"/>
  <c r="V113" i="12"/>
  <c r="V109" i="12"/>
  <c r="V105" i="12"/>
  <c r="V101" i="12"/>
  <c r="V97" i="12"/>
  <c r="V93" i="12"/>
  <c r="V89" i="12"/>
  <c r="V114" i="12"/>
  <c r="V110" i="12"/>
  <c r="V106" i="12"/>
  <c r="V102" i="12"/>
  <c r="V98" i="12"/>
  <c r="V94" i="12"/>
  <c r="V90" i="12"/>
  <c r="V86" i="12"/>
  <c r="V82" i="12"/>
  <c r="V78" i="12"/>
  <c r="V74" i="12"/>
  <c r="V70" i="12"/>
  <c r="V66" i="12"/>
  <c r="V87" i="12"/>
  <c r="V83" i="12"/>
  <c r="V79" i="12"/>
  <c r="V75" i="12"/>
  <c r="V71" i="12"/>
  <c r="V67" i="12"/>
  <c r="V63" i="12"/>
  <c r="V84" i="12"/>
  <c r="V80" i="12"/>
  <c r="V76" i="12"/>
  <c r="V72" i="12"/>
  <c r="V68" i="12"/>
  <c r="V64" i="12"/>
  <c r="V91" i="12"/>
  <c r="V88" i="12"/>
  <c r="V85" i="12"/>
  <c r="V81" i="12"/>
  <c r="V77" i="12"/>
  <c r="V73" i="12"/>
  <c r="V69" i="12"/>
  <c r="V65" i="12"/>
  <c r="V61" i="12"/>
  <c r="V62" i="12"/>
  <c r="V59" i="12"/>
  <c r="V55" i="12"/>
  <c r="V51" i="12"/>
  <c r="V47" i="12"/>
  <c r="V43" i="12"/>
  <c r="V39" i="12"/>
  <c r="V35" i="12"/>
  <c r="V31" i="12"/>
  <c r="V27" i="12"/>
  <c r="V23" i="12"/>
  <c r="V19" i="12"/>
  <c r="V15" i="12"/>
  <c r="V60" i="12"/>
  <c r="V56" i="12"/>
  <c r="V52" i="12"/>
  <c r="V48" i="12"/>
  <c r="V44" i="12"/>
  <c r="V40" i="12"/>
  <c r="V36" i="12"/>
  <c r="V32" i="12"/>
  <c r="V28" i="12"/>
  <c r="V24" i="12"/>
  <c r="V20" i="12"/>
  <c r="V16" i="12"/>
  <c r="V57" i="12"/>
  <c r="V53" i="12"/>
  <c r="V49" i="12"/>
  <c r="V45" i="12"/>
  <c r="V41" i="12"/>
  <c r="V37" i="12"/>
  <c r="V33" i="12"/>
  <c r="V29" i="12"/>
  <c r="V25" i="12"/>
  <c r="V21" i="12"/>
  <c r="V17" i="12"/>
  <c r="V13" i="12"/>
  <c r="V58" i="12"/>
  <c r="V54" i="12"/>
  <c r="V50" i="12"/>
  <c r="V46" i="12"/>
  <c r="V42" i="12"/>
  <c r="V38" i="12"/>
  <c r="V34" i="12"/>
  <c r="V30" i="12"/>
  <c r="V26" i="12"/>
  <c r="V22" i="12"/>
  <c r="V18" i="12"/>
  <c r="V14" i="12"/>
  <c r="Z251" i="12"/>
  <c r="Z249" i="12"/>
  <c r="Z250" i="12"/>
  <c r="Z248" i="12"/>
  <c r="Z246" i="12"/>
  <c r="Z245" i="12"/>
  <c r="Z243" i="12"/>
  <c r="Z239" i="12"/>
  <c r="Z244" i="12"/>
  <c r="Z240" i="12"/>
  <c r="Z247" i="12"/>
  <c r="Z241" i="12"/>
  <c r="Z242" i="12"/>
  <c r="Z238" i="12"/>
  <c r="Z234" i="12"/>
  <c r="Z235" i="12"/>
  <c r="Z231" i="12"/>
  <c r="Z237" i="12"/>
  <c r="Z236" i="12"/>
  <c r="Z232" i="12"/>
  <c r="Z233" i="12"/>
  <c r="Z227" i="12"/>
  <c r="Z228" i="12"/>
  <c r="Z229" i="12"/>
  <c r="Z225" i="12"/>
  <c r="Z230" i="12"/>
  <c r="Z226" i="12"/>
  <c r="Z221" i="12"/>
  <c r="Z222" i="12"/>
  <c r="Z223" i="12"/>
  <c r="Z219" i="12"/>
  <c r="Z224" i="12"/>
  <c r="Z220" i="12"/>
  <c r="Z218" i="12"/>
  <c r="Z214" i="12"/>
  <c r="Z210" i="12"/>
  <c r="Z206" i="12"/>
  <c r="Z215" i="12"/>
  <c r="Z211" i="12"/>
  <c r="Z207" i="12"/>
  <c r="Z216" i="12"/>
  <c r="Z212" i="12"/>
  <c r="Z208" i="12"/>
  <c r="Z217" i="12"/>
  <c r="Z213" i="12"/>
  <c r="Z209" i="12"/>
  <c r="Z203" i="12"/>
  <c r="Z199" i="12"/>
  <c r="Z195" i="12"/>
  <c r="Z204" i="12"/>
  <c r="Z200" i="12"/>
  <c r="Z196" i="12"/>
  <c r="Z205" i="12"/>
  <c r="Z201" i="12"/>
  <c r="Z197" i="12"/>
  <c r="Z193" i="12"/>
  <c r="Z202" i="12"/>
  <c r="Z198" i="12"/>
  <c r="Z194" i="12"/>
  <c r="Z192" i="12"/>
  <c r="Z188" i="12"/>
  <c r="Z184" i="12"/>
  <c r="Z180" i="12"/>
  <c r="Z189" i="12"/>
  <c r="Z185" i="12"/>
  <c r="Z181" i="12"/>
  <c r="Z190" i="12"/>
  <c r="Z186" i="12"/>
  <c r="Z182" i="12"/>
  <c r="Z191" i="12"/>
  <c r="Z187" i="12"/>
  <c r="Z183" i="12"/>
  <c r="Z177" i="12"/>
  <c r="Z173" i="12"/>
  <c r="Z169" i="12"/>
  <c r="Z178" i="12"/>
  <c r="Z174" i="12"/>
  <c r="Z170" i="12"/>
  <c r="Z179" i="12"/>
  <c r="Z175" i="12"/>
  <c r="Z171" i="12"/>
  <c r="Z167" i="12"/>
  <c r="Z176" i="12"/>
  <c r="Z172" i="12"/>
  <c r="Z168" i="12"/>
  <c r="Z163" i="12"/>
  <c r="Z159" i="12"/>
  <c r="Z155" i="12"/>
  <c r="Z151" i="12"/>
  <c r="Z147" i="12"/>
  <c r="Z143" i="12"/>
  <c r="Z164" i="12"/>
  <c r="Z160" i="12"/>
  <c r="Z156" i="12"/>
  <c r="Z152" i="12"/>
  <c r="Z148" i="12"/>
  <c r="Z144" i="12"/>
  <c r="Z165" i="12"/>
  <c r="Z161" i="12"/>
  <c r="Z157" i="12"/>
  <c r="Z153" i="12"/>
  <c r="Z149" i="12"/>
  <c r="Z145" i="12"/>
  <c r="Z166" i="12"/>
  <c r="Z162" i="12"/>
  <c r="Z158" i="12"/>
  <c r="Z154" i="12"/>
  <c r="Z150" i="12"/>
  <c r="Z146" i="12"/>
  <c r="Z142" i="12"/>
  <c r="Z138" i="12"/>
  <c r="Z134" i="12"/>
  <c r="Z130" i="12"/>
  <c r="Z126" i="12"/>
  <c r="Z122" i="12"/>
  <c r="Z139" i="12"/>
  <c r="Z135" i="12"/>
  <c r="Z131" i="12"/>
  <c r="Z127" i="12"/>
  <c r="Z123" i="12"/>
  <c r="Z119" i="12"/>
  <c r="Z140" i="12"/>
  <c r="Z136" i="12"/>
  <c r="Z132" i="12"/>
  <c r="Z128" i="12"/>
  <c r="Z124" i="12"/>
  <c r="Z120" i="12"/>
  <c r="Z116" i="12"/>
  <c r="Z141" i="12"/>
  <c r="Z137" i="12"/>
  <c r="Z133" i="12"/>
  <c r="Z129" i="12"/>
  <c r="Z125" i="12"/>
  <c r="Z121" i="12"/>
  <c r="Z117" i="12"/>
  <c r="Z115" i="12"/>
  <c r="Z111" i="12"/>
  <c r="Z107" i="12"/>
  <c r="Z103" i="12"/>
  <c r="Z99" i="12"/>
  <c r="Z95" i="12"/>
  <c r="Z112" i="12"/>
  <c r="Z108" i="12"/>
  <c r="Z104" i="12"/>
  <c r="Z100" i="12"/>
  <c r="Z96" i="12"/>
  <c r="Z92" i="12"/>
  <c r="Z118" i="12"/>
  <c r="Z113" i="12"/>
  <c r="Z109" i="12"/>
  <c r="Z105" i="12"/>
  <c r="Z101" i="12"/>
  <c r="Z97" i="12"/>
  <c r="Z93" i="12"/>
  <c r="Z89" i="12"/>
  <c r="Z114" i="12"/>
  <c r="Z110" i="12"/>
  <c r="Z106" i="12"/>
  <c r="Z102" i="12"/>
  <c r="Z98" i="12"/>
  <c r="Z94" i="12"/>
  <c r="Z90" i="12"/>
  <c r="Z86" i="12"/>
  <c r="Z82" i="12"/>
  <c r="Z78" i="12"/>
  <c r="Z74" i="12"/>
  <c r="Z70" i="12"/>
  <c r="Z66" i="12"/>
  <c r="Z91" i="12"/>
  <c r="Z88" i="12"/>
  <c r="Z87" i="12"/>
  <c r="Z83" i="12"/>
  <c r="Z79" i="12"/>
  <c r="Z75" i="12"/>
  <c r="Z71" i="12"/>
  <c r="Z67" i="12"/>
  <c r="Z63" i="12"/>
  <c r="Z84" i="12"/>
  <c r="Z80" i="12"/>
  <c r="Z76" i="12"/>
  <c r="Z72" i="12"/>
  <c r="Z68" i="12"/>
  <c r="Z64" i="12"/>
  <c r="Z85" i="12"/>
  <c r="Z81" i="12"/>
  <c r="Z77" i="12"/>
  <c r="Z73" i="12"/>
  <c r="Z69" i="12"/>
  <c r="Z65" i="12"/>
  <c r="Z61" i="12"/>
  <c r="Z59" i="12"/>
  <c r="Z55" i="12"/>
  <c r="Z51" i="12"/>
  <c r="Z47" i="12"/>
  <c r="Z43" i="12"/>
  <c r="Z39" i="12"/>
  <c r="Z35" i="12"/>
  <c r="Z31" i="12"/>
  <c r="Z27" i="12"/>
  <c r="Z23" i="12"/>
  <c r="Z19" i="12"/>
  <c r="Z15" i="12"/>
  <c r="Z60" i="12"/>
  <c r="Z56" i="12"/>
  <c r="Z52" i="12"/>
  <c r="Z48" i="12"/>
  <c r="Z44" i="12"/>
  <c r="Z40" i="12"/>
  <c r="Z36" i="12"/>
  <c r="Z32" i="12"/>
  <c r="Z28" i="12"/>
  <c r="Z24" i="12"/>
  <c r="Z20" i="12"/>
  <c r="Z16" i="12"/>
  <c r="Z62" i="12"/>
  <c r="Z57" i="12"/>
  <c r="Z53" i="12"/>
  <c r="Z49" i="12"/>
  <c r="Z45" i="12"/>
  <c r="Z41" i="12"/>
  <c r="Z37" i="12"/>
  <c r="Z33" i="12"/>
  <c r="Z29" i="12"/>
  <c r="Z25" i="12"/>
  <c r="Z21" i="12"/>
  <c r="Z17" i="12"/>
  <c r="Z13" i="12"/>
  <c r="Z58" i="12"/>
  <c r="Z54" i="12"/>
  <c r="Z50" i="12"/>
  <c r="Z46" i="12"/>
  <c r="Z42" i="12"/>
  <c r="Z38" i="12"/>
  <c r="Z34" i="12"/>
  <c r="Z30" i="12"/>
  <c r="Z26" i="12"/>
  <c r="Z22" i="12"/>
  <c r="Z18" i="12"/>
  <c r="Z14" i="12"/>
  <c r="AD251" i="12"/>
  <c r="AD249" i="12"/>
  <c r="AD248" i="12"/>
  <c r="AD250" i="12"/>
  <c r="AD246" i="12"/>
  <c r="AD247" i="12"/>
  <c r="AD245" i="12"/>
  <c r="AD243" i="12"/>
  <c r="AD239" i="12"/>
  <c r="AD244" i="12"/>
  <c r="AD240" i="12"/>
  <c r="AD241" i="12"/>
  <c r="AD242" i="12"/>
  <c r="AD238" i="12"/>
  <c r="AD234" i="12"/>
  <c r="AD235" i="12"/>
  <c r="AD231" i="12"/>
  <c r="AD236" i="12"/>
  <c r="AD232" i="12"/>
  <c r="AD237" i="12"/>
  <c r="AD233" i="12"/>
  <c r="AD227" i="12"/>
  <c r="AD228" i="12"/>
  <c r="AD229" i="12"/>
  <c r="AD225" i="12"/>
  <c r="AD230" i="12"/>
  <c r="AD226" i="12"/>
  <c r="AD221" i="12"/>
  <c r="AD222" i="12"/>
  <c r="AD223" i="12"/>
  <c r="AD219" i="12"/>
  <c r="AD224" i="12"/>
  <c r="AD220" i="12"/>
  <c r="AD218" i="12"/>
  <c r="AD214" i="12"/>
  <c r="AD210" i="12"/>
  <c r="AD206" i="12"/>
  <c r="AD215" i="12"/>
  <c r="AD211" i="12"/>
  <c r="AD207" i="12"/>
  <c r="AD216" i="12"/>
  <c r="AD212" i="12"/>
  <c r="AD208" i="12"/>
  <c r="AD217" i="12"/>
  <c r="AD213" i="12"/>
  <c r="AD209" i="12"/>
  <c r="AD203" i="12"/>
  <c r="AD199" i="12"/>
  <c r="AD195" i="12"/>
  <c r="AD204" i="12"/>
  <c r="AD200" i="12"/>
  <c r="AD196" i="12"/>
  <c r="AD205" i="12"/>
  <c r="AD201" i="12"/>
  <c r="AD197" i="12"/>
  <c r="AD193" i="12"/>
  <c r="AD202" i="12"/>
  <c r="AD198" i="12"/>
  <c r="AD194" i="12"/>
  <c r="AD192" i="12"/>
  <c r="AD188" i="12"/>
  <c r="AD184" i="12"/>
  <c r="AD180" i="12"/>
  <c r="AD189" i="12"/>
  <c r="AD185" i="12"/>
  <c r="AD181" i="12"/>
  <c r="AD190" i="12"/>
  <c r="AD186" i="12"/>
  <c r="AD182" i="12"/>
  <c r="AD191" i="12"/>
  <c r="AD187" i="12"/>
  <c r="AD183" i="12"/>
  <c r="AD177" i="12"/>
  <c r="AD173" i="12"/>
  <c r="AD169" i="12"/>
  <c r="AD178" i="12"/>
  <c r="AD174" i="12"/>
  <c r="AD170" i="12"/>
  <c r="AD179" i="12"/>
  <c r="AD175" i="12"/>
  <c r="AD171" i="12"/>
  <c r="AD167" i="12"/>
  <c r="AD176" i="12"/>
  <c r="AD172" i="12"/>
  <c r="AD168" i="12"/>
  <c r="AD163" i="12"/>
  <c r="AD159" i="12"/>
  <c r="AD155" i="12"/>
  <c r="AD151" i="12"/>
  <c r="AD147" i="12"/>
  <c r="AD143" i="12"/>
  <c r="AD164" i="12"/>
  <c r="AD160" i="12"/>
  <c r="AD156" i="12"/>
  <c r="AD152" i="12"/>
  <c r="AD148" i="12"/>
  <c r="AD144" i="12"/>
  <c r="AD165" i="12"/>
  <c r="AD161" i="12"/>
  <c r="AD157" i="12"/>
  <c r="AD153" i="12"/>
  <c r="AD149" i="12"/>
  <c r="AD145" i="12"/>
  <c r="AD166" i="12"/>
  <c r="AD162" i="12"/>
  <c r="AD158" i="12"/>
  <c r="AD154" i="12"/>
  <c r="AD150" i="12"/>
  <c r="AD146" i="12"/>
  <c r="AD142" i="12"/>
  <c r="AD138" i="12"/>
  <c r="AD134" i="12"/>
  <c r="AD130" i="12"/>
  <c r="AD126" i="12"/>
  <c r="AD122" i="12"/>
  <c r="AD139" i="12"/>
  <c r="AD135" i="12"/>
  <c r="AD131" i="12"/>
  <c r="AD127" i="12"/>
  <c r="AD123" i="12"/>
  <c r="AD119" i="12"/>
  <c r="AD140" i="12"/>
  <c r="AD136" i="12"/>
  <c r="AD132" i="12"/>
  <c r="AD128" i="12"/>
  <c r="AD124" i="12"/>
  <c r="AD120" i="12"/>
  <c r="AD116" i="12"/>
  <c r="AD141" i="12"/>
  <c r="AD137" i="12"/>
  <c r="AD133" i="12"/>
  <c r="AD129" i="12"/>
  <c r="AD125" i="12"/>
  <c r="AD121" i="12"/>
  <c r="AD117" i="12"/>
  <c r="AD118" i="12"/>
  <c r="AD115" i="12"/>
  <c r="AD111" i="12"/>
  <c r="AD107" i="12"/>
  <c r="AD103" i="12"/>
  <c r="AD99" i="12"/>
  <c r="AD95" i="12"/>
  <c r="AD112" i="12"/>
  <c r="AD108" i="12"/>
  <c r="AD104" i="12"/>
  <c r="AD100" i="12"/>
  <c r="AD96" i="12"/>
  <c r="AD92" i="12"/>
  <c r="AD113" i="12"/>
  <c r="AD109" i="12"/>
  <c r="AD105" i="12"/>
  <c r="AD101" i="12"/>
  <c r="AD97" i="12"/>
  <c r="AD93" i="12"/>
  <c r="AD89" i="12"/>
  <c r="AD114" i="12"/>
  <c r="AD110" i="12"/>
  <c r="AD106" i="12"/>
  <c r="AD102" i="12"/>
  <c r="AD98" i="12"/>
  <c r="AD94" i="12"/>
  <c r="AD90" i="12"/>
  <c r="AD86" i="12"/>
  <c r="AD82" i="12"/>
  <c r="AD78" i="12"/>
  <c r="AD74" i="12"/>
  <c r="AD70" i="12"/>
  <c r="AD66" i="12"/>
  <c r="AD87" i="12"/>
  <c r="AD83" i="12"/>
  <c r="AD79" i="12"/>
  <c r="AD75" i="12"/>
  <c r="AD71" i="12"/>
  <c r="AD67" i="12"/>
  <c r="AD63" i="12"/>
  <c r="AD84" i="12"/>
  <c r="AD80" i="12"/>
  <c r="AD76" i="12"/>
  <c r="AD72" i="12"/>
  <c r="AD68" i="12"/>
  <c r="AD64" i="12"/>
  <c r="AD91" i="12"/>
  <c r="AD88" i="12"/>
  <c r="AD85" i="12"/>
  <c r="AD81" i="12"/>
  <c r="AD77" i="12"/>
  <c r="AD73" i="12"/>
  <c r="AD69" i="12"/>
  <c r="AD65" i="12"/>
  <c r="AD61" i="12"/>
  <c r="AD62" i="12"/>
  <c r="AD59" i="12"/>
  <c r="AD55" i="12"/>
  <c r="AD51" i="12"/>
  <c r="AD47" i="12"/>
  <c r="AD43" i="12"/>
  <c r="AD39" i="12"/>
  <c r="AD35" i="12"/>
  <c r="AD31" i="12"/>
  <c r="AD27" i="12"/>
  <c r="AD23" i="12"/>
  <c r="AD19" i="12"/>
  <c r="AD15" i="12"/>
  <c r="AD60" i="12"/>
  <c r="AD56" i="12"/>
  <c r="AD52" i="12"/>
  <c r="AD48" i="12"/>
  <c r="AD44" i="12"/>
  <c r="AD40" i="12"/>
  <c r="AD36" i="12"/>
  <c r="AD32" i="12"/>
  <c r="AD28" i="12"/>
  <c r="AD24" i="12"/>
  <c r="AD20" i="12"/>
  <c r="AD16" i="12"/>
  <c r="AD57" i="12"/>
  <c r="AD53" i="12"/>
  <c r="AD49" i="12"/>
  <c r="AD45" i="12"/>
  <c r="AD41" i="12"/>
  <c r="AD37" i="12"/>
  <c r="AD33" i="12"/>
  <c r="AD29" i="12"/>
  <c r="AD25" i="12"/>
  <c r="AD21" i="12"/>
  <c r="AD17" i="12"/>
  <c r="AD13" i="12"/>
  <c r="AD58" i="12"/>
  <c r="AD54" i="12"/>
  <c r="AD50" i="12"/>
  <c r="AD46" i="12"/>
  <c r="AD42" i="12"/>
  <c r="AD38" i="12"/>
  <c r="AD34" i="12"/>
  <c r="AD30" i="12"/>
  <c r="AD26" i="12"/>
  <c r="AD22" i="12"/>
  <c r="AD18" i="12"/>
  <c r="AD14" i="12"/>
  <c r="AH251" i="12"/>
  <c r="AH249" i="12"/>
  <c r="AH250" i="12"/>
  <c r="AH248" i="12"/>
  <c r="AH246" i="12"/>
  <c r="AH247" i="12"/>
  <c r="AH245" i="12"/>
  <c r="AH243" i="12"/>
  <c r="AH239" i="12"/>
  <c r="AH244" i="12"/>
  <c r="AH240" i="12"/>
  <c r="AH241" i="12"/>
  <c r="AH242" i="12"/>
  <c r="AH238" i="12"/>
  <c r="AH237" i="12"/>
  <c r="AH234" i="12"/>
  <c r="AH235" i="12"/>
  <c r="AH231" i="12"/>
  <c r="AH236" i="12"/>
  <c r="AH232" i="12"/>
  <c r="AH233" i="12"/>
  <c r="AH227" i="12"/>
  <c r="AH228" i="12"/>
  <c r="AH229" i="12"/>
  <c r="AH225" i="12"/>
  <c r="AH230" i="12"/>
  <c r="AH226" i="12"/>
  <c r="AH221" i="12"/>
  <c r="AH222" i="12"/>
  <c r="AH223" i="12"/>
  <c r="AH219" i="12"/>
  <c r="AH224" i="12"/>
  <c r="AH220" i="12"/>
  <c r="AH214" i="12"/>
  <c r="AH210" i="12"/>
  <c r="AH206" i="12"/>
  <c r="AH218" i="12"/>
  <c r="AH215" i="12"/>
  <c r="AH211" i="12"/>
  <c r="AH207" i="12"/>
  <c r="AH216" i="12"/>
  <c r="AH212" i="12"/>
  <c r="AH208" i="12"/>
  <c r="AH217" i="12"/>
  <c r="AH213" i="12"/>
  <c r="AH209" i="12"/>
  <c r="AH203" i="12"/>
  <c r="AH199" i="12"/>
  <c r="AH195" i="12"/>
  <c r="AH204" i="12"/>
  <c r="AH200" i="12"/>
  <c r="AH196" i="12"/>
  <c r="AH205" i="12"/>
  <c r="AH201" i="12"/>
  <c r="AH197" i="12"/>
  <c r="AH193" i="12"/>
  <c r="AH202" i="12"/>
  <c r="AH198" i="12"/>
  <c r="AH194" i="12"/>
  <c r="AH192" i="12"/>
  <c r="AH188" i="12"/>
  <c r="AH184" i="12"/>
  <c r="AH180" i="12"/>
  <c r="AH189" i="12"/>
  <c r="AH185" i="12"/>
  <c r="AH181" i="12"/>
  <c r="AH190" i="12"/>
  <c r="AH186" i="12"/>
  <c r="AH182" i="12"/>
  <c r="AH191" i="12"/>
  <c r="AH187" i="12"/>
  <c r="AH183" i="12"/>
  <c r="AH177" i="12"/>
  <c r="AH173" i="12"/>
  <c r="AH169" i="12"/>
  <c r="AH178" i="12"/>
  <c r="AH174" i="12"/>
  <c r="AH170" i="12"/>
  <c r="AH179" i="12"/>
  <c r="AH175" i="12"/>
  <c r="AH171" i="12"/>
  <c r="AH167" i="12"/>
  <c r="AH176" i="12"/>
  <c r="AH172" i="12"/>
  <c r="AH168" i="12"/>
  <c r="AH163" i="12"/>
  <c r="AH159" i="12"/>
  <c r="AH155" i="12"/>
  <c r="AH151" i="12"/>
  <c r="AH147" i="12"/>
  <c r="AH143" i="12"/>
  <c r="AH164" i="12"/>
  <c r="AH160" i="12"/>
  <c r="AH156" i="12"/>
  <c r="AH152" i="12"/>
  <c r="AH148" i="12"/>
  <c r="AH144" i="12"/>
  <c r="AH165" i="12"/>
  <c r="AH161" i="12"/>
  <c r="AH157" i="12"/>
  <c r="AH153" i="12"/>
  <c r="AH149" i="12"/>
  <c r="AH145" i="12"/>
  <c r="AH166" i="12"/>
  <c r="AH162" i="12"/>
  <c r="AH158" i="12"/>
  <c r="AH154" i="12"/>
  <c r="AH150" i="12"/>
  <c r="AH146" i="12"/>
  <c r="AH142" i="12"/>
  <c r="AH138" i="12"/>
  <c r="AH134" i="12"/>
  <c r="AH130" i="12"/>
  <c r="AH126" i="12"/>
  <c r="AH122" i="12"/>
  <c r="AH139" i="12"/>
  <c r="AH135" i="12"/>
  <c r="AH131" i="12"/>
  <c r="AH127" i="12"/>
  <c r="AH123" i="12"/>
  <c r="AH119" i="12"/>
  <c r="AH140" i="12"/>
  <c r="AH136" i="12"/>
  <c r="AH132" i="12"/>
  <c r="AH128" i="12"/>
  <c r="AH124" i="12"/>
  <c r="AH120" i="12"/>
  <c r="AH116" i="12"/>
  <c r="AH141" i="12"/>
  <c r="AH137" i="12"/>
  <c r="AH133" i="12"/>
  <c r="AH129" i="12"/>
  <c r="AH125" i="12"/>
  <c r="AH121" i="12"/>
  <c r="AH117" i="12"/>
  <c r="AH115" i="12"/>
  <c r="AH111" i="12"/>
  <c r="AH107" i="12"/>
  <c r="AH103" i="12"/>
  <c r="AH99" i="12"/>
  <c r="AH95" i="12"/>
  <c r="AH112" i="12"/>
  <c r="AH108" i="12"/>
  <c r="AH104" i="12"/>
  <c r="AH100" i="12"/>
  <c r="AH96" i="12"/>
  <c r="AH92" i="12"/>
  <c r="AH118" i="12"/>
  <c r="AH113" i="12"/>
  <c r="AH109" i="12"/>
  <c r="AH105" i="12"/>
  <c r="AH101" i="12"/>
  <c r="AH97" i="12"/>
  <c r="AH93" i="12"/>
  <c r="AH89" i="12"/>
  <c r="AH114" i="12"/>
  <c r="AH110" i="12"/>
  <c r="AH106" i="12"/>
  <c r="AH102" i="12"/>
  <c r="AH98" i="12"/>
  <c r="AH94" i="12"/>
  <c r="AH90" i="12"/>
  <c r="AH86" i="12"/>
  <c r="AH82" i="12"/>
  <c r="AH78" i="12"/>
  <c r="AH74" i="12"/>
  <c r="AH70" i="12"/>
  <c r="AH66" i="12"/>
  <c r="AH91" i="12"/>
  <c r="AH88" i="12"/>
  <c r="AH87" i="12"/>
  <c r="AH83" i="12"/>
  <c r="AH79" i="12"/>
  <c r="AH75" i="12"/>
  <c r="AH71" i="12"/>
  <c r="AH67" i="12"/>
  <c r="AH63" i="12"/>
  <c r="AH84" i="12"/>
  <c r="AH80" i="12"/>
  <c r="AH76" i="12"/>
  <c r="AH72" i="12"/>
  <c r="AH68" i="12"/>
  <c r="AH64" i="12"/>
  <c r="AH85" i="12"/>
  <c r="AH81" i="12"/>
  <c r="AH77" i="12"/>
  <c r="AH73" i="12"/>
  <c r="AH69" i="12"/>
  <c r="AH65" i="12"/>
  <c r="AH61" i="12"/>
  <c r="AH59" i="12"/>
  <c r="AH55" i="12"/>
  <c r="AH51" i="12"/>
  <c r="AH47" i="12"/>
  <c r="AH43" i="12"/>
  <c r="AH39" i="12"/>
  <c r="AH35" i="12"/>
  <c r="AH31" i="12"/>
  <c r="AH27" i="12"/>
  <c r="AH23" i="12"/>
  <c r="AH19" i="12"/>
  <c r="AH15" i="12"/>
  <c r="AH60" i="12"/>
  <c r="AH56" i="12"/>
  <c r="AH52" i="12"/>
  <c r="AH48" i="12"/>
  <c r="AH44" i="12"/>
  <c r="AH40" i="12"/>
  <c r="AH36" i="12"/>
  <c r="AH32" i="12"/>
  <c r="AH28" i="12"/>
  <c r="AH24" i="12"/>
  <c r="AH20" i="12"/>
  <c r="AH16" i="12"/>
  <c r="AH62" i="12"/>
  <c r="AH57" i="12"/>
  <c r="AH53" i="12"/>
  <c r="AH49" i="12"/>
  <c r="AH45" i="12"/>
  <c r="AH41" i="12"/>
  <c r="AH37" i="12"/>
  <c r="AH33" i="12"/>
  <c r="AH29" i="12"/>
  <c r="AH25" i="12"/>
  <c r="AH21" i="12"/>
  <c r="AH17" i="12"/>
  <c r="AH13" i="12"/>
  <c r="AH58" i="12"/>
  <c r="AH54" i="12"/>
  <c r="AH50" i="12"/>
  <c r="AH46" i="12"/>
  <c r="AH42" i="12"/>
  <c r="AH38" i="12"/>
  <c r="AH34" i="12"/>
  <c r="AH30" i="12"/>
  <c r="AH26" i="12"/>
  <c r="AH22" i="12"/>
  <c r="AH18" i="12"/>
  <c r="AH14" i="12"/>
  <c r="AL251" i="12"/>
  <c r="AL249" i="12"/>
  <c r="AL248" i="12"/>
  <c r="AL250" i="12"/>
  <c r="AL246" i="12"/>
  <c r="AL247" i="12"/>
  <c r="AL245" i="12"/>
  <c r="AL243" i="12"/>
  <c r="AL239" i="12"/>
  <c r="AL240" i="12"/>
  <c r="AL241" i="12"/>
  <c r="AL244" i="12"/>
  <c r="AL242" i="12"/>
  <c r="AL238" i="12"/>
  <c r="AL234" i="12"/>
  <c r="AL237" i="12"/>
  <c r="AL235" i="12"/>
  <c r="AL231" i="12"/>
  <c r="AL236" i="12"/>
  <c r="AL232" i="12"/>
  <c r="AL233" i="12"/>
  <c r="AL227" i="12"/>
  <c r="AL228" i="12"/>
  <c r="AL229" i="12"/>
  <c r="AL225" i="12"/>
  <c r="AL230" i="12"/>
  <c r="AL226" i="12"/>
  <c r="AL221" i="12"/>
  <c r="AL222" i="12"/>
  <c r="AL223" i="12"/>
  <c r="AL219" i="12"/>
  <c r="AL224" i="12"/>
  <c r="AL220" i="12"/>
  <c r="AL214" i="12"/>
  <c r="AL210" i="12"/>
  <c r="AL206" i="12"/>
  <c r="AL215" i="12"/>
  <c r="AL211" i="12"/>
  <c r="AL207" i="12"/>
  <c r="AL216" i="12"/>
  <c r="AL212" i="12"/>
  <c r="AL208" i="12"/>
  <c r="AL218" i="12"/>
  <c r="AL217" i="12"/>
  <c r="AL213" i="12"/>
  <c r="AL209" i="12"/>
  <c r="AL203" i="12"/>
  <c r="AL199" i="12"/>
  <c r="AL195" i="12"/>
  <c r="AL204" i="12"/>
  <c r="AL200" i="12"/>
  <c r="AL196" i="12"/>
  <c r="AL205" i="12"/>
  <c r="AL201" i="12"/>
  <c r="AL197" i="12"/>
  <c r="AL193" i="12"/>
  <c r="AL202" i="12"/>
  <c r="AL198" i="12"/>
  <c r="AL194" i="12"/>
  <c r="AL192" i="12"/>
  <c r="AL188" i="12"/>
  <c r="AL184" i="12"/>
  <c r="AL180" i="12"/>
  <c r="AL189" i="12"/>
  <c r="AL185" i="12"/>
  <c r="AL181" i="12"/>
  <c r="AL190" i="12"/>
  <c r="AL186" i="12"/>
  <c r="AL182" i="12"/>
  <c r="AL191" i="12"/>
  <c r="AL187" i="12"/>
  <c r="AL183" i="12"/>
  <c r="AL177" i="12"/>
  <c r="AL173" i="12"/>
  <c r="AL169" i="12"/>
  <c r="AL178" i="12"/>
  <c r="AL174" i="12"/>
  <c r="AL170" i="12"/>
  <c r="AL179" i="12"/>
  <c r="AL175" i="12"/>
  <c r="AL171" i="12"/>
  <c r="AL167" i="12"/>
  <c r="AL176" i="12"/>
  <c r="AL172" i="12"/>
  <c r="AL168" i="12"/>
  <c r="AL163" i="12"/>
  <c r="AL159" i="12"/>
  <c r="AL155" i="12"/>
  <c r="AL151" i="12"/>
  <c r="AL147" i="12"/>
  <c r="AL143" i="12"/>
  <c r="AL164" i="12"/>
  <c r="AL160" i="12"/>
  <c r="AL156" i="12"/>
  <c r="AL152" i="12"/>
  <c r="AL148" i="12"/>
  <c r="AL144" i="12"/>
  <c r="AL165" i="12"/>
  <c r="AL161" i="12"/>
  <c r="AL157" i="12"/>
  <c r="AL153" i="12"/>
  <c r="AL149" i="12"/>
  <c r="AL145" i="12"/>
  <c r="AL166" i="12"/>
  <c r="AL162" i="12"/>
  <c r="AL158" i="12"/>
  <c r="AL154" i="12"/>
  <c r="AL150" i="12"/>
  <c r="AL146" i="12"/>
  <c r="AL142" i="12"/>
  <c r="AL138" i="12"/>
  <c r="AL134" i="12"/>
  <c r="AL130" i="12"/>
  <c r="AL126" i="12"/>
  <c r="AL122" i="12"/>
  <c r="AL139" i="12"/>
  <c r="AL135" i="12"/>
  <c r="AL131" i="12"/>
  <c r="AL127" i="12"/>
  <c r="AL123" i="12"/>
  <c r="AL119" i="12"/>
  <c r="AL140" i="12"/>
  <c r="AL136" i="12"/>
  <c r="AL132" i="12"/>
  <c r="AL128" i="12"/>
  <c r="AL124" i="12"/>
  <c r="AL120" i="12"/>
  <c r="AL116" i="12"/>
  <c r="AL141" i="12"/>
  <c r="AL137" i="12"/>
  <c r="AL133" i="12"/>
  <c r="AL129" i="12"/>
  <c r="AL125" i="12"/>
  <c r="AL121" i="12"/>
  <c r="AL117" i="12"/>
  <c r="AL118" i="12"/>
  <c r="AL115" i="12"/>
  <c r="AL111" i="12"/>
  <c r="AL107" i="12"/>
  <c r="AL103" i="12"/>
  <c r="AL99" i="12"/>
  <c r="AL95" i="12"/>
  <c r="AL112" i="12"/>
  <c r="AL108" i="12"/>
  <c r="AL104" i="12"/>
  <c r="AL100" i="12"/>
  <c r="AL96" i="12"/>
  <c r="AL92" i="12"/>
  <c r="AL113" i="12"/>
  <c r="AL109" i="12"/>
  <c r="AL105" i="12"/>
  <c r="AL101" i="12"/>
  <c r="AL97" i="12"/>
  <c r="AL93" i="12"/>
  <c r="AL89" i="12"/>
  <c r="AL114" i="12"/>
  <c r="AL110" i="12"/>
  <c r="AL106" i="12"/>
  <c r="AL102" i="12"/>
  <c r="AL98" i="12"/>
  <c r="AL94" i="12"/>
  <c r="AL90" i="12"/>
  <c r="AL86" i="12"/>
  <c r="AL82" i="12"/>
  <c r="AL78" i="12"/>
  <c r="AL74" i="12"/>
  <c r="AL70" i="12"/>
  <c r="AL66" i="12"/>
  <c r="AL87" i="12"/>
  <c r="AL83" i="12"/>
  <c r="AL79" i="12"/>
  <c r="AL75" i="12"/>
  <c r="AL71" i="12"/>
  <c r="AL67" i="12"/>
  <c r="AL63" i="12"/>
  <c r="AL84" i="12"/>
  <c r="AL80" i="12"/>
  <c r="AL76" i="12"/>
  <c r="AL72" i="12"/>
  <c r="AL68" i="12"/>
  <c r="AL64" i="12"/>
  <c r="AL91" i="12"/>
  <c r="AL88" i="12"/>
  <c r="AL85" i="12"/>
  <c r="AL81" i="12"/>
  <c r="AL77" i="12"/>
  <c r="AL73" i="12"/>
  <c r="AL69" i="12"/>
  <c r="AL65" i="12"/>
  <c r="AL61" i="12"/>
  <c r="AL62" i="12"/>
  <c r="AL59" i="12"/>
  <c r="AL55" i="12"/>
  <c r="AL51" i="12"/>
  <c r="AL47" i="12"/>
  <c r="AL43" i="12"/>
  <c r="AL39" i="12"/>
  <c r="AL35" i="12"/>
  <c r="AL31" i="12"/>
  <c r="AL27" i="12"/>
  <c r="AL23" i="12"/>
  <c r="AL19" i="12"/>
  <c r="AL15" i="12"/>
  <c r="AL60" i="12"/>
  <c r="AL56" i="12"/>
  <c r="AL52" i="12"/>
  <c r="AL48" i="12"/>
  <c r="AL44" i="12"/>
  <c r="AL40" i="12"/>
  <c r="AL36" i="12"/>
  <c r="AL32" i="12"/>
  <c r="AL28" i="12"/>
  <c r="AL24" i="12"/>
  <c r="AL20" i="12"/>
  <c r="AL16" i="12"/>
  <c r="AL57" i="12"/>
  <c r="AL53" i="12"/>
  <c r="AL49" i="12"/>
  <c r="AL45" i="12"/>
  <c r="AL41" i="12"/>
  <c r="AL37" i="12"/>
  <c r="AL33" i="12"/>
  <c r="AL29" i="12"/>
  <c r="AL25" i="12"/>
  <c r="AL21" i="12"/>
  <c r="AL17" i="12"/>
  <c r="AL13" i="12"/>
  <c r="AL58" i="12"/>
  <c r="AL54" i="12"/>
  <c r="AL50" i="12"/>
  <c r="AL46" i="12"/>
  <c r="AL42" i="12"/>
  <c r="AL38" i="12"/>
  <c r="AL34" i="12"/>
  <c r="AL30" i="12"/>
  <c r="AL26" i="12"/>
  <c r="AL22" i="12"/>
  <c r="AL18" i="12"/>
  <c r="AL14" i="12"/>
  <c r="AP251" i="12"/>
  <c r="AP249" i="12"/>
  <c r="AP250" i="12"/>
  <c r="AP248" i="12"/>
  <c r="AP246" i="12"/>
  <c r="AP245" i="12"/>
  <c r="AP243" i="12"/>
  <c r="AP239" i="12"/>
  <c r="AP247" i="12"/>
  <c r="AP244" i="12"/>
  <c r="AP240" i="12"/>
  <c r="AP241" i="12"/>
  <c r="AP242" i="12"/>
  <c r="AP238" i="12"/>
  <c r="AP234" i="12"/>
  <c r="AP235" i="12"/>
  <c r="AP231" i="12"/>
  <c r="AP237" i="12"/>
  <c r="AP236" i="12"/>
  <c r="AP232" i="12"/>
  <c r="AP233" i="12"/>
  <c r="AP227" i="12"/>
  <c r="AP228" i="12"/>
  <c r="AP229" i="12"/>
  <c r="AP225" i="12"/>
  <c r="AP230" i="12"/>
  <c r="AP226" i="12"/>
  <c r="AP221" i="12"/>
  <c r="AP222" i="12"/>
  <c r="AP223" i="12"/>
  <c r="AP219" i="12"/>
  <c r="AP224" i="12"/>
  <c r="AP220" i="12"/>
  <c r="AP214" i="12"/>
  <c r="AP210" i="12"/>
  <c r="AP206" i="12"/>
  <c r="AP218" i="12"/>
  <c r="AP215" i="12"/>
  <c r="AP211" i="12"/>
  <c r="AP207" i="12"/>
  <c r="AP216" i="12"/>
  <c r="AP212" i="12"/>
  <c r="AP208" i="12"/>
  <c r="AP217" i="12"/>
  <c r="AP213" i="12"/>
  <c r="AP209" i="12"/>
  <c r="AP203" i="12"/>
  <c r="AP199" i="12"/>
  <c r="AP195" i="12"/>
  <c r="AP204" i="12"/>
  <c r="AP200" i="12"/>
  <c r="AP196" i="12"/>
  <c r="AP205" i="12"/>
  <c r="AP201" i="12"/>
  <c r="AP197" i="12"/>
  <c r="AP193" i="12"/>
  <c r="AP202" i="12"/>
  <c r="AP198" i="12"/>
  <c r="AP194" i="12"/>
  <c r="AP192" i="12"/>
  <c r="AP188" i="12"/>
  <c r="AP184" i="12"/>
  <c r="AP180" i="12"/>
  <c r="AP189" i="12"/>
  <c r="AP185" i="12"/>
  <c r="AP181" i="12"/>
  <c r="AP190" i="12"/>
  <c r="AP186" i="12"/>
  <c r="AP182" i="12"/>
  <c r="AP191" i="12"/>
  <c r="AP187" i="12"/>
  <c r="AP183" i="12"/>
  <c r="AP177" i="12"/>
  <c r="AP173" i="12"/>
  <c r="AP169" i="12"/>
  <c r="AP178" i="12"/>
  <c r="AP174" i="12"/>
  <c r="AP170" i="12"/>
  <c r="AP179" i="12"/>
  <c r="AP175" i="12"/>
  <c r="AP171" i="12"/>
  <c r="AP167" i="12"/>
  <c r="AP176" i="12"/>
  <c r="AP172" i="12"/>
  <c r="AP168" i="12"/>
  <c r="AP163" i="12"/>
  <c r="AP159" i="12"/>
  <c r="AP155" i="12"/>
  <c r="AP151" i="12"/>
  <c r="AP147" i="12"/>
  <c r="AP143" i="12"/>
  <c r="AP164" i="12"/>
  <c r="AP160" i="12"/>
  <c r="AP156" i="12"/>
  <c r="AP152" i="12"/>
  <c r="AP148" i="12"/>
  <c r="AP144" i="12"/>
  <c r="AP165" i="12"/>
  <c r="AP161" i="12"/>
  <c r="AP157" i="12"/>
  <c r="AP153" i="12"/>
  <c r="AP149" i="12"/>
  <c r="AP145" i="12"/>
  <c r="AP166" i="12"/>
  <c r="AP162" i="12"/>
  <c r="AP158" i="12"/>
  <c r="AP154" i="12"/>
  <c r="AP150" i="12"/>
  <c r="AP146" i="12"/>
  <c r="AP142" i="12"/>
  <c r="AP138" i="12"/>
  <c r="AP134" i="12"/>
  <c r="AP130" i="12"/>
  <c r="AP126" i="12"/>
  <c r="AP122" i="12"/>
  <c r="AP139" i="12"/>
  <c r="AP135" i="12"/>
  <c r="AP131" i="12"/>
  <c r="AP127" i="12"/>
  <c r="AP123" i="12"/>
  <c r="AP119" i="12"/>
  <c r="AP140" i="12"/>
  <c r="AP136" i="12"/>
  <c r="AP132" i="12"/>
  <c r="AP128" i="12"/>
  <c r="AP124" i="12"/>
  <c r="AP120" i="12"/>
  <c r="AP116" i="12"/>
  <c r="AP141" i="12"/>
  <c r="AP137" i="12"/>
  <c r="AP133" i="12"/>
  <c r="AP129" i="12"/>
  <c r="AP125" i="12"/>
  <c r="AP121" i="12"/>
  <c r="AP117" i="12"/>
  <c r="AP115" i="12"/>
  <c r="AP111" i="12"/>
  <c r="AP107" i="12"/>
  <c r="AP103" i="12"/>
  <c r="AP99" i="12"/>
  <c r="AP95" i="12"/>
  <c r="AP112" i="12"/>
  <c r="AP108" i="12"/>
  <c r="AP104" i="12"/>
  <c r="AP100" i="12"/>
  <c r="AP96" i="12"/>
  <c r="AP92" i="12"/>
  <c r="AP118" i="12"/>
  <c r="AP113" i="12"/>
  <c r="AP109" i="12"/>
  <c r="AP105" i="12"/>
  <c r="AP101" i="12"/>
  <c r="AP97" i="12"/>
  <c r="AP93" i="12"/>
  <c r="AP89" i="12"/>
  <c r="AP114" i="12"/>
  <c r="AP110" i="12"/>
  <c r="AP106" i="12"/>
  <c r="AP102" i="12"/>
  <c r="AP98" i="12"/>
  <c r="AP94" i="12"/>
  <c r="AP90" i="12"/>
  <c r="AP86" i="12"/>
  <c r="AP82" i="12"/>
  <c r="AP78" i="12"/>
  <c r="AP74" i="12"/>
  <c r="AP70" i="12"/>
  <c r="AP66" i="12"/>
  <c r="AP91" i="12"/>
  <c r="AP88" i="12"/>
  <c r="AP87" i="12"/>
  <c r="AP83" i="12"/>
  <c r="AP79" i="12"/>
  <c r="AP75" i="12"/>
  <c r="AP71" i="12"/>
  <c r="AP67" i="12"/>
  <c r="AP63" i="12"/>
  <c r="AP84" i="12"/>
  <c r="AP80" i="12"/>
  <c r="AP76" i="12"/>
  <c r="AP72" i="12"/>
  <c r="AP68" i="12"/>
  <c r="AP64" i="12"/>
  <c r="AP85" i="12"/>
  <c r="AP81" i="12"/>
  <c r="AP77" i="12"/>
  <c r="AP73" i="12"/>
  <c r="AP69" i="12"/>
  <c r="AP65" i="12"/>
  <c r="AP61" i="12"/>
  <c r="AP59" i="12"/>
  <c r="AP55" i="12"/>
  <c r="AP51" i="12"/>
  <c r="AP47" i="12"/>
  <c r="AP43" i="12"/>
  <c r="AP39" i="12"/>
  <c r="AP35" i="12"/>
  <c r="AP31" i="12"/>
  <c r="AP27" i="12"/>
  <c r="AP23" i="12"/>
  <c r="AP19" i="12"/>
  <c r="AP15" i="12"/>
  <c r="AP60" i="12"/>
  <c r="AP56" i="12"/>
  <c r="AP52" i="12"/>
  <c r="AP48" i="12"/>
  <c r="AP44" i="12"/>
  <c r="AP40" i="12"/>
  <c r="AP36" i="12"/>
  <c r="AP32" i="12"/>
  <c r="AP28" i="12"/>
  <c r="AP24" i="12"/>
  <c r="AP20" i="12"/>
  <c r="AP16" i="12"/>
  <c r="AP62" i="12"/>
  <c r="AP57" i="12"/>
  <c r="AP53" i="12"/>
  <c r="AP49" i="12"/>
  <c r="AP45" i="12"/>
  <c r="AP41" i="12"/>
  <c r="AP37" i="12"/>
  <c r="AP33" i="12"/>
  <c r="AP29" i="12"/>
  <c r="AP25" i="12"/>
  <c r="AP21" i="12"/>
  <c r="AP17" i="12"/>
  <c r="AP13" i="12"/>
  <c r="AP58" i="12"/>
  <c r="AP54" i="12"/>
  <c r="AP50" i="12"/>
  <c r="AP46" i="12"/>
  <c r="AP42" i="12"/>
  <c r="AP38" i="12"/>
  <c r="AP34" i="12"/>
  <c r="AP30" i="12"/>
  <c r="AP26" i="12"/>
  <c r="AP22" i="12"/>
  <c r="AP18" i="12"/>
  <c r="AP14" i="12"/>
  <c r="AT251" i="12"/>
  <c r="AT249" i="12"/>
  <c r="AT248" i="12"/>
  <c r="AT250" i="12"/>
  <c r="AT246" i="12"/>
  <c r="AT247" i="12"/>
  <c r="AT245" i="12"/>
  <c r="AT243" i="12"/>
  <c r="AT239" i="12"/>
  <c r="AT240" i="12"/>
  <c r="AT241" i="12"/>
  <c r="AT242" i="12"/>
  <c r="AT244" i="12"/>
  <c r="AT238" i="12"/>
  <c r="AT234" i="12"/>
  <c r="AT235" i="12"/>
  <c r="AT231" i="12"/>
  <c r="AT236" i="12"/>
  <c r="AT232" i="12"/>
  <c r="AT237" i="12"/>
  <c r="AT233" i="12"/>
  <c r="AT227" i="12"/>
  <c r="AT228" i="12"/>
  <c r="AT229" i="12"/>
  <c r="AT225" i="12"/>
  <c r="AT230" i="12"/>
  <c r="AT226" i="12"/>
  <c r="AT221" i="12"/>
  <c r="AT222" i="12"/>
  <c r="AT223" i="12"/>
  <c r="AT219" i="12"/>
  <c r="AT224" i="12"/>
  <c r="AT220" i="12"/>
  <c r="AT214" i="12"/>
  <c r="AT210" i="12"/>
  <c r="AT206" i="12"/>
  <c r="AT215" i="12"/>
  <c r="AT211" i="12"/>
  <c r="AT207" i="12"/>
  <c r="AT216" i="12"/>
  <c r="AT212" i="12"/>
  <c r="AT208" i="12"/>
  <c r="AT218" i="12"/>
  <c r="AT217" i="12"/>
  <c r="AT213" i="12"/>
  <c r="AT209" i="12"/>
  <c r="AT203" i="12"/>
  <c r="AT199" i="12"/>
  <c r="AT195" i="12"/>
  <c r="AT204" i="12"/>
  <c r="AT200" i="12"/>
  <c r="AT196" i="12"/>
  <c r="AT205" i="12"/>
  <c r="AT201" i="12"/>
  <c r="AT197" i="12"/>
  <c r="AT193" i="12"/>
  <c r="AT202" i="12"/>
  <c r="AT198" i="12"/>
  <c r="AT194" i="12"/>
  <c r="AT192" i="12"/>
  <c r="AT188" i="12"/>
  <c r="AT184" i="12"/>
  <c r="AT180" i="12"/>
  <c r="AT189" i="12"/>
  <c r="AT185" i="12"/>
  <c r="AT181" i="12"/>
  <c r="AT190" i="12"/>
  <c r="AT186" i="12"/>
  <c r="AT182" i="12"/>
  <c r="AT191" i="12"/>
  <c r="AT187" i="12"/>
  <c r="AT183" i="12"/>
  <c r="AT177" i="12"/>
  <c r="AT173" i="12"/>
  <c r="AT169" i="12"/>
  <c r="AT178" i="12"/>
  <c r="AT174" i="12"/>
  <c r="AT170" i="12"/>
  <c r="AT179" i="12"/>
  <c r="AT175" i="12"/>
  <c r="AT171" i="12"/>
  <c r="AT167" i="12"/>
  <c r="AT176" i="12"/>
  <c r="AT172" i="12"/>
  <c r="AT168" i="12"/>
  <c r="AT163" i="12"/>
  <c r="AT159" i="12"/>
  <c r="AT155" i="12"/>
  <c r="AT151" i="12"/>
  <c r="AT147" i="12"/>
  <c r="AT143" i="12"/>
  <c r="AT164" i="12"/>
  <c r="AT160" i="12"/>
  <c r="AT156" i="12"/>
  <c r="AT152" i="12"/>
  <c r="AT148" i="12"/>
  <c r="AT144" i="12"/>
  <c r="AT165" i="12"/>
  <c r="AT161" i="12"/>
  <c r="AT157" i="12"/>
  <c r="AT153" i="12"/>
  <c r="AT149" i="12"/>
  <c r="AT145" i="12"/>
  <c r="AT166" i="12"/>
  <c r="AT162" i="12"/>
  <c r="AT158" i="12"/>
  <c r="AT154" i="12"/>
  <c r="AT150" i="12"/>
  <c r="AT146" i="12"/>
  <c r="AT142" i="12"/>
  <c r="AT138" i="12"/>
  <c r="AT134" i="12"/>
  <c r="AT130" i="12"/>
  <c r="AT126" i="12"/>
  <c r="AT122" i="12"/>
  <c r="AT139" i="12"/>
  <c r="AT135" i="12"/>
  <c r="AT131" i="12"/>
  <c r="AT127" i="12"/>
  <c r="AT123" i="12"/>
  <c r="AT119" i="12"/>
  <c r="AT140" i="12"/>
  <c r="AT136" i="12"/>
  <c r="AT132" i="12"/>
  <c r="AT128" i="12"/>
  <c r="AT124" i="12"/>
  <c r="AT120" i="12"/>
  <c r="AT116" i="12"/>
  <c r="AT141" i="12"/>
  <c r="AT137" i="12"/>
  <c r="AT133" i="12"/>
  <c r="AT129" i="12"/>
  <c r="AT125" i="12"/>
  <c r="AT121" i="12"/>
  <c r="AT117" i="12"/>
  <c r="AT118" i="12"/>
  <c r="AT115" i="12"/>
  <c r="AT111" i="12"/>
  <c r="AT107" i="12"/>
  <c r="AT103" i="12"/>
  <c r="AT99" i="12"/>
  <c r="AT95" i="12"/>
  <c r="AT112" i="12"/>
  <c r="AT108" i="12"/>
  <c r="AT104" i="12"/>
  <c r="AT100" i="12"/>
  <c r="AT96" i="12"/>
  <c r="AT92" i="12"/>
  <c r="AT113" i="12"/>
  <c r="AT109" i="12"/>
  <c r="AT105" i="12"/>
  <c r="AT101" i="12"/>
  <c r="AT97" i="12"/>
  <c r="AT93" i="12"/>
  <c r="AT89" i="12"/>
  <c r="AT114" i="12"/>
  <c r="AT110" i="12"/>
  <c r="AT106" i="12"/>
  <c r="AT102" i="12"/>
  <c r="AT98" i="12"/>
  <c r="AT94" i="12"/>
  <c r="AT90" i="12"/>
  <c r="AT86" i="12"/>
  <c r="AT82" i="12"/>
  <c r="AT78" i="12"/>
  <c r="AT74" i="12"/>
  <c r="AT70" i="12"/>
  <c r="AT66" i="12"/>
  <c r="AT87" i="12"/>
  <c r="AT83" i="12"/>
  <c r="AT79" i="12"/>
  <c r="AT75" i="12"/>
  <c r="AT71" i="12"/>
  <c r="AT67" i="12"/>
  <c r="AT63" i="12"/>
  <c r="AT84" i="12"/>
  <c r="AT80" i="12"/>
  <c r="AT76" i="12"/>
  <c r="AT72" i="12"/>
  <c r="AT68" i="12"/>
  <c r="AT64" i="12"/>
  <c r="AT91" i="12"/>
  <c r="AT88" i="12"/>
  <c r="AT85" i="12"/>
  <c r="AT81" i="12"/>
  <c r="AT77" i="12"/>
  <c r="AT73" i="12"/>
  <c r="AT69" i="12"/>
  <c r="AT65" i="12"/>
  <c r="AT61" i="12"/>
  <c r="AT62" i="12"/>
  <c r="AT59" i="12"/>
  <c r="AT55" i="12"/>
  <c r="AT51" i="12"/>
  <c r="AT47" i="12"/>
  <c r="AT43" i="12"/>
  <c r="AT39" i="12"/>
  <c r="AT35" i="12"/>
  <c r="AT31" i="12"/>
  <c r="AT27" i="12"/>
  <c r="AT23" i="12"/>
  <c r="AT19" i="12"/>
  <c r="AT15" i="12"/>
  <c r="AT60" i="12"/>
  <c r="AT56" i="12"/>
  <c r="AT52" i="12"/>
  <c r="AT48" i="12"/>
  <c r="AT44" i="12"/>
  <c r="AT40" i="12"/>
  <c r="AT36" i="12"/>
  <c r="AT32" i="12"/>
  <c r="AT28" i="12"/>
  <c r="AT24" i="12"/>
  <c r="AT20" i="12"/>
  <c r="AT16" i="12"/>
  <c r="AT57" i="12"/>
  <c r="AT53" i="12"/>
  <c r="AT49" i="12"/>
  <c r="AT45" i="12"/>
  <c r="AT41" i="12"/>
  <c r="AT37" i="12"/>
  <c r="AT33" i="12"/>
  <c r="AT29" i="12"/>
  <c r="AT25" i="12"/>
  <c r="AT21" i="12"/>
  <c r="AT17" i="12"/>
  <c r="AT13" i="12"/>
  <c r="AT58" i="12"/>
  <c r="AT54" i="12"/>
  <c r="AT50" i="12"/>
  <c r="AT46" i="12"/>
  <c r="AT42" i="12"/>
  <c r="AT38" i="12"/>
  <c r="AT34" i="12"/>
  <c r="AT30" i="12"/>
  <c r="AT26" i="12"/>
  <c r="AT22" i="12"/>
  <c r="AT18" i="12"/>
  <c r="AT14" i="12"/>
  <c r="AX251" i="12"/>
  <c r="AX249" i="12"/>
  <c r="AX250" i="12"/>
  <c r="AX248" i="12"/>
  <c r="AX246" i="12"/>
  <c r="AX247" i="12"/>
  <c r="AX245" i="12"/>
  <c r="AX243" i="12"/>
  <c r="AX239" i="12"/>
  <c r="AX244" i="12"/>
  <c r="AX240" i="12"/>
  <c r="AX241" i="12"/>
  <c r="AX242" i="12"/>
  <c r="AX238" i="12"/>
  <c r="AX237" i="12"/>
  <c r="AX234" i="12"/>
  <c r="AX235" i="12"/>
  <c r="AX231" i="12"/>
  <c r="AX236" i="12"/>
  <c r="AX232" i="12"/>
  <c r="AX233" i="12"/>
  <c r="AX227" i="12"/>
  <c r="AX228" i="12"/>
  <c r="AX229" i="12"/>
  <c r="AX225" i="12"/>
  <c r="AX230" i="12"/>
  <c r="AX226" i="12"/>
  <c r="AX221" i="12"/>
  <c r="AX222" i="12"/>
  <c r="AX218" i="12"/>
  <c r="AX223" i="12"/>
  <c r="AX219" i="12"/>
  <c r="AX224" i="12"/>
  <c r="AX220" i="12"/>
  <c r="AX214" i="12"/>
  <c r="AX210" i="12"/>
  <c r="AX206" i="12"/>
  <c r="AX215" i="12"/>
  <c r="AX211" i="12"/>
  <c r="AX207" i="12"/>
  <c r="AX216" i="12"/>
  <c r="AX212" i="12"/>
  <c r="AX208" i="12"/>
  <c r="AX217" i="12"/>
  <c r="AX213" i="12"/>
  <c r="AX209" i="12"/>
  <c r="AX203" i="12"/>
  <c r="AX199" i="12"/>
  <c r="AX195" i="12"/>
  <c r="AX204" i="12"/>
  <c r="AX200" i="12"/>
  <c r="AX196" i="12"/>
  <c r="AX205" i="12"/>
  <c r="AX201" i="12"/>
  <c r="AX197" i="12"/>
  <c r="AX193" i="12"/>
  <c r="AX202" i="12"/>
  <c r="AX198" i="12"/>
  <c r="AX194" i="12"/>
  <c r="AX192" i="12"/>
  <c r="AX188" i="12"/>
  <c r="AX184" i="12"/>
  <c r="AX180" i="12"/>
  <c r="AX189" i="12"/>
  <c r="AX185" i="12"/>
  <c r="AX181" i="12"/>
  <c r="AX190" i="12"/>
  <c r="AX186" i="12"/>
  <c r="AX182" i="12"/>
  <c r="AX191" i="12"/>
  <c r="AX187" i="12"/>
  <c r="AX183" i="12"/>
  <c r="AX177" i="12"/>
  <c r="AX173" i="12"/>
  <c r="AX169" i="12"/>
  <c r="AX178" i="12"/>
  <c r="AX174" i="12"/>
  <c r="AX170" i="12"/>
  <c r="AX179" i="12"/>
  <c r="AX175" i="12"/>
  <c r="AX171" i="12"/>
  <c r="AX167" i="12"/>
  <c r="AX176" i="12"/>
  <c r="AX172" i="12"/>
  <c r="AX168" i="12"/>
  <c r="AX163" i="12"/>
  <c r="AX159" i="12"/>
  <c r="AX155" i="12"/>
  <c r="AX151" i="12"/>
  <c r="AX147" i="12"/>
  <c r="AX143" i="12"/>
  <c r="AX164" i="12"/>
  <c r="AX160" i="12"/>
  <c r="AX156" i="12"/>
  <c r="AX152" i="12"/>
  <c r="AX148" i="12"/>
  <c r="AX144" i="12"/>
  <c r="AX165" i="12"/>
  <c r="AX161" i="12"/>
  <c r="AX157" i="12"/>
  <c r="AX153" i="12"/>
  <c r="AX149" i="12"/>
  <c r="AX145" i="12"/>
  <c r="AX166" i="12"/>
  <c r="AX162" i="12"/>
  <c r="AX158" i="12"/>
  <c r="AX154" i="12"/>
  <c r="AX150" i="12"/>
  <c r="AX146" i="12"/>
  <c r="AX142" i="12"/>
  <c r="AX141" i="12"/>
  <c r="AX138" i="12"/>
  <c r="AX134" i="12"/>
  <c r="AX130" i="12"/>
  <c r="AX126" i="12"/>
  <c r="AX122" i="12"/>
  <c r="AX139" i="12"/>
  <c r="AX135" i="12"/>
  <c r="AX131" i="12"/>
  <c r="AX127" i="12"/>
  <c r="AX123" i="12"/>
  <c r="AX119" i="12"/>
  <c r="AX140" i="12"/>
  <c r="AX136" i="12"/>
  <c r="AX132" i="12"/>
  <c r="AX128" i="12"/>
  <c r="AX124" i="12"/>
  <c r="AX120" i="12"/>
  <c r="AX116" i="12"/>
  <c r="AX137" i="12"/>
  <c r="AX133" i="12"/>
  <c r="AX129" i="12"/>
  <c r="AX125" i="12"/>
  <c r="AX121" i="12"/>
  <c r="AX117" i="12"/>
  <c r="AX115" i="12"/>
  <c r="AX111" i="12"/>
  <c r="AX107" i="12"/>
  <c r="AX103" i="12"/>
  <c r="AX99" i="12"/>
  <c r="AX95" i="12"/>
  <c r="AX112" i="12"/>
  <c r="AX108" i="12"/>
  <c r="AX104" i="12"/>
  <c r="AX100" i="12"/>
  <c r="AX96" i="12"/>
  <c r="AX92" i="12"/>
  <c r="AX118" i="12"/>
  <c r="AX113" i="12"/>
  <c r="AX109" i="12"/>
  <c r="AX105" i="12"/>
  <c r="AX101" i="12"/>
  <c r="AX97" i="12"/>
  <c r="AX93" i="12"/>
  <c r="AX89" i="12"/>
  <c r="AX114" i="12"/>
  <c r="AX110" i="12"/>
  <c r="AX106" i="12"/>
  <c r="AX102" i="12"/>
  <c r="AX98" i="12"/>
  <c r="AX94" i="12"/>
  <c r="AX90" i="12"/>
  <c r="AX86" i="12"/>
  <c r="AX82" i="12"/>
  <c r="AX78" i="12"/>
  <c r="AX74" i="12"/>
  <c r="AX70" i="12"/>
  <c r="AX66" i="12"/>
  <c r="AX91" i="12"/>
  <c r="AX88" i="12"/>
  <c r="AX87" i="12"/>
  <c r="AX83" i="12"/>
  <c r="AX79" i="12"/>
  <c r="AX75" i="12"/>
  <c r="AX71" i="12"/>
  <c r="AX67" i="12"/>
  <c r="AX63" i="12"/>
  <c r="AX84" i="12"/>
  <c r="AX80" i="12"/>
  <c r="AX76" i="12"/>
  <c r="AX72" i="12"/>
  <c r="AX68" i="12"/>
  <c r="AX64" i="12"/>
  <c r="AX85" i="12"/>
  <c r="AX81" i="12"/>
  <c r="AX77" i="12"/>
  <c r="AX73" i="12"/>
  <c r="AX69" i="12"/>
  <c r="AX65" i="12"/>
  <c r="AX61" i="12"/>
  <c r="AX59" i="12"/>
  <c r="AX55" i="12"/>
  <c r="AX51" i="12"/>
  <c r="AX47" i="12"/>
  <c r="AX43" i="12"/>
  <c r="AX39" i="12"/>
  <c r="AX35" i="12"/>
  <c r="AX31" i="12"/>
  <c r="AX27" i="12"/>
  <c r="AX23" i="12"/>
  <c r="AX19" i="12"/>
  <c r="AX15" i="12"/>
  <c r="AX60" i="12"/>
  <c r="AX56" i="12"/>
  <c r="AX52" i="12"/>
  <c r="AX48" i="12"/>
  <c r="AX44" i="12"/>
  <c r="AX40" i="12"/>
  <c r="AX36" i="12"/>
  <c r="AX32" i="12"/>
  <c r="AX28" i="12"/>
  <c r="AX24" i="12"/>
  <c r="AX20" i="12"/>
  <c r="AX16" i="12"/>
  <c r="AX62" i="12"/>
  <c r="AX57" i="12"/>
  <c r="AX53" i="12"/>
  <c r="AX49" i="12"/>
  <c r="AX45" i="12"/>
  <c r="AX41" i="12"/>
  <c r="AX37" i="12"/>
  <c r="AX33" i="12"/>
  <c r="AX29" i="12"/>
  <c r="AX25" i="12"/>
  <c r="AX21" i="12"/>
  <c r="AX17" i="12"/>
  <c r="AX13" i="12"/>
  <c r="AX58" i="12"/>
  <c r="AX54" i="12"/>
  <c r="AX50" i="12"/>
  <c r="AX46" i="12"/>
  <c r="AX42" i="12"/>
  <c r="AX38" i="12"/>
  <c r="AX34" i="12"/>
  <c r="AX30" i="12"/>
  <c r="AX26" i="12"/>
  <c r="AX22" i="12"/>
  <c r="AX18" i="12"/>
  <c r="AX14" i="12"/>
  <c r="BB251" i="12"/>
  <c r="BB249" i="12"/>
  <c r="BB248" i="12"/>
  <c r="BB250" i="12"/>
  <c r="BB246" i="12"/>
  <c r="BB247" i="12"/>
  <c r="BB245" i="12"/>
  <c r="BB243" i="12"/>
  <c r="BB239" i="12"/>
  <c r="BB240" i="12"/>
  <c r="BB241" i="12"/>
  <c r="BB244" i="12"/>
  <c r="BB242" i="12"/>
  <c r="BB238" i="12"/>
  <c r="BB234" i="12"/>
  <c r="BB237" i="12"/>
  <c r="BB235" i="12"/>
  <c r="BB231" i="12"/>
  <c r="BB236" i="12"/>
  <c r="BB232" i="12"/>
  <c r="BB233" i="12"/>
  <c r="BB227" i="12"/>
  <c r="BB228" i="12"/>
  <c r="BB229" i="12"/>
  <c r="BB225" i="12"/>
  <c r="BB230" i="12"/>
  <c r="BB226" i="12"/>
  <c r="BB221" i="12"/>
  <c r="BB222" i="12"/>
  <c r="BB218" i="12"/>
  <c r="BB223" i="12"/>
  <c r="BB219" i="12"/>
  <c r="BB224" i="12"/>
  <c r="BB220" i="12"/>
  <c r="BB214" i="12"/>
  <c r="BB210" i="12"/>
  <c r="BB206" i="12"/>
  <c r="BB215" i="12"/>
  <c r="BB211" i="12"/>
  <c r="BB207" i="12"/>
  <c r="BB216" i="12"/>
  <c r="BB212" i="12"/>
  <c r="BB208" i="12"/>
  <c r="BB217" i="12"/>
  <c r="BB213" i="12"/>
  <c r="BB209" i="12"/>
  <c r="BB203" i="12"/>
  <c r="BB199" i="12"/>
  <c r="BB195" i="12"/>
  <c r="BB204" i="12"/>
  <c r="BB200" i="12"/>
  <c r="BB196" i="12"/>
  <c r="BB205" i="12"/>
  <c r="BB201" i="12"/>
  <c r="BB197" i="12"/>
  <c r="BB193" i="12"/>
  <c r="BB202" i="12"/>
  <c r="BB198" i="12"/>
  <c r="BB194" i="12"/>
  <c r="BB192" i="12"/>
  <c r="BB188" i="12"/>
  <c r="BB184" i="12"/>
  <c r="BB180" i="12"/>
  <c r="BB189" i="12"/>
  <c r="BB185" i="12"/>
  <c r="BB181" i="12"/>
  <c r="BB190" i="12"/>
  <c r="BB186" i="12"/>
  <c r="BB182" i="12"/>
  <c r="BB191" i="12"/>
  <c r="BB187" i="12"/>
  <c r="BB183" i="12"/>
  <c r="BB177" i="12"/>
  <c r="BB173" i="12"/>
  <c r="BB169" i="12"/>
  <c r="BB178" i="12"/>
  <c r="BB174" i="12"/>
  <c r="BB170" i="12"/>
  <c r="BB179" i="12"/>
  <c r="BB175" i="12"/>
  <c r="BB171" i="12"/>
  <c r="BB167" i="12"/>
  <c r="BB176" i="12"/>
  <c r="BB172" i="12"/>
  <c r="BB168" i="12"/>
  <c r="BB163" i="12"/>
  <c r="BB159" i="12"/>
  <c r="BB155" i="12"/>
  <c r="BB151" i="12"/>
  <c r="BB147" i="12"/>
  <c r="BB143" i="12"/>
  <c r="BB164" i="12"/>
  <c r="BB160" i="12"/>
  <c r="BB156" i="12"/>
  <c r="BB152" i="12"/>
  <c r="BB148" i="12"/>
  <c r="BB144" i="12"/>
  <c r="BB165" i="12"/>
  <c r="BB161" i="12"/>
  <c r="BB157" i="12"/>
  <c r="BB153" i="12"/>
  <c r="BB149" i="12"/>
  <c r="BB145" i="12"/>
  <c r="BB166" i="12"/>
  <c r="BB162" i="12"/>
  <c r="BB158" i="12"/>
  <c r="BB154" i="12"/>
  <c r="BB150" i="12"/>
  <c r="BB146" i="12"/>
  <c r="BB142" i="12"/>
  <c r="BB138" i="12"/>
  <c r="BB134" i="12"/>
  <c r="BB130" i="12"/>
  <c r="BB126" i="12"/>
  <c r="BB122" i="12"/>
  <c r="BB141" i="12"/>
  <c r="BB139" i="12"/>
  <c r="BB135" i="12"/>
  <c r="BB131" i="12"/>
  <c r="BB127" i="12"/>
  <c r="BB123" i="12"/>
  <c r="BB119" i="12"/>
  <c r="BB140" i="12"/>
  <c r="BB136" i="12"/>
  <c r="BB132" i="12"/>
  <c r="BB128" i="12"/>
  <c r="BB124" i="12"/>
  <c r="BB120" i="12"/>
  <c r="BB116" i="12"/>
  <c r="BB137" i="12"/>
  <c r="BB133" i="12"/>
  <c r="BB129" i="12"/>
  <c r="BB125" i="12"/>
  <c r="BB121" i="12"/>
  <c r="BB117" i="12"/>
  <c r="BB118" i="12"/>
  <c r="BB115" i="12"/>
  <c r="BB111" i="12"/>
  <c r="BB107" i="12"/>
  <c r="BB103" i="12"/>
  <c r="BB99" i="12"/>
  <c r="BB95" i="12"/>
  <c r="BB112" i="12"/>
  <c r="BB108" i="12"/>
  <c r="BB104" i="12"/>
  <c r="BB100" i="12"/>
  <c r="BB96" i="12"/>
  <c r="BB92" i="12"/>
  <c r="BB113" i="12"/>
  <c r="BB109" i="12"/>
  <c r="BB105" i="12"/>
  <c r="BB101" i="12"/>
  <c r="BB97" i="12"/>
  <c r="BB93" i="12"/>
  <c r="BB89" i="12"/>
  <c r="BB114" i="12"/>
  <c r="BB110" i="12"/>
  <c r="BB106" i="12"/>
  <c r="BB102" i="12"/>
  <c r="BB98" i="12"/>
  <c r="BB94" i="12"/>
  <c r="BB90" i="12"/>
  <c r="BB86" i="12"/>
  <c r="BB82" i="12"/>
  <c r="BB78" i="12"/>
  <c r="BB74" i="12"/>
  <c r="BB70" i="12"/>
  <c r="BB66" i="12"/>
  <c r="BB83" i="12"/>
  <c r="BB79" i="12"/>
  <c r="BB75" i="12"/>
  <c r="BB71" i="12"/>
  <c r="BB67" i="12"/>
  <c r="BB63" i="12"/>
  <c r="BB87" i="12"/>
  <c r="BB84" i="12"/>
  <c r="BB80" i="12"/>
  <c r="BB76" i="12"/>
  <c r="BB72" i="12"/>
  <c r="BB68" i="12"/>
  <c r="BB64" i="12"/>
  <c r="BB91" i="12"/>
  <c r="BB88" i="12"/>
  <c r="BB85" i="12"/>
  <c r="BB81" i="12"/>
  <c r="BB77" i="12"/>
  <c r="BB73" i="12"/>
  <c r="BB69" i="12"/>
  <c r="BB65" i="12"/>
  <c r="BB61" i="12"/>
  <c r="BB62" i="12"/>
  <c r="BB59" i="12"/>
  <c r="BB55" i="12"/>
  <c r="BB51" i="12"/>
  <c r="BB47" i="12"/>
  <c r="BB43" i="12"/>
  <c r="BB39" i="12"/>
  <c r="BB35" i="12"/>
  <c r="BB31" i="12"/>
  <c r="BB27" i="12"/>
  <c r="BB23" i="12"/>
  <c r="BB19" i="12"/>
  <c r="BB15" i="12"/>
  <c r="BB60" i="12"/>
  <c r="BB56" i="12"/>
  <c r="BB52" i="12"/>
  <c r="BB48" i="12"/>
  <c r="BB44" i="12"/>
  <c r="BB40" i="12"/>
  <c r="BB36" i="12"/>
  <c r="BB32" i="12"/>
  <c r="BB28" i="12"/>
  <c r="BB24" i="12"/>
  <c r="BB20" i="12"/>
  <c r="BB16" i="12"/>
  <c r="BB57" i="12"/>
  <c r="BB53" i="12"/>
  <c r="BB49" i="12"/>
  <c r="BB45" i="12"/>
  <c r="BB41" i="12"/>
  <c r="BB37" i="12"/>
  <c r="BB33" i="12"/>
  <c r="BB29" i="12"/>
  <c r="BB25" i="12"/>
  <c r="BB21" i="12"/>
  <c r="BB17" i="12"/>
  <c r="BB13" i="12"/>
  <c r="BB58" i="12"/>
  <c r="BB54" i="12"/>
  <c r="BB50" i="12"/>
  <c r="BB46" i="12"/>
  <c r="BB42" i="12"/>
  <c r="BB38" i="12"/>
  <c r="BB34" i="12"/>
  <c r="BB30" i="12"/>
  <c r="BB26" i="12"/>
  <c r="BB22" i="12"/>
  <c r="BB18" i="12"/>
  <c r="BB14" i="12"/>
  <c r="BF251" i="12"/>
  <c r="BF249" i="12"/>
  <c r="BF250" i="12"/>
  <c r="BF248" i="12"/>
  <c r="BF246" i="12"/>
  <c r="BF245" i="12"/>
  <c r="BF247" i="12"/>
  <c r="BF243" i="12"/>
  <c r="BF239" i="12"/>
  <c r="BF244" i="12"/>
  <c r="BF240" i="12"/>
  <c r="BF241" i="12"/>
  <c r="BF242" i="12"/>
  <c r="BF238" i="12"/>
  <c r="BF234" i="12"/>
  <c r="BF235" i="12"/>
  <c r="BF231" i="12"/>
  <c r="BF237" i="12"/>
  <c r="BF236" i="12"/>
  <c r="BF232" i="12"/>
  <c r="BF233" i="12"/>
  <c r="BF227" i="12"/>
  <c r="BF228" i="12"/>
  <c r="BF229" i="12"/>
  <c r="BF225" i="12"/>
  <c r="BF230" i="12"/>
  <c r="BF226" i="12"/>
  <c r="BF221" i="12"/>
  <c r="BF222" i="12"/>
  <c r="BF218" i="12"/>
  <c r="BF223" i="12"/>
  <c r="BF219" i="12"/>
  <c r="BF224" i="12"/>
  <c r="BF220" i="12"/>
  <c r="BF214" i="12"/>
  <c r="BF210" i="12"/>
  <c r="BF206" i="12"/>
  <c r="BF215" i="12"/>
  <c r="BF211" i="12"/>
  <c r="BF207" i="12"/>
  <c r="BF216" i="12"/>
  <c r="BF212" i="12"/>
  <c r="BF208" i="12"/>
  <c r="BF217" i="12"/>
  <c r="BF213" i="12"/>
  <c r="BF209" i="12"/>
  <c r="BF205" i="12"/>
  <c r="BF203" i="12"/>
  <c r="BF199" i="12"/>
  <c r="BF195" i="12"/>
  <c r="BF204" i="12"/>
  <c r="BF200" i="12"/>
  <c r="BF196" i="12"/>
  <c r="BF201" i="12"/>
  <c r="BF197" i="12"/>
  <c r="BF193" i="12"/>
  <c r="BF202" i="12"/>
  <c r="BF198" i="12"/>
  <c r="BF194" i="12"/>
  <c r="BF192" i="12"/>
  <c r="BF188" i="12"/>
  <c r="BF184" i="12"/>
  <c r="BF180" i="12"/>
  <c r="BF189" i="12"/>
  <c r="BF185" i="12"/>
  <c r="BF181" i="12"/>
  <c r="BF190" i="12"/>
  <c r="BF186" i="12"/>
  <c r="BF182" i="12"/>
  <c r="BF191" i="12"/>
  <c r="BF187" i="12"/>
  <c r="BF183" i="12"/>
  <c r="BF177" i="12"/>
  <c r="BF173" i="12"/>
  <c r="BF169" i="12"/>
  <c r="BF178" i="12"/>
  <c r="BF174" i="12"/>
  <c r="BF170" i="12"/>
  <c r="BF179" i="12"/>
  <c r="BF175" i="12"/>
  <c r="BF171" i="12"/>
  <c r="BF167" i="12"/>
  <c r="BF176" i="12"/>
  <c r="BF172" i="12"/>
  <c r="BF168" i="12"/>
  <c r="BF163" i="12"/>
  <c r="BF159" i="12"/>
  <c r="BF155" i="12"/>
  <c r="BF151" i="12"/>
  <c r="BF147" i="12"/>
  <c r="BF143" i="12"/>
  <c r="BF164" i="12"/>
  <c r="BF160" i="12"/>
  <c r="BF156" i="12"/>
  <c r="BF152" i="12"/>
  <c r="BF148" i="12"/>
  <c r="BF144" i="12"/>
  <c r="BF165" i="12"/>
  <c r="BF161" i="12"/>
  <c r="BF157" i="12"/>
  <c r="BF153" i="12"/>
  <c r="BF149" i="12"/>
  <c r="BF145" i="12"/>
  <c r="BF166" i="12"/>
  <c r="BF162" i="12"/>
  <c r="BF158" i="12"/>
  <c r="BF154" i="12"/>
  <c r="BF150" i="12"/>
  <c r="BF146" i="12"/>
  <c r="BF142" i="12"/>
  <c r="BF138" i="12"/>
  <c r="BF134" i="12"/>
  <c r="BF130" i="12"/>
  <c r="BF126" i="12"/>
  <c r="BF122" i="12"/>
  <c r="BF139" i="12"/>
  <c r="BF135" i="12"/>
  <c r="BF131" i="12"/>
  <c r="BF127" i="12"/>
  <c r="BF123" i="12"/>
  <c r="BF119" i="12"/>
  <c r="BF141" i="12"/>
  <c r="BF140" i="12"/>
  <c r="BF136" i="12"/>
  <c r="BF132" i="12"/>
  <c r="BF128" i="12"/>
  <c r="BF124" i="12"/>
  <c r="BF120" i="12"/>
  <c r="BF116" i="12"/>
  <c r="BF137" i="12"/>
  <c r="BF133" i="12"/>
  <c r="BF129" i="12"/>
  <c r="BF125" i="12"/>
  <c r="BF121" i="12"/>
  <c r="BF117" i="12"/>
  <c r="BF115" i="12"/>
  <c r="BF111" i="12"/>
  <c r="BF107" i="12"/>
  <c r="BF103" i="12"/>
  <c r="BF99" i="12"/>
  <c r="BF95" i="12"/>
  <c r="BF112" i="12"/>
  <c r="BF108" i="12"/>
  <c r="BF104" i="12"/>
  <c r="BF100" i="12"/>
  <c r="BF96" i="12"/>
  <c r="BF92" i="12"/>
  <c r="BF118" i="12"/>
  <c r="BF113" i="12"/>
  <c r="BF109" i="12"/>
  <c r="BF105" i="12"/>
  <c r="BF101" i="12"/>
  <c r="BF97" i="12"/>
  <c r="BF93" i="12"/>
  <c r="BF89" i="12"/>
  <c r="BF114" i="12"/>
  <c r="BF110" i="12"/>
  <c r="BF106" i="12"/>
  <c r="BF102" i="12"/>
  <c r="BF98" i="12"/>
  <c r="BF94" i="12"/>
  <c r="BF90" i="12"/>
  <c r="BF86" i="12"/>
  <c r="BF82" i="12"/>
  <c r="BF78" i="12"/>
  <c r="BF74" i="12"/>
  <c r="BF70" i="12"/>
  <c r="BF66" i="12"/>
  <c r="BF91" i="12"/>
  <c r="BF88" i="12"/>
  <c r="BF83" i="12"/>
  <c r="BF79" i="12"/>
  <c r="BF75" i="12"/>
  <c r="BF71" i="12"/>
  <c r="BF67" i="12"/>
  <c r="BF63" i="12"/>
  <c r="BF84" i="12"/>
  <c r="BF80" i="12"/>
  <c r="BF76" i="12"/>
  <c r="BF72" i="12"/>
  <c r="BF68" i="12"/>
  <c r="BF64" i="12"/>
  <c r="BF87" i="12"/>
  <c r="BF85" i="12"/>
  <c r="BF81" i="12"/>
  <c r="BF77" i="12"/>
  <c r="BF73" i="12"/>
  <c r="BF69" i="12"/>
  <c r="BF65" i="12"/>
  <c r="BF61" i="12"/>
  <c r="BF59" i="12"/>
  <c r="BF55" i="12"/>
  <c r="BF51" i="12"/>
  <c r="BF47" i="12"/>
  <c r="BF43" i="12"/>
  <c r="BF39" i="12"/>
  <c r="BF35" i="12"/>
  <c r="BF31" i="12"/>
  <c r="BF27" i="12"/>
  <c r="BF23" i="12"/>
  <c r="BF19" i="12"/>
  <c r="BF15" i="12"/>
  <c r="BF60" i="12"/>
  <c r="BF56" i="12"/>
  <c r="BF52" i="12"/>
  <c r="BF48" i="12"/>
  <c r="BF44" i="12"/>
  <c r="BF40" i="12"/>
  <c r="BF36" i="12"/>
  <c r="BF32" i="12"/>
  <c r="BF28" i="12"/>
  <c r="BF24" i="12"/>
  <c r="BF20" i="12"/>
  <c r="BF16" i="12"/>
  <c r="BF62" i="12"/>
  <c r="BF57" i="12"/>
  <c r="BF53" i="12"/>
  <c r="BF49" i="12"/>
  <c r="BF45" i="12"/>
  <c r="BF41" i="12"/>
  <c r="BF37" i="12"/>
  <c r="BF33" i="12"/>
  <c r="BF29" i="12"/>
  <c r="BF25" i="12"/>
  <c r="BF21" i="12"/>
  <c r="BF17" i="12"/>
  <c r="BF13" i="12"/>
  <c r="BF58" i="12"/>
  <c r="BF54" i="12"/>
  <c r="BF50" i="12"/>
  <c r="BF46" i="12"/>
  <c r="BF42" i="12"/>
  <c r="BF38" i="12"/>
  <c r="BF34" i="12"/>
  <c r="BF30" i="12"/>
  <c r="BF26" i="12"/>
  <c r="BF22" i="12"/>
  <c r="BF18" i="12"/>
  <c r="BF14" i="12"/>
  <c r="BJ251" i="12"/>
  <c r="BJ249" i="12"/>
  <c r="BJ248" i="12"/>
  <c r="BJ250" i="12"/>
  <c r="BJ246" i="12"/>
  <c r="BJ247" i="12"/>
  <c r="BJ245" i="12"/>
  <c r="BJ243" i="12"/>
  <c r="BJ239" i="12"/>
  <c r="BJ240" i="12"/>
  <c r="BJ241" i="12"/>
  <c r="BJ242" i="12"/>
  <c r="BJ244" i="12"/>
  <c r="BJ238" i="12"/>
  <c r="BJ234" i="12"/>
  <c r="BJ235" i="12"/>
  <c r="BJ231" i="12"/>
  <c r="BJ236" i="12"/>
  <c r="BJ232" i="12"/>
  <c r="BJ237" i="12"/>
  <c r="BJ233" i="12"/>
  <c r="BJ227" i="12"/>
  <c r="BJ228" i="12"/>
  <c r="BJ229" i="12"/>
  <c r="BJ225" i="12"/>
  <c r="BJ230" i="12"/>
  <c r="BJ226" i="12"/>
  <c r="BJ221" i="12"/>
  <c r="BJ222" i="12"/>
  <c r="BJ218" i="12"/>
  <c r="BJ223" i="12"/>
  <c r="BJ219" i="12"/>
  <c r="BJ224" i="12"/>
  <c r="BJ220" i="12"/>
  <c r="BJ214" i="12"/>
  <c r="BJ210" i="12"/>
  <c r="BJ206" i="12"/>
  <c r="BJ215" i="12"/>
  <c r="BJ211" i="12"/>
  <c r="BJ207" i="12"/>
  <c r="BJ216" i="12"/>
  <c r="BJ212" i="12"/>
  <c r="BJ208" i="12"/>
  <c r="BJ217" i="12"/>
  <c r="BJ213" i="12"/>
  <c r="BJ209" i="12"/>
  <c r="BJ205" i="12"/>
  <c r="BJ203" i="12"/>
  <c r="BJ199" i="12"/>
  <c r="BJ195" i="12"/>
  <c r="BJ204" i="12"/>
  <c r="BJ200" i="12"/>
  <c r="BJ196" i="12"/>
  <c r="BJ201" i="12"/>
  <c r="BJ197" i="12"/>
  <c r="BJ193" i="12"/>
  <c r="BJ202" i="12"/>
  <c r="BJ198" i="12"/>
  <c r="BJ194" i="12"/>
  <c r="BJ192" i="12"/>
  <c r="BJ188" i="12"/>
  <c r="BJ184" i="12"/>
  <c r="BJ180" i="12"/>
  <c r="BJ189" i="12"/>
  <c r="BJ185" i="12"/>
  <c r="BJ181" i="12"/>
  <c r="BJ190" i="12"/>
  <c r="BJ186" i="12"/>
  <c r="BJ182" i="12"/>
  <c r="BJ191" i="12"/>
  <c r="BJ187" i="12"/>
  <c r="BJ183" i="12"/>
  <c r="BJ177" i="12"/>
  <c r="BJ173" i="12"/>
  <c r="BJ169" i="12"/>
  <c r="BJ178" i="12"/>
  <c r="BJ174" i="12"/>
  <c r="BJ170" i="12"/>
  <c r="BJ179" i="12"/>
  <c r="BJ175" i="12"/>
  <c r="BJ171" i="12"/>
  <c r="BJ167" i="12"/>
  <c r="BJ176" i="12"/>
  <c r="BJ172" i="12"/>
  <c r="BJ168" i="12"/>
  <c r="BJ163" i="12"/>
  <c r="BJ159" i="12"/>
  <c r="BJ155" i="12"/>
  <c r="BJ151" i="12"/>
  <c r="BJ147" i="12"/>
  <c r="BJ143" i="12"/>
  <c r="BJ164" i="12"/>
  <c r="BJ160" i="12"/>
  <c r="BJ156" i="12"/>
  <c r="BJ152" i="12"/>
  <c r="BJ148" i="12"/>
  <c r="BJ144" i="12"/>
  <c r="BJ165" i="12"/>
  <c r="BJ161" i="12"/>
  <c r="BJ157" i="12"/>
  <c r="BJ153" i="12"/>
  <c r="BJ149" i="12"/>
  <c r="BJ145" i="12"/>
  <c r="BJ166" i="12"/>
  <c r="BJ162" i="12"/>
  <c r="BJ158" i="12"/>
  <c r="BJ154" i="12"/>
  <c r="BJ150" i="12"/>
  <c r="BJ146" i="12"/>
  <c r="BJ142" i="12"/>
  <c r="BJ138" i="12"/>
  <c r="BJ134" i="12"/>
  <c r="BJ130" i="12"/>
  <c r="BJ126" i="12"/>
  <c r="BJ122" i="12"/>
  <c r="BJ118" i="12"/>
  <c r="BJ139" i="12"/>
  <c r="BJ135" i="12"/>
  <c r="BJ131" i="12"/>
  <c r="BJ127" i="12"/>
  <c r="BJ123" i="12"/>
  <c r="BJ119" i="12"/>
  <c r="BJ140" i="12"/>
  <c r="BJ136" i="12"/>
  <c r="BJ132" i="12"/>
  <c r="BJ128" i="12"/>
  <c r="BJ124" i="12"/>
  <c r="BJ120" i="12"/>
  <c r="BJ116" i="12"/>
  <c r="BJ141" i="12"/>
  <c r="BJ137" i="12"/>
  <c r="BJ133" i="12"/>
  <c r="BJ129" i="12"/>
  <c r="BJ125" i="12"/>
  <c r="BJ121" i="12"/>
  <c r="BJ117" i="12"/>
  <c r="BJ115" i="12"/>
  <c r="BJ111" i="12"/>
  <c r="BJ107" i="12"/>
  <c r="BJ103" i="12"/>
  <c r="BJ99" i="12"/>
  <c r="BJ95" i="12"/>
  <c r="BJ112" i="12"/>
  <c r="BJ108" i="12"/>
  <c r="BJ104" i="12"/>
  <c r="BJ100" i="12"/>
  <c r="BJ96" i="12"/>
  <c r="BJ92" i="12"/>
  <c r="BJ113" i="12"/>
  <c r="BJ109" i="12"/>
  <c r="BJ105" i="12"/>
  <c r="BJ101" i="12"/>
  <c r="BJ97" i="12"/>
  <c r="BJ93" i="12"/>
  <c r="BJ89" i="12"/>
  <c r="BJ114" i="12"/>
  <c r="BJ110" i="12"/>
  <c r="BJ106" i="12"/>
  <c r="BJ102" i="12"/>
  <c r="BJ98" i="12"/>
  <c r="BJ94" i="12"/>
  <c r="BJ90" i="12"/>
  <c r="BJ87" i="12"/>
  <c r="BJ86" i="12"/>
  <c r="BJ82" i="12"/>
  <c r="BJ78" i="12"/>
  <c r="BJ74" i="12"/>
  <c r="BJ70" i="12"/>
  <c r="BJ66" i="12"/>
  <c r="BJ83" i="12"/>
  <c r="BJ79" i="12"/>
  <c r="BJ75" i="12"/>
  <c r="BJ71" i="12"/>
  <c r="BJ67" i="12"/>
  <c r="BJ63" i="12"/>
  <c r="BJ84" i="12"/>
  <c r="BJ80" i="12"/>
  <c r="BJ76" i="12"/>
  <c r="BJ72" i="12"/>
  <c r="BJ68" i="12"/>
  <c r="BJ64" i="12"/>
  <c r="BJ91" i="12"/>
  <c r="BJ88" i="12"/>
  <c r="BJ85" i="12"/>
  <c r="BJ81" i="12"/>
  <c r="BJ77" i="12"/>
  <c r="BJ73" i="12"/>
  <c r="BJ69" i="12"/>
  <c r="BJ65" i="12"/>
  <c r="BJ61" i="12"/>
  <c r="BJ62" i="12"/>
  <c r="BJ59" i="12"/>
  <c r="BJ55" i="12"/>
  <c r="BJ51" i="12"/>
  <c r="BJ47" i="12"/>
  <c r="BJ43" i="12"/>
  <c r="BJ39" i="12"/>
  <c r="BJ35" i="12"/>
  <c r="BJ31" i="12"/>
  <c r="BJ27" i="12"/>
  <c r="BJ23" i="12"/>
  <c r="BJ19" i="12"/>
  <c r="BJ15" i="12"/>
  <c r="BJ60" i="12"/>
  <c r="BJ56" i="12"/>
  <c r="BJ52" i="12"/>
  <c r="BJ48" i="12"/>
  <c r="BJ44" i="12"/>
  <c r="BJ40" i="12"/>
  <c r="BJ36" i="12"/>
  <c r="BJ32" i="12"/>
  <c r="BJ28" i="12"/>
  <c r="BJ24" i="12"/>
  <c r="BJ20" i="12"/>
  <c r="BJ16" i="12"/>
  <c r="BJ57" i="12"/>
  <c r="BJ53" i="12"/>
  <c r="BJ49" i="12"/>
  <c r="BJ45" i="12"/>
  <c r="BJ41" i="12"/>
  <c r="BJ37" i="12"/>
  <c r="BJ33" i="12"/>
  <c r="BJ29" i="12"/>
  <c r="BJ25" i="12"/>
  <c r="BJ21" i="12"/>
  <c r="BJ17" i="12"/>
  <c r="BJ13" i="12"/>
  <c r="BJ58" i="12"/>
  <c r="BJ54" i="12"/>
  <c r="BJ50" i="12"/>
  <c r="BJ46" i="12"/>
  <c r="BJ42" i="12"/>
  <c r="BJ38" i="12"/>
  <c r="BJ34" i="12"/>
  <c r="BJ30" i="12"/>
  <c r="BJ26" i="12"/>
  <c r="BJ22" i="12"/>
  <c r="BJ18" i="12"/>
  <c r="BJ14" i="12"/>
  <c r="BN251" i="12"/>
  <c r="BN249" i="12"/>
  <c r="BN250" i="12"/>
  <c r="BN248" i="12"/>
  <c r="BN246" i="12"/>
  <c r="BN247" i="12"/>
  <c r="BN245" i="12"/>
  <c r="BN243" i="12"/>
  <c r="BN239" i="12"/>
  <c r="BN244" i="12"/>
  <c r="BN240" i="12"/>
  <c r="BN241" i="12"/>
  <c r="BN237" i="12"/>
  <c r="BN242" i="12"/>
  <c r="BN238" i="12"/>
  <c r="BN234" i="12"/>
  <c r="BN235" i="12"/>
  <c r="BN231" i="12"/>
  <c r="BN236" i="12"/>
  <c r="BN232" i="12"/>
  <c r="BN233" i="12"/>
  <c r="BN227" i="12"/>
  <c r="BN228" i="12"/>
  <c r="BN229" i="12"/>
  <c r="BN225" i="12"/>
  <c r="BN230" i="12"/>
  <c r="BN226" i="12"/>
  <c r="BN221" i="12"/>
  <c r="BN222" i="12"/>
  <c r="BN218" i="12"/>
  <c r="BN223" i="12"/>
  <c r="BN219" i="12"/>
  <c r="BN224" i="12"/>
  <c r="BN220" i="12"/>
  <c r="BN214" i="12"/>
  <c r="BN210" i="12"/>
  <c r="BN206" i="12"/>
  <c r="BN215" i="12"/>
  <c r="BN211" i="12"/>
  <c r="BN207" i="12"/>
  <c r="BN216" i="12"/>
  <c r="BN212" i="12"/>
  <c r="BN208" i="12"/>
  <c r="BN217" i="12"/>
  <c r="BN213" i="12"/>
  <c r="BN209" i="12"/>
  <c r="BN205" i="12"/>
  <c r="BN203" i="12"/>
  <c r="BN199" i="12"/>
  <c r="BN195" i="12"/>
  <c r="BN204" i="12"/>
  <c r="BN200" i="12"/>
  <c r="BN196" i="12"/>
  <c r="BN201" i="12"/>
  <c r="BN197" i="12"/>
  <c r="BN193" i="12"/>
  <c r="BN202" i="12"/>
  <c r="BN198" i="12"/>
  <c r="BN194" i="12"/>
  <c r="BN192" i="12"/>
  <c r="BN188" i="12"/>
  <c r="BN184" i="12"/>
  <c r="BN180" i="12"/>
  <c r="BN189" i="12"/>
  <c r="BN185" i="12"/>
  <c r="BN181" i="12"/>
  <c r="BN190" i="12"/>
  <c r="BN186" i="12"/>
  <c r="BN182" i="12"/>
  <c r="BN191" i="12"/>
  <c r="BN187" i="12"/>
  <c r="BN183" i="12"/>
  <c r="BN177" i="12"/>
  <c r="BN173" i="12"/>
  <c r="BN169" i="12"/>
  <c r="BN178" i="12"/>
  <c r="BN174" i="12"/>
  <c r="BN170" i="12"/>
  <c r="BN179" i="12"/>
  <c r="BN175" i="12"/>
  <c r="BN171" i="12"/>
  <c r="BN167" i="12"/>
  <c r="BN176" i="12"/>
  <c r="BN172" i="12"/>
  <c r="BN168" i="12"/>
  <c r="BN163" i="12"/>
  <c r="BN159" i="12"/>
  <c r="BN155" i="12"/>
  <c r="BN151" i="12"/>
  <c r="BN147" i="12"/>
  <c r="BN143" i="12"/>
  <c r="BN164" i="12"/>
  <c r="BN160" i="12"/>
  <c r="BN156" i="12"/>
  <c r="BN152" i="12"/>
  <c r="BN148" i="12"/>
  <c r="BN144" i="12"/>
  <c r="BN165" i="12"/>
  <c r="BN161" i="12"/>
  <c r="BN157" i="12"/>
  <c r="BN153" i="12"/>
  <c r="BN149" i="12"/>
  <c r="BN145" i="12"/>
  <c r="BN166" i="12"/>
  <c r="BN162" i="12"/>
  <c r="BN158" i="12"/>
  <c r="BN154" i="12"/>
  <c r="BN150" i="12"/>
  <c r="BN146" i="12"/>
  <c r="BN142" i="12"/>
  <c r="BN141" i="12"/>
  <c r="BN138" i="12"/>
  <c r="BN134" i="12"/>
  <c r="BN130" i="12"/>
  <c r="BN126" i="12"/>
  <c r="BN122" i="12"/>
  <c r="BN118" i="12"/>
  <c r="BN139" i="12"/>
  <c r="BN135" i="12"/>
  <c r="BN131" i="12"/>
  <c r="BN127" i="12"/>
  <c r="BN123" i="12"/>
  <c r="BN119" i="12"/>
  <c r="BN140" i="12"/>
  <c r="BN136" i="12"/>
  <c r="BN132" i="12"/>
  <c r="BN128" i="12"/>
  <c r="BN124" i="12"/>
  <c r="BN120" i="12"/>
  <c r="BN116" i="12"/>
  <c r="BN137" i="12"/>
  <c r="BN133" i="12"/>
  <c r="BN129" i="12"/>
  <c r="BN125" i="12"/>
  <c r="BN121" i="12"/>
  <c r="BN117" i="12"/>
  <c r="BN115" i="12"/>
  <c r="BN111" i="12"/>
  <c r="BN107" i="12"/>
  <c r="BN103" i="12"/>
  <c r="BN99" i="12"/>
  <c r="BN95" i="12"/>
  <c r="BN112" i="12"/>
  <c r="BN108" i="12"/>
  <c r="BN104" i="12"/>
  <c r="BN100" i="12"/>
  <c r="BN96" i="12"/>
  <c r="BN92" i="12"/>
  <c r="BN113" i="12"/>
  <c r="BN109" i="12"/>
  <c r="BN105" i="12"/>
  <c r="BN101" i="12"/>
  <c r="BN97" i="12"/>
  <c r="BN93" i="12"/>
  <c r="BN89" i="12"/>
  <c r="BN114" i="12"/>
  <c r="BN110" i="12"/>
  <c r="BN106" i="12"/>
  <c r="BN102" i="12"/>
  <c r="BN98" i="12"/>
  <c r="BN94" i="12"/>
  <c r="BN90" i="12"/>
  <c r="BN86" i="12"/>
  <c r="BN82" i="12"/>
  <c r="BN78" i="12"/>
  <c r="BN74" i="12"/>
  <c r="BN70" i="12"/>
  <c r="BN66" i="12"/>
  <c r="BN88" i="12"/>
  <c r="BN87" i="12"/>
  <c r="BN83" i="12"/>
  <c r="BN79" i="12"/>
  <c r="BN75" i="12"/>
  <c r="BN71" i="12"/>
  <c r="BN67" i="12"/>
  <c r="BN63" i="12"/>
  <c r="BN91" i="12"/>
  <c r="BN84" i="12"/>
  <c r="BN80" i="12"/>
  <c r="BN76" i="12"/>
  <c r="BN72" i="12"/>
  <c r="BN68" i="12"/>
  <c r="BN64" i="12"/>
  <c r="BN85" i="12"/>
  <c r="BN81" i="12"/>
  <c r="BN77" i="12"/>
  <c r="BN73" i="12"/>
  <c r="BN69" i="12"/>
  <c r="BN65" i="12"/>
  <c r="BN61" i="12"/>
  <c r="BN59" i="12"/>
  <c r="BN55" i="12"/>
  <c r="BN51" i="12"/>
  <c r="BN47" i="12"/>
  <c r="BN43" i="12"/>
  <c r="BN39" i="12"/>
  <c r="BN35" i="12"/>
  <c r="BN31" i="12"/>
  <c r="BN27" i="12"/>
  <c r="BN23" i="12"/>
  <c r="BN19" i="12"/>
  <c r="BN15" i="12"/>
  <c r="BN60" i="12"/>
  <c r="BN56" i="12"/>
  <c r="BN52" i="12"/>
  <c r="BN48" i="12"/>
  <c r="BN44" i="12"/>
  <c r="BN40" i="12"/>
  <c r="BN36" i="12"/>
  <c r="BN32" i="12"/>
  <c r="BN28" i="12"/>
  <c r="BN24" i="12"/>
  <c r="BN20" i="12"/>
  <c r="BN16" i="12"/>
  <c r="BN62" i="12"/>
  <c r="BN57" i="12"/>
  <c r="BN53" i="12"/>
  <c r="BN49" i="12"/>
  <c r="BN45" i="12"/>
  <c r="BN41" i="12"/>
  <c r="BN37" i="12"/>
  <c r="BN33" i="12"/>
  <c r="BN29" i="12"/>
  <c r="BN25" i="12"/>
  <c r="BN21" i="12"/>
  <c r="BN17" i="12"/>
  <c r="BN13" i="12"/>
  <c r="BN58" i="12"/>
  <c r="BN54" i="12"/>
  <c r="BN50" i="12"/>
  <c r="BN46" i="12"/>
  <c r="BN42" i="12"/>
  <c r="BN38" i="12"/>
  <c r="BN34" i="12"/>
  <c r="BN30" i="12"/>
  <c r="BN26" i="12"/>
  <c r="BN22" i="12"/>
  <c r="BN18" i="12"/>
  <c r="BN14" i="12"/>
  <c r="BR251" i="12"/>
  <c r="BR249" i="12"/>
  <c r="BR248" i="12"/>
  <c r="BR250" i="12"/>
  <c r="BR246" i="12"/>
  <c r="BR247" i="12"/>
  <c r="BR245" i="12"/>
  <c r="BR243" i="12"/>
  <c r="BR239" i="12"/>
  <c r="BR240" i="12"/>
  <c r="BR241" i="12"/>
  <c r="BR244" i="12"/>
  <c r="BR242" i="12"/>
  <c r="BR237" i="12"/>
  <c r="BR238" i="12"/>
  <c r="BR234" i="12"/>
  <c r="BR235" i="12"/>
  <c r="BR231" i="12"/>
  <c r="BR236" i="12"/>
  <c r="BR232" i="12"/>
  <c r="BR233" i="12"/>
  <c r="BR227" i="12"/>
  <c r="BR228" i="12"/>
  <c r="BR229" i="12"/>
  <c r="BR225" i="12"/>
  <c r="BR230" i="12"/>
  <c r="BR226" i="12"/>
  <c r="BR221" i="12"/>
  <c r="BR222" i="12"/>
  <c r="BR218" i="12"/>
  <c r="BR223" i="12"/>
  <c r="BR219" i="12"/>
  <c r="BR224" i="12"/>
  <c r="BR220" i="12"/>
  <c r="BR214" i="12"/>
  <c r="BR210" i="12"/>
  <c r="BR206" i="12"/>
  <c r="BR215" i="12"/>
  <c r="BR211" i="12"/>
  <c r="BR207" i="12"/>
  <c r="BR216" i="12"/>
  <c r="BR212" i="12"/>
  <c r="BR208" i="12"/>
  <c r="BR217" i="12"/>
  <c r="BR213" i="12"/>
  <c r="BR209" i="12"/>
  <c r="BR205" i="12"/>
  <c r="BR203" i="12"/>
  <c r="BR199" i="12"/>
  <c r="BR195" i="12"/>
  <c r="BR204" i="12"/>
  <c r="BR200" i="12"/>
  <c r="BR196" i="12"/>
  <c r="BR201" i="12"/>
  <c r="BR197" i="12"/>
  <c r="BR193" i="12"/>
  <c r="BR202" i="12"/>
  <c r="BR198" i="12"/>
  <c r="BR194" i="12"/>
  <c r="BR192" i="12"/>
  <c r="BR188" i="12"/>
  <c r="BR184" i="12"/>
  <c r="BR180" i="12"/>
  <c r="BR189" i="12"/>
  <c r="BR185" i="12"/>
  <c r="BR181" i="12"/>
  <c r="BR190" i="12"/>
  <c r="BR186" i="12"/>
  <c r="BR182" i="12"/>
  <c r="BR191" i="12"/>
  <c r="BR187" i="12"/>
  <c r="BR183" i="12"/>
  <c r="BR177" i="12"/>
  <c r="BR173" i="12"/>
  <c r="BR169" i="12"/>
  <c r="BR178" i="12"/>
  <c r="BR174" i="12"/>
  <c r="BR170" i="12"/>
  <c r="BR179" i="12"/>
  <c r="BR175" i="12"/>
  <c r="BR171" i="12"/>
  <c r="BR167" i="12"/>
  <c r="BR176" i="12"/>
  <c r="BR172" i="12"/>
  <c r="BR168" i="12"/>
  <c r="BR163" i="12"/>
  <c r="BR159" i="12"/>
  <c r="BR155" i="12"/>
  <c r="BR151" i="12"/>
  <c r="BR147" i="12"/>
  <c r="BR143" i="12"/>
  <c r="BR164" i="12"/>
  <c r="BR160" i="12"/>
  <c r="BR156" i="12"/>
  <c r="BR152" i="12"/>
  <c r="BR148" i="12"/>
  <c r="BR144" i="12"/>
  <c r="BR165" i="12"/>
  <c r="BR161" i="12"/>
  <c r="BR157" i="12"/>
  <c r="BR153" i="12"/>
  <c r="BR149" i="12"/>
  <c r="BR145" i="12"/>
  <c r="BR166" i="12"/>
  <c r="BR162" i="12"/>
  <c r="BR158" i="12"/>
  <c r="BR154" i="12"/>
  <c r="BR150" i="12"/>
  <c r="BR146" i="12"/>
  <c r="BR142" i="12"/>
  <c r="BR138" i="12"/>
  <c r="BR134" i="12"/>
  <c r="BR130" i="12"/>
  <c r="BR126" i="12"/>
  <c r="BR122" i="12"/>
  <c r="BR118" i="12"/>
  <c r="BR141" i="12"/>
  <c r="BR139" i="12"/>
  <c r="BR135" i="12"/>
  <c r="BR131" i="12"/>
  <c r="BR127" i="12"/>
  <c r="BR123" i="12"/>
  <c r="BR119" i="12"/>
  <c r="BR140" i="12"/>
  <c r="BR136" i="12"/>
  <c r="BR132" i="12"/>
  <c r="BR128" i="12"/>
  <c r="BR124" i="12"/>
  <c r="BR120" i="12"/>
  <c r="BR116" i="12"/>
  <c r="BR137" i="12"/>
  <c r="BR133" i="12"/>
  <c r="BR129" i="12"/>
  <c r="BR125" i="12"/>
  <c r="BR121" i="12"/>
  <c r="BR117" i="12"/>
  <c r="BR115" i="12"/>
  <c r="BR111" i="12"/>
  <c r="BR107" i="12"/>
  <c r="BR103" i="12"/>
  <c r="BR99" i="12"/>
  <c r="BR95" i="12"/>
  <c r="BR112" i="12"/>
  <c r="BR108" i="12"/>
  <c r="BR104" i="12"/>
  <c r="BR100" i="12"/>
  <c r="BR96" i="12"/>
  <c r="BR92" i="12"/>
  <c r="BR113" i="12"/>
  <c r="BR109" i="12"/>
  <c r="BR105" i="12"/>
  <c r="BR101" i="12"/>
  <c r="BR97" i="12"/>
  <c r="BR93" i="12"/>
  <c r="BR89" i="12"/>
  <c r="BR114" i="12"/>
  <c r="BR110" i="12"/>
  <c r="BR106" i="12"/>
  <c r="BR102" i="12"/>
  <c r="BR98" i="12"/>
  <c r="BR94" i="12"/>
  <c r="BR90" i="12"/>
  <c r="BR86" i="12"/>
  <c r="BR82" i="12"/>
  <c r="BR78" i="12"/>
  <c r="BR74" i="12"/>
  <c r="BR70" i="12"/>
  <c r="BR66" i="12"/>
  <c r="BR91" i="12"/>
  <c r="BR83" i="12"/>
  <c r="BR79" i="12"/>
  <c r="BR75" i="12"/>
  <c r="BR71" i="12"/>
  <c r="BR67" i="12"/>
  <c r="BR63" i="12"/>
  <c r="BR87" i="12"/>
  <c r="BR84" i="12"/>
  <c r="BR80" i="12"/>
  <c r="BR76" i="12"/>
  <c r="BR72" i="12"/>
  <c r="BR68" i="12"/>
  <c r="BR64" i="12"/>
  <c r="BR88" i="12"/>
  <c r="BR85" i="12"/>
  <c r="BR81" i="12"/>
  <c r="BR77" i="12"/>
  <c r="BR73" i="12"/>
  <c r="BR69" i="12"/>
  <c r="BR65" i="12"/>
  <c r="BR61" i="12"/>
  <c r="BR62" i="12"/>
  <c r="BR59" i="12"/>
  <c r="BR55" i="12"/>
  <c r="BR51" i="12"/>
  <c r="BR47" i="12"/>
  <c r="BR43" i="12"/>
  <c r="BR39" i="12"/>
  <c r="BR35" i="12"/>
  <c r="BR31" i="12"/>
  <c r="BR27" i="12"/>
  <c r="BR23" i="12"/>
  <c r="BR19" i="12"/>
  <c r="BR15" i="12"/>
  <c r="BR60" i="12"/>
  <c r="BR56" i="12"/>
  <c r="BR52" i="12"/>
  <c r="BR48" i="12"/>
  <c r="BR44" i="12"/>
  <c r="BR40" i="12"/>
  <c r="BR36" i="12"/>
  <c r="BR32" i="12"/>
  <c r="BR28" i="12"/>
  <c r="BR24" i="12"/>
  <c r="BR20" i="12"/>
  <c r="BR16" i="12"/>
  <c r="BR57" i="12"/>
  <c r="BR53" i="12"/>
  <c r="BR49" i="12"/>
  <c r="BR45" i="12"/>
  <c r="BR41" i="12"/>
  <c r="BR37" i="12"/>
  <c r="BR33" i="12"/>
  <c r="BR29" i="12"/>
  <c r="BR25" i="12"/>
  <c r="BR21" i="12"/>
  <c r="BR17" i="12"/>
  <c r="BR13" i="12"/>
  <c r="BR58" i="12"/>
  <c r="BR54" i="12"/>
  <c r="BR50" i="12"/>
  <c r="BR46" i="12"/>
  <c r="BR42" i="12"/>
  <c r="BR38" i="12"/>
  <c r="BR34" i="12"/>
  <c r="BR30" i="12"/>
  <c r="BR26" i="12"/>
  <c r="BR22" i="12"/>
  <c r="BR18" i="12"/>
  <c r="BR14" i="12"/>
  <c r="BV251" i="12"/>
  <c r="BV249" i="12"/>
  <c r="BV250" i="12"/>
  <c r="BV248" i="12"/>
  <c r="BV246" i="12"/>
  <c r="BV245" i="12"/>
  <c r="BV243" i="12"/>
  <c r="BV239" i="12"/>
  <c r="BV244" i="12"/>
  <c r="BV240" i="12"/>
  <c r="BV241" i="12"/>
  <c r="BV247" i="12"/>
  <c r="BV242" i="12"/>
  <c r="BV237" i="12"/>
  <c r="BV238" i="12"/>
  <c r="BV234" i="12"/>
  <c r="BV235" i="12"/>
  <c r="BV231" i="12"/>
  <c r="BV236" i="12"/>
  <c r="BV232" i="12"/>
  <c r="BV233" i="12"/>
  <c r="BV227" i="12"/>
  <c r="BV228" i="12"/>
  <c r="BV229" i="12"/>
  <c r="BV225" i="12"/>
  <c r="BV230" i="12"/>
  <c r="BV226" i="12"/>
  <c r="BV221" i="12"/>
  <c r="BV222" i="12"/>
  <c r="BV218" i="12"/>
  <c r="BV223" i="12"/>
  <c r="BV219" i="12"/>
  <c r="BV224" i="12"/>
  <c r="BV220" i="12"/>
  <c r="BV214" i="12"/>
  <c r="BV210" i="12"/>
  <c r="BV206" i="12"/>
  <c r="BV215" i="12"/>
  <c r="BV211" i="12"/>
  <c r="BV207" i="12"/>
  <c r="BV216" i="12"/>
  <c r="BV212" i="12"/>
  <c r="BV208" i="12"/>
  <c r="BV217" i="12"/>
  <c r="BV213" i="12"/>
  <c r="BV209" i="12"/>
  <c r="BV205" i="12"/>
  <c r="BV203" i="12"/>
  <c r="BV199" i="12"/>
  <c r="BV195" i="12"/>
  <c r="BV204" i="12"/>
  <c r="BV200" i="12"/>
  <c r="BV196" i="12"/>
  <c r="BV201" i="12"/>
  <c r="BV197" i="12"/>
  <c r="BV193" i="12"/>
  <c r="BV202" i="12"/>
  <c r="BV198" i="12"/>
  <c r="BV194" i="12"/>
  <c r="BV192" i="12"/>
  <c r="BV188" i="12"/>
  <c r="BV184" i="12"/>
  <c r="BV180" i="12"/>
  <c r="BV189" i="12"/>
  <c r="BV185" i="12"/>
  <c r="BV181" i="12"/>
  <c r="BV190" i="12"/>
  <c r="BV186" i="12"/>
  <c r="BV182" i="12"/>
  <c r="BV191" i="12"/>
  <c r="BV187" i="12"/>
  <c r="BV183" i="12"/>
  <c r="BV177" i="12"/>
  <c r="BV173" i="12"/>
  <c r="BV169" i="12"/>
  <c r="BV178" i="12"/>
  <c r="BV174" i="12"/>
  <c r="BV170" i="12"/>
  <c r="BV179" i="12"/>
  <c r="BV175" i="12"/>
  <c r="BV171" i="12"/>
  <c r="BV167" i="12"/>
  <c r="BV176" i="12"/>
  <c r="BV172" i="12"/>
  <c r="BV168" i="12"/>
  <c r="BV163" i="12"/>
  <c r="BV159" i="12"/>
  <c r="BV155" i="12"/>
  <c r="BV151" i="12"/>
  <c r="BV147" i="12"/>
  <c r="BV143" i="12"/>
  <c r="BV164" i="12"/>
  <c r="BV160" i="12"/>
  <c r="BV156" i="12"/>
  <c r="BV152" i="12"/>
  <c r="BV148" i="12"/>
  <c r="BV144" i="12"/>
  <c r="BV165" i="12"/>
  <c r="BV161" i="12"/>
  <c r="BV157" i="12"/>
  <c r="BV153" i="12"/>
  <c r="BV149" i="12"/>
  <c r="BV145" i="12"/>
  <c r="BV166" i="12"/>
  <c r="BV162" i="12"/>
  <c r="BV158" i="12"/>
  <c r="BV154" i="12"/>
  <c r="BV150" i="12"/>
  <c r="BV146" i="12"/>
  <c r="BV142" i="12"/>
  <c r="BV138" i="12"/>
  <c r="BV134" i="12"/>
  <c r="BV130" i="12"/>
  <c r="BV126" i="12"/>
  <c r="BV122" i="12"/>
  <c r="BV118" i="12"/>
  <c r="BV139" i="12"/>
  <c r="BV135" i="12"/>
  <c r="BV131" i="12"/>
  <c r="BV127" i="12"/>
  <c r="BV123" i="12"/>
  <c r="BV119" i="12"/>
  <c r="BV141" i="12"/>
  <c r="BV140" i="12"/>
  <c r="BV136" i="12"/>
  <c r="BV132" i="12"/>
  <c r="BV128" i="12"/>
  <c r="BV124" i="12"/>
  <c r="BV120" i="12"/>
  <c r="BV116" i="12"/>
  <c r="BV137" i="12"/>
  <c r="BV133" i="12"/>
  <c r="BV129" i="12"/>
  <c r="BV125" i="12"/>
  <c r="BV121" i="12"/>
  <c r="BV117" i="12"/>
  <c r="BV115" i="12"/>
  <c r="BV111" i="12"/>
  <c r="BV107" i="12"/>
  <c r="BV103" i="12"/>
  <c r="BV99" i="12"/>
  <c r="BV95" i="12"/>
  <c r="BV112" i="12"/>
  <c r="BV108" i="12"/>
  <c r="BV104" i="12"/>
  <c r="BV100" i="12"/>
  <c r="BV96" i="12"/>
  <c r="BV92" i="12"/>
  <c r="BV113" i="12"/>
  <c r="BV109" i="12"/>
  <c r="BV105" i="12"/>
  <c r="BV101" i="12"/>
  <c r="BV97" i="12"/>
  <c r="BV93" i="12"/>
  <c r="BV89" i="12"/>
  <c r="BV114" i="12"/>
  <c r="BV110" i="12"/>
  <c r="BV106" i="12"/>
  <c r="BV102" i="12"/>
  <c r="BV98" i="12"/>
  <c r="BV94" i="12"/>
  <c r="BV90" i="12"/>
  <c r="BV91" i="12"/>
  <c r="BV86" i="12"/>
  <c r="BV82" i="12"/>
  <c r="BV78" i="12"/>
  <c r="BV74" i="12"/>
  <c r="BV70" i="12"/>
  <c r="BV66" i="12"/>
  <c r="BV88" i="12"/>
  <c r="BV83" i="12"/>
  <c r="BV79" i="12"/>
  <c r="BV75" i="12"/>
  <c r="BV71" i="12"/>
  <c r="BV67" i="12"/>
  <c r="BV63" i="12"/>
  <c r="BV84" i="12"/>
  <c r="BV80" i="12"/>
  <c r="BV76" i="12"/>
  <c r="BV72" i="12"/>
  <c r="BV68" i="12"/>
  <c r="BV64" i="12"/>
  <c r="BV87" i="12"/>
  <c r="BV85" i="12"/>
  <c r="BV81" i="12"/>
  <c r="BV77" i="12"/>
  <c r="BV73" i="12"/>
  <c r="BV69" i="12"/>
  <c r="BV65" i="12"/>
  <c r="BV61" i="12"/>
  <c r="BV59" i="12"/>
  <c r="BV55" i="12"/>
  <c r="BV51" i="12"/>
  <c r="BV47" i="12"/>
  <c r="BV43" i="12"/>
  <c r="BV39" i="12"/>
  <c r="BV35" i="12"/>
  <c r="BV31" i="12"/>
  <c r="BV27" i="12"/>
  <c r="BV23" i="12"/>
  <c r="BV19" i="12"/>
  <c r="BV15" i="12"/>
  <c r="BV60" i="12"/>
  <c r="BV56" i="12"/>
  <c r="BV52" i="12"/>
  <c r="BV48" i="12"/>
  <c r="BV44" i="12"/>
  <c r="BV40" i="12"/>
  <c r="BV36" i="12"/>
  <c r="BV32" i="12"/>
  <c r="BV28" i="12"/>
  <c r="BV24" i="12"/>
  <c r="BV20" i="12"/>
  <c r="BV16" i="12"/>
  <c r="BV62" i="12"/>
  <c r="BV57" i="12"/>
  <c r="BV53" i="12"/>
  <c r="BV49" i="12"/>
  <c r="BV45" i="12"/>
  <c r="BV41" i="12"/>
  <c r="BV37" i="12"/>
  <c r="BV33" i="12"/>
  <c r="BV29" i="12"/>
  <c r="BV25" i="12"/>
  <c r="BV21" i="12"/>
  <c r="BV17" i="12"/>
  <c r="BV13" i="12"/>
  <c r="BV58" i="12"/>
  <c r="BV54" i="12"/>
  <c r="BV50" i="12"/>
  <c r="BV46" i="12"/>
  <c r="BV42" i="12"/>
  <c r="BV38" i="12"/>
  <c r="BV34" i="12"/>
  <c r="BV30" i="12"/>
  <c r="BV26" i="12"/>
  <c r="BV22" i="12"/>
  <c r="BV18" i="12"/>
  <c r="BV14" i="12"/>
  <c r="BZ251" i="12"/>
  <c r="BZ249" i="12"/>
  <c r="BZ248" i="12"/>
  <c r="BZ250" i="12"/>
  <c r="BZ246" i="12"/>
  <c r="BZ247" i="12"/>
  <c r="BZ245" i="12"/>
  <c r="BZ243" i="12"/>
  <c r="BZ239" i="12"/>
  <c r="BZ240" i="12"/>
  <c r="BZ241" i="12"/>
  <c r="BZ242" i="12"/>
  <c r="BZ244" i="12"/>
  <c r="BZ237" i="12"/>
  <c r="BZ238" i="12"/>
  <c r="BZ234" i="12"/>
  <c r="BZ235" i="12"/>
  <c r="BZ231" i="12"/>
  <c r="BZ236" i="12"/>
  <c r="BZ232" i="12"/>
  <c r="BZ233" i="12"/>
  <c r="BZ227" i="12"/>
  <c r="BZ228" i="12"/>
  <c r="BZ224" i="12"/>
  <c r="BZ229" i="12"/>
  <c r="BZ225" i="12"/>
  <c r="BZ230" i="12"/>
  <c r="BZ226" i="12"/>
  <c r="BZ221" i="12"/>
  <c r="BZ222" i="12"/>
  <c r="BZ218" i="12"/>
  <c r="BZ223" i="12"/>
  <c r="BZ219" i="12"/>
  <c r="BZ220" i="12"/>
  <c r="BZ214" i="12"/>
  <c r="BZ210" i="12"/>
  <c r="BZ206" i="12"/>
  <c r="BZ215" i="12"/>
  <c r="BZ211" i="12"/>
  <c r="BZ207" i="12"/>
  <c r="BZ216" i="12"/>
  <c r="BZ212" i="12"/>
  <c r="BZ208" i="12"/>
  <c r="BZ217" i="12"/>
  <c r="BZ213" i="12"/>
  <c r="BZ209" i="12"/>
  <c r="BZ205" i="12"/>
  <c r="BZ203" i="12"/>
  <c r="BZ199" i="12"/>
  <c r="BZ195" i="12"/>
  <c r="BZ204" i="12"/>
  <c r="BZ200" i="12"/>
  <c r="BZ196" i="12"/>
  <c r="BZ201" i="12"/>
  <c r="BZ197" i="12"/>
  <c r="BZ193" i="12"/>
  <c r="BZ202" i="12"/>
  <c r="BZ198" i="12"/>
  <c r="BZ194" i="12"/>
  <c r="BZ192" i="12"/>
  <c r="BZ188" i="12"/>
  <c r="BZ184" i="12"/>
  <c r="BZ180" i="12"/>
  <c r="BZ189" i="12"/>
  <c r="BZ185" i="12"/>
  <c r="BZ181" i="12"/>
  <c r="BZ190" i="12"/>
  <c r="BZ186" i="12"/>
  <c r="BZ182" i="12"/>
  <c r="BZ191" i="12"/>
  <c r="BZ187" i="12"/>
  <c r="BZ183" i="12"/>
  <c r="BZ177" i="12"/>
  <c r="BZ173" i="12"/>
  <c r="BZ169" i="12"/>
  <c r="BZ178" i="12"/>
  <c r="BZ174" i="12"/>
  <c r="BZ170" i="12"/>
  <c r="BZ179" i="12"/>
  <c r="BZ175" i="12"/>
  <c r="BZ171" i="12"/>
  <c r="BZ167" i="12"/>
  <c r="BZ176" i="12"/>
  <c r="BZ172" i="12"/>
  <c r="BZ168" i="12"/>
  <c r="BZ163" i="12"/>
  <c r="BZ159" i="12"/>
  <c r="BZ155" i="12"/>
  <c r="BZ151" i="12"/>
  <c r="BZ147" i="12"/>
  <c r="BZ143" i="12"/>
  <c r="BZ164" i="12"/>
  <c r="BZ160" i="12"/>
  <c r="BZ156" i="12"/>
  <c r="BZ152" i="12"/>
  <c r="BZ148" i="12"/>
  <c r="BZ144" i="12"/>
  <c r="BZ165" i="12"/>
  <c r="BZ161" i="12"/>
  <c r="BZ157" i="12"/>
  <c r="BZ153" i="12"/>
  <c r="BZ149" i="12"/>
  <c r="BZ145" i="12"/>
  <c r="BZ166" i="12"/>
  <c r="BZ162" i="12"/>
  <c r="BZ158" i="12"/>
  <c r="BZ154" i="12"/>
  <c r="BZ150" i="12"/>
  <c r="BZ146" i="12"/>
  <c r="BZ142" i="12"/>
  <c r="BZ141" i="12"/>
  <c r="BZ138" i="12"/>
  <c r="BZ134" i="12"/>
  <c r="BZ130" i="12"/>
  <c r="BZ126" i="12"/>
  <c r="BZ122" i="12"/>
  <c r="BZ118" i="12"/>
  <c r="BZ139" i="12"/>
  <c r="BZ135" i="12"/>
  <c r="BZ131" i="12"/>
  <c r="BZ127" i="12"/>
  <c r="BZ123" i="12"/>
  <c r="BZ119" i="12"/>
  <c r="BZ140" i="12"/>
  <c r="BZ136" i="12"/>
  <c r="BZ132" i="12"/>
  <c r="BZ128" i="12"/>
  <c r="BZ124" i="12"/>
  <c r="BZ120" i="12"/>
  <c r="BZ116" i="12"/>
  <c r="BZ137" i="12"/>
  <c r="BZ133" i="12"/>
  <c r="BZ129" i="12"/>
  <c r="BZ125" i="12"/>
  <c r="BZ121" i="12"/>
  <c r="BZ117" i="12"/>
  <c r="BZ115" i="12"/>
  <c r="BZ111" i="12"/>
  <c r="BZ107" i="12"/>
  <c r="BZ103" i="12"/>
  <c r="BZ99" i="12"/>
  <c r="BZ95" i="12"/>
  <c r="BZ112" i="12"/>
  <c r="BZ108" i="12"/>
  <c r="BZ104" i="12"/>
  <c r="BZ100" i="12"/>
  <c r="BZ96" i="12"/>
  <c r="BZ92" i="12"/>
  <c r="BZ113" i="12"/>
  <c r="BZ109" i="12"/>
  <c r="BZ105" i="12"/>
  <c r="BZ101" i="12"/>
  <c r="BZ97" i="12"/>
  <c r="BZ93" i="12"/>
  <c r="BZ89" i="12"/>
  <c r="BZ114" i="12"/>
  <c r="BZ110" i="12"/>
  <c r="BZ106" i="12"/>
  <c r="BZ102" i="12"/>
  <c r="BZ98" i="12"/>
  <c r="BZ94" i="12"/>
  <c r="BZ90" i="12"/>
  <c r="BZ87" i="12"/>
  <c r="BZ86" i="12"/>
  <c r="BZ82" i="12"/>
  <c r="BZ78" i="12"/>
  <c r="BZ74" i="12"/>
  <c r="BZ70" i="12"/>
  <c r="BZ66" i="12"/>
  <c r="BZ83" i="12"/>
  <c r="BZ79" i="12"/>
  <c r="BZ75" i="12"/>
  <c r="BZ71" i="12"/>
  <c r="BZ67" i="12"/>
  <c r="BZ63" i="12"/>
  <c r="BZ84" i="12"/>
  <c r="BZ80" i="12"/>
  <c r="BZ76" i="12"/>
  <c r="BZ72" i="12"/>
  <c r="BZ68" i="12"/>
  <c r="BZ64" i="12"/>
  <c r="BZ91" i="12"/>
  <c r="BZ88" i="12"/>
  <c r="BZ85" i="12"/>
  <c r="BZ81" i="12"/>
  <c r="BZ77" i="12"/>
  <c r="BZ73" i="12"/>
  <c r="BZ69" i="12"/>
  <c r="BZ65" i="12"/>
  <c r="BZ61" i="12"/>
  <c r="BZ62" i="12"/>
  <c r="BZ59" i="12"/>
  <c r="BZ55" i="12"/>
  <c r="BZ51" i="12"/>
  <c r="BZ47" i="12"/>
  <c r="BZ43" i="12"/>
  <c r="BZ39" i="12"/>
  <c r="BZ35" i="12"/>
  <c r="BZ31" i="12"/>
  <c r="BZ27" i="12"/>
  <c r="BZ23" i="12"/>
  <c r="BZ19" i="12"/>
  <c r="BZ15" i="12"/>
  <c r="BZ60" i="12"/>
  <c r="BZ56" i="12"/>
  <c r="BZ52" i="12"/>
  <c r="BZ48" i="12"/>
  <c r="BZ44" i="12"/>
  <c r="BZ40" i="12"/>
  <c r="BZ36" i="12"/>
  <c r="BZ32" i="12"/>
  <c r="BZ28" i="12"/>
  <c r="BZ24" i="12"/>
  <c r="BZ20" i="12"/>
  <c r="BZ16" i="12"/>
  <c r="BZ57" i="12"/>
  <c r="BZ53" i="12"/>
  <c r="BZ49" i="12"/>
  <c r="BZ45" i="12"/>
  <c r="BZ41" i="12"/>
  <c r="BZ37" i="12"/>
  <c r="BZ33" i="12"/>
  <c r="BZ29" i="12"/>
  <c r="BZ25" i="12"/>
  <c r="BZ21" i="12"/>
  <c r="BZ17" i="12"/>
  <c r="BZ13" i="12"/>
  <c r="BZ58" i="12"/>
  <c r="BZ54" i="12"/>
  <c r="BZ50" i="12"/>
  <c r="BZ46" i="12"/>
  <c r="BZ42" i="12"/>
  <c r="BZ38" i="12"/>
  <c r="BZ34" i="12"/>
  <c r="BZ30" i="12"/>
  <c r="BZ26" i="12"/>
  <c r="BZ22" i="12"/>
  <c r="BZ18" i="12"/>
  <c r="BZ14" i="12"/>
  <c r="CD251" i="12"/>
  <c r="CD249" i="12"/>
  <c r="CD250" i="12"/>
  <c r="CD248" i="12"/>
  <c r="CD246" i="12"/>
  <c r="CD247" i="12"/>
  <c r="CD245" i="12"/>
  <c r="CD243" i="12"/>
  <c r="CD239" i="12"/>
  <c r="CD244" i="12"/>
  <c r="CD240" i="12"/>
  <c r="CD241" i="12"/>
  <c r="CD237" i="12"/>
  <c r="CD242" i="12"/>
  <c r="CD238" i="12"/>
  <c r="CD234" i="12"/>
  <c r="CD235" i="12"/>
  <c r="CD231" i="12"/>
  <c r="CD236" i="12"/>
  <c r="CD232" i="12"/>
  <c r="CD233" i="12"/>
  <c r="CD227" i="12"/>
  <c r="CD228" i="12"/>
  <c r="CD224" i="12"/>
  <c r="CD229" i="12"/>
  <c r="CD225" i="12"/>
  <c r="CD230" i="12"/>
  <c r="CD226" i="12"/>
  <c r="CD221" i="12"/>
  <c r="CD222" i="12"/>
  <c r="CD218" i="12"/>
  <c r="CD223" i="12"/>
  <c r="CD219" i="12"/>
  <c r="CD220" i="12"/>
  <c r="CD214" i="12"/>
  <c r="CD210" i="12"/>
  <c r="CD206" i="12"/>
  <c r="CD215" i="12"/>
  <c r="CD211" i="12"/>
  <c r="CD207" i="12"/>
  <c r="CD216" i="12"/>
  <c r="CD212" i="12"/>
  <c r="CD208" i="12"/>
  <c r="CD217" i="12"/>
  <c r="CD213" i="12"/>
  <c r="CD209" i="12"/>
  <c r="CD205" i="12"/>
  <c r="CD203" i="12"/>
  <c r="CD199" i="12"/>
  <c r="CD195" i="12"/>
  <c r="CD204" i="12"/>
  <c r="CD200" i="12"/>
  <c r="CD196" i="12"/>
  <c r="CD201" i="12"/>
  <c r="CD197" i="12"/>
  <c r="CD193" i="12"/>
  <c r="CD202" i="12"/>
  <c r="CD198" i="12"/>
  <c r="CD194" i="12"/>
  <c r="CD192" i="12"/>
  <c r="CD188" i="12"/>
  <c r="CD184" i="12"/>
  <c r="CD180" i="12"/>
  <c r="CD189" i="12"/>
  <c r="CD185" i="12"/>
  <c r="CD181" i="12"/>
  <c r="CD190" i="12"/>
  <c r="CD186" i="12"/>
  <c r="CD182" i="12"/>
  <c r="CD191" i="12"/>
  <c r="CD187" i="12"/>
  <c r="CD183" i="12"/>
  <c r="CD177" i="12"/>
  <c r="CD173" i="12"/>
  <c r="CD169" i="12"/>
  <c r="CD178" i="12"/>
  <c r="CD174" i="12"/>
  <c r="CD170" i="12"/>
  <c r="CD179" i="12"/>
  <c r="CD175" i="12"/>
  <c r="CD171" i="12"/>
  <c r="CD167" i="12"/>
  <c r="CD176" i="12"/>
  <c r="CD172" i="12"/>
  <c r="CD168" i="12"/>
  <c r="CD163" i="12"/>
  <c r="CD159" i="12"/>
  <c r="CD155" i="12"/>
  <c r="CD151" i="12"/>
  <c r="CD147" i="12"/>
  <c r="CD143" i="12"/>
  <c r="CD164" i="12"/>
  <c r="CD160" i="12"/>
  <c r="CD156" i="12"/>
  <c r="CD152" i="12"/>
  <c r="CD148" i="12"/>
  <c r="CD144" i="12"/>
  <c r="CD165" i="12"/>
  <c r="CD161" i="12"/>
  <c r="CD157" i="12"/>
  <c r="CD153" i="12"/>
  <c r="CD149" i="12"/>
  <c r="CD145" i="12"/>
  <c r="CD141" i="12"/>
  <c r="CD166" i="12"/>
  <c r="CD162" i="12"/>
  <c r="CD158" i="12"/>
  <c r="CD154" i="12"/>
  <c r="CD150" i="12"/>
  <c r="CD146" i="12"/>
  <c r="CD142" i="12"/>
  <c r="CD138" i="12"/>
  <c r="CD134" i="12"/>
  <c r="CD130" i="12"/>
  <c r="CD126" i="12"/>
  <c r="CD122" i="12"/>
  <c r="CD118" i="12"/>
  <c r="CD139" i="12"/>
  <c r="CD135" i="12"/>
  <c r="CD131" i="12"/>
  <c r="CD127" i="12"/>
  <c r="CD123" i="12"/>
  <c r="CD119" i="12"/>
  <c r="CD140" i="12"/>
  <c r="CD136" i="12"/>
  <c r="CD132" i="12"/>
  <c r="CD128" i="12"/>
  <c r="CD124" i="12"/>
  <c r="CD120" i="12"/>
  <c r="CD116" i="12"/>
  <c r="CD137" i="12"/>
  <c r="CD133" i="12"/>
  <c r="CD129" i="12"/>
  <c r="CD125" i="12"/>
  <c r="CD121" i="12"/>
  <c r="CD117" i="12"/>
  <c r="CD115" i="12"/>
  <c r="CD111" i="12"/>
  <c r="CD107" i="12"/>
  <c r="CD103" i="12"/>
  <c r="CD99" i="12"/>
  <c r="CD95" i="12"/>
  <c r="CD112" i="12"/>
  <c r="CD108" i="12"/>
  <c r="CD104" i="12"/>
  <c r="CD100" i="12"/>
  <c r="CD96" i="12"/>
  <c r="CD92" i="12"/>
  <c r="CD113" i="12"/>
  <c r="CD109" i="12"/>
  <c r="CD105" i="12"/>
  <c r="CD101" i="12"/>
  <c r="CD97" i="12"/>
  <c r="CD93" i="12"/>
  <c r="CD89" i="12"/>
  <c r="CD114" i="12"/>
  <c r="CD110" i="12"/>
  <c r="CD106" i="12"/>
  <c r="CD102" i="12"/>
  <c r="CD98" i="12"/>
  <c r="CD94" i="12"/>
  <c r="CD90" i="12"/>
  <c r="CD86" i="12"/>
  <c r="CD82" i="12"/>
  <c r="CD78" i="12"/>
  <c r="CD74" i="12"/>
  <c r="CD70" i="12"/>
  <c r="CD66" i="12"/>
  <c r="CD88" i="12"/>
  <c r="CD83" i="12"/>
  <c r="CD79" i="12"/>
  <c r="CD75" i="12"/>
  <c r="CD71" i="12"/>
  <c r="CD67" i="12"/>
  <c r="CD63" i="12"/>
  <c r="CD91" i="12"/>
  <c r="CD87" i="12"/>
  <c r="CD84" i="12"/>
  <c r="CD80" i="12"/>
  <c r="CD76" i="12"/>
  <c r="CD72" i="12"/>
  <c r="CD68" i="12"/>
  <c r="CD64" i="12"/>
  <c r="CD85" i="12"/>
  <c r="CD81" i="12"/>
  <c r="CD77" i="12"/>
  <c r="CD73" i="12"/>
  <c r="CD69" i="12"/>
  <c r="CD65" i="12"/>
  <c r="CD61" i="12"/>
  <c r="CD59" i="12"/>
  <c r="CD55" i="12"/>
  <c r="CD51" i="12"/>
  <c r="CD47" i="12"/>
  <c r="CD43" i="12"/>
  <c r="CD39" i="12"/>
  <c r="CD35" i="12"/>
  <c r="CD31" i="12"/>
  <c r="CD27" i="12"/>
  <c r="CD23" i="12"/>
  <c r="CD19" i="12"/>
  <c r="CD15" i="12"/>
  <c r="CD60" i="12"/>
  <c r="CD56" i="12"/>
  <c r="CD52" i="12"/>
  <c r="CD48" i="12"/>
  <c r="CD44" i="12"/>
  <c r="CD40" i="12"/>
  <c r="CD36" i="12"/>
  <c r="CD32" i="12"/>
  <c r="CD28" i="12"/>
  <c r="CD24" i="12"/>
  <c r="CD20" i="12"/>
  <c r="CD16" i="12"/>
  <c r="CD62" i="12"/>
  <c r="CD57" i="12"/>
  <c r="CD53" i="12"/>
  <c r="CD49" i="12"/>
  <c r="CD45" i="12"/>
  <c r="CD41" i="12"/>
  <c r="CD37" i="12"/>
  <c r="CD33" i="12"/>
  <c r="CD29" i="12"/>
  <c r="CD25" i="12"/>
  <c r="CD21" i="12"/>
  <c r="CD17" i="12"/>
  <c r="CD13" i="12"/>
  <c r="CD58" i="12"/>
  <c r="CD54" i="12"/>
  <c r="CD50" i="12"/>
  <c r="CD46" i="12"/>
  <c r="CD42" i="12"/>
  <c r="CD38" i="12"/>
  <c r="CD34" i="12"/>
  <c r="CD30" i="12"/>
  <c r="CD26" i="12"/>
  <c r="CD22" i="12"/>
  <c r="CD18" i="12"/>
  <c r="CD14" i="12"/>
  <c r="CH251" i="12"/>
  <c r="CH249" i="12"/>
  <c r="CH248" i="12"/>
  <c r="CH250" i="12"/>
  <c r="CH246" i="12"/>
  <c r="CH247" i="12"/>
  <c r="CH245" i="12"/>
  <c r="CH243" i="12"/>
  <c r="CH239" i="12"/>
  <c r="CH240" i="12"/>
  <c r="CH241" i="12"/>
  <c r="CH244" i="12"/>
  <c r="CH242" i="12"/>
  <c r="CH237" i="12"/>
  <c r="CH238" i="12"/>
  <c r="CH234" i="12"/>
  <c r="CH235" i="12"/>
  <c r="CH231" i="12"/>
  <c r="CH236" i="12"/>
  <c r="CH232" i="12"/>
  <c r="CH233" i="12"/>
  <c r="CH227" i="12"/>
  <c r="CH228" i="12"/>
  <c r="CH224" i="12"/>
  <c r="CH229" i="12"/>
  <c r="CH225" i="12"/>
  <c r="CH230" i="12"/>
  <c r="CH226" i="12"/>
  <c r="CH221" i="12"/>
  <c r="CH222" i="12"/>
  <c r="CH218" i="12"/>
  <c r="CH223" i="12"/>
  <c r="CH219" i="12"/>
  <c r="CH220" i="12"/>
  <c r="CH214" i="12"/>
  <c r="CH210" i="12"/>
  <c r="CH206" i="12"/>
  <c r="CH215" i="12"/>
  <c r="CH211" i="12"/>
  <c r="CH207" i="12"/>
  <c r="CH216" i="12"/>
  <c r="CH212" i="12"/>
  <c r="CH208" i="12"/>
  <c r="CH217" i="12"/>
  <c r="CH213" i="12"/>
  <c r="CH209" i="12"/>
  <c r="CH205" i="12"/>
  <c r="CH203" i="12"/>
  <c r="CH199" i="12"/>
  <c r="CH195" i="12"/>
  <c r="CH204" i="12"/>
  <c r="CH200" i="12"/>
  <c r="CH196" i="12"/>
  <c r="CH201" i="12"/>
  <c r="CH197" i="12"/>
  <c r="CH193" i="12"/>
  <c r="CH202" i="12"/>
  <c r="CH198" i="12"/>
  <c r="CH194" i="12"/>
  <c r="CH192" i="12"/>
  <c r="CH188" i="12"/>
  <c r="CH184" i="12"/>
  <c r="CH180" i="12"/>
  <c r="CH189" i="12"/>
  <c r="CH185" i="12"/>
  <c r="CH181" i="12"/>
  <c r="CH190" i="12"/>
  <c r="CH186" i="12"/>
  <c r="CH182" i="12"/>
  <c r="CH191" i="12"/>
  <c r="CH187" i="12"/>
  <c r="CH183" i="12"/>
  <c r="CH177" i="12"/>
  <c r="CH173" i="12"/>
  <c r="CH169" i="12"/>
  <c r="CH178" i="12"/>
  <c r="CH174" i="12"/>
  <c r="CH170" i="12"/>
  <c r="CH179" i="12"/>
  <c r="CH175" i="12"/>
  <c r="CH171" i="12"/>
  <c r="CH167" i="12"/>
  <c r="CH176" i="12"/>
  <c r="CH172" i="12"/>
  <c r="CH168" i="12"/>
  <c r="CH163" i="12"/>
  <c r="CH159" i="12"/>
  <c r="CH155" i="12"/>
  <c r="CH151" i="12"/>
  <c r="CH147" i="12"/>
  <c r="CH143" i="12"/>
  <c r="CH164" i="12"/>
  <c r="CH160" i="12"/>
  <c r="CH156" i="12"/>
  <c r="CH152" i="12"/>
  <c r="CH148" i="12"/>
  <c r="CH144" i="12"/>
  <c r="CH165" i="12"/>
  <c r="CH161" i="12"/>
  <c r="CH157" i="12"/>
  <c r="CH153" i="12"/>
  <c r="CH149" i="12"/>
  <c r="CH145" i="12"/>
  <c r="CH141" i="12"/>
  <c r="CH166" i="12"/>
  <c r="CH162" i="12"/>
  <c r="CH158" i="12"/>
  <c r="CH154" i="12"/>
  <c r="CH150" i="12"/>
  <c r="CH146" i="12"/>
  <c r="CH142" i="12"/>
  <c r="CH138" i="12"/>
  <c r="CH134" i="12"/>
  <c r="CH130" i="12"/>
  <c r="CH126" i="12"/>
  <c r="CH122" i="12"/>
  <c r="CH118" i="12"/>
  <c r="CH139" i="12"/>
  <c r="CH135" i="12"/>
  <c r="CH131" i="12"/>
  <c r="CH127" i="12"/>
  <c r="CH123" i="12"/>
  <c r="CH119" i="12"/>
  <c r="CH140" i="12"/>
  <c r="CH136" i="12"/>
  <c r="CH132" i="12"/>
  <c r="CH128" i="12"/>
  <c r="CH124" i="12"/>
  <c r="CH120" i="12"/>
  <c r="CH116" i="12"/>
  <c r="CH137" i="12"/>
  <c r="CH133" i="12"/>
  <c r="CH129" i="12"/>
  <c r="CH125" i="12"/>
  <c r="CH121" i="12"/>
  <c r="CH117" i="12"/>
  <c r="CH115" i="12"/>
  <c r="CH111" i="12"/>
  <c r="CH107" i="12"/>
  <c r="CH103" i="12"/>
  <c r="CH99" i="12"/>
  <c r="CH95" i="12"/>
  <c r="CH112" i="12"/>
  <c r="CH108" i="12"/>
  <c r="CH104" i="12"/>
  <c r="CH100" i="12"/>
  <c r="CH96" i="12"/>
  <c r="CH92" i="12"/>
  <c r="CH113" i="12"/>
  <c r="CH109" i="12"/>
  <c r="CH105" i="12"/>
  <c r="CH101" i="12"/>
  <c r="CH97" i="12"/>
  <c r="CH93" i="12"/>
  <c r="CH89" i="12"/>
  <c r="CH114" i="12"/>
  <c r="CH110" i="12"/>
  <c r="CH106" i="12"/>
  <c r="CH102" i="12"/>
  <c r="CH98" i="12"/>
  <c r="CH94" i="12"/>
  <c r="CH90" i="12"/>
  <c r="CH87" i="12"/>
  <c r="CH86" i="12"/>
  <c r="CH82" i="12"/>
  <c r="CH78" i="12"/>
  <c r="CH74" i="12"/>
  <c r="CH70" i="12"/>
  <c r="CH66" i="12"/>
  <c r="CH91" i="12"/>
  <c r="CH83" i="12"/>
  <c r="CH79" i="12"/>
  <c r="CH75" i="12"/>
  <c r="CH71" i="12"/>
  <c r="CH67" i="12"/>
  <c r="CH63" i="12"/>
  <c r="CH84" i="12"/>
  <c r="CH80" i="12"/>
  <c r="CH76" i="12"/>
  <c r="CH72" i="12"/>
  <c r="CH68" i="12"/>
  <c r="CH64" i="12"/>
  <c r="CH88" i="12"/>
  <c r="CH85" i="12"/>
  <c r="CH81" i="12"/>
  <c r="CH77" i="12"/>
  <c r="CH73" i="12"/>
  <c r="CH69" i="12"/>
  <c r="CH65" i="12"/>
  <c r="CH61" i="12"/>
  <c r="CH62" i="12"/>
  <c r="CH59" i="12"/>
  <c r="CH55" i="12"/>
  <c r="CH51" i="12"/>
  <c r="CH47" i="12"/>
  <c r="CH43" i="12"/>
  <c r="CH39" i="12"/>
  <c r="CH35" i="12"/>
  <c r="CH31" i="12"/>
  <c r="CH27" i="12"/>
  <c r="CH23" i="12"/>
  <c r="CH19" i="12"/>
  <c r="CH15" i="12"/>
  <c r="CH60" i="12"/>
  <c r="CH56" i="12"/>
  <c r="CH52" i="12"/>
  <c r="CH48" i="12"/>
  <c r="CH44" i="12"/>
  <c r="CH40" i="12"/>
  <c r="CH36" i="12"/>
  <c r="CH32" i="12"/>
  <c r="CH28" i="12"/>
  <c r="CH24" i="12"/>
  <c r="CH20" i="12"/>
  <c r="CH16" i="12"/>
  <c r="CH57" i="12"/>
  <c r="CH53" i="12"/>
  <c r="CH49" i="12"/>
  <c r="CH45" i="12"/>
  <c r="CH41" i="12"/>
  <c r="CH37" i="12"/>
  <c r="CH33" i="12"/>
  <c r="CH29" i="12"/>
  <c r="CH25" i="12"/>
  <c r="CH21" i="12"/>
  <c r="CH17" i="12"/>
  <c r="CH13" i="12"/>
  <c r="CH58" i="12"/>
  <c r="CH54" i="12"/>
  <c r="CH50" i="12"/>
  <c r="CH46" i="12"/>
  <c r="CH42" i="12"/>
  <c r="CH38" i="12"/>
  <c r="CH34" i="12"/>
  <c r="CH30" i="12"/>
  <c r="CH26" i="12"/>
  <c r="CH22" i="12"/>
  <c r="CH18" i="12"/>
  <c r="CH14" i="12"/>
  <c r="CL250" i="12"/>
  <c r="CL251" i="12"/>
  <c r="CL248" i="12"/>
  <c r="CL249" i="12"/>
  <c r="CL246" i="12"/>
  <c r="CL245" i="12"/>
  <c r="CL243" i="12"/>
  <c r="CL239" i="12"/>
  <c r="CL244" i="12"/>
  <c r="CL240" i="12"/>
  <c r="CL247" i="12"/>
  <c r="CL241" i="12"/>
  <c r="CL242" i="12"/>
  <c r="CL237" i="12"/>
  <c r="CL238" i="12"/>
  <c r="CL234" i="12"/>
  <c r="CL235" i="12"/>
  <c r="CL231" i="12"/>
  <c r="CL236" i="12"/>
  <c r="CL232" i="12"/>
  <c r="CL233" i="12"/>
  <c r="CL227" i="12"/>
  <c r="CL228" i="12"/>
  <c r="CL224" i="12"/>
  <c r="CL229" i="12"/>
  <c r="CL225" i="12"/>
  <c r="CL230" i="12"/>
  <c r="CL226" i="12"/>
  <c r="CL221" i="12"/>
  <c r="CL222" i="12"/>
  <c r="CL218" i="12"/>
  <c r="CL223" i="12"/>
  <c r="CL219" i="12"/>
  <c r="CL220" i="12"/>
  <c r="CL214" i="12"/>
  <c r="CL210" i="12"/>
  <c r="CL206" i="12"/>
  <c r="CL215" i="12"/>
  <c r="CL211" i="12"/>
  <c r="CL207" i="12"/>
  <c r="CL216" i="12"/>
  <c r="CL212" i="12"/>
  <c r="CL208" i="12"/>
  <c r="CL217" i="12"/>
  <c r="CL213" i="12"/>
  <c r="CL209" i="12"/>
  <c r="CL205" i="12"/>
  <c r="CL203" i="12"/>
  <c r="CL199" i="12"/>
  <c r="CL195" i="12"/>
  <c r="CL204" i="12"/>
  <c r="CL200" i="12"/>
  <c r="CL196" i="12"/>
  <c r="CL192" i="12"/>
  <c r="CL201" i="12"/>
  <c r="CL197" i="12"/>
  <c r="CL193" i="12"/>
  <c r="CL202" i="12"/>
  <c r="CL198" i="12"/>
  <c r="CL194" i="12"/>
  <c r="CL188" i="12"/>
  <c r="CL184" i="12"/>
  <c r="CL180" i="12"/>
  <c r="CL189" i="12"/>
  <c r="CL185" i="12"/>
  <c r="CL181" i="12"/>
  <c r="CL190" i="12"/>
  <c r="CL186" i="12"/>
  <c r="CL182" i="12"/>
  <c r="CL191" i="12"/>
  <c r="CL187" i="12"/>
  <c r="CL183" i="12"/>
  <c r="CL177" i="12"/>
  <c r="CL173" i="12"/>
  <c r="CL169" i="12"/>
  <c r="CL178" i="12"/>
  <c r="CL174" i="12"/>
  <c r="CL170" i="12"/>
  <c r="CL179" i="12"/>
  <c r="CL175" i="12"/>
  <c r="CL171" i="12"/>
  <c r="CL167" i="12"/>
  <c r="CL176" i="12"/>
  <c r="CL172" i="12"/>
  <c r="CL168" i="12"/>
  <c r="CL163" i="12"/>
  <c r="CL159" i="12"/>
  <c r="CL155" i="12"/>
  <c r="CL151" i="12"/>
  <c r="CL147" i="12"/>
  <c r="CL143" i="12"/>
  <c r="CL164" i="12"/>
  <c r="CL160" i="12"/>
  <c r="CL156" i="12"/>
  <c r="CL152" i="12"/>
  <c r="CL148" i="12"/>
  <c r="CL144" i="12"/>
  <c r="CL165" i="12"/>
  <c r="CL161" i="12"/>
  <c r="CL157" i="12"/>
  <c r="CL153" i="12"/>
  <c r="CL149" i="12"/>
  <c r="CL145" i="12"/>
  <c r="CL141" i="12"/>
  <c r="CL166" i="12"/>
  <c r="CL162" i="12"/>
  <c r="CL158" i="12"/>
  <c r="CL154" i="12"/>
  <c r="CL150" i="12"/>
  <c r="CL146" i="12"/>
  <c r="CL142" i="12"/>
  <c r="CL138" i="12"/>
  <c r="CL134" i="12"/>
  <c r="CL130" i="12"/>
  <c r="CL126" i="12"/>
  <c r="CL122" i="12"/>
  <c r="CL118" i="12"/>
  <c r="CL139" i="12"/>
  <c r="CL135" i="12"/>
  <c r="CL131" i="12"/>
  <c r="CL127" i="12"/>
  <c r="CL123" i="12"/>
  <c r="CL119" i="12"/>
  <c r="CL140" i="12"/>
  <c r="CL136" i="12"/>
  <c r="CL132" i="12"/>
  <c r="CL128" i="12"/>
  <c r="CL124" i="12"/>
  <c r="CL120" i="12"/>
  <c r="CL116" i="12"/>
  <c r="CL137" i="12"/>
  <c r="CL133" i="12"/>
  <c r="CL129" i="12"/>
  <c r="CL125" i="12"/>
  <c r="CL121" i="12"/>
  <c r="CL117" i="12"/>
  <c r="CL115" i="12"/>
  <c r="CL111" i="12"/>
  <c r="CL107" i="12"/>
  <c r="CL103" i="12"/>
  <c r="CL99" i="12"/>
  <c r="CL95" i="12"/>
  <c r="CL112" i="12"/>
  <c r="CL108" i="12"/>
  <c r="CL104" i="12"/>
  <c r="CL100" i="12"/>
  <c r="CL96" i="12"/>
  <c r="CL92" i="12"/>
  <c r="CL113" i="12"/>
  <c r="CL109" i="12"/>
  <c r="CL105" i="12"/>
  <c r="CL101" i="12"/>
  <c r="CL97" i="12"/>
  <c r="CL93" i="12"/>
  <c r="CL89" i="12"/>
  <c r="CL114" i="12"/>
  <c r="CL110" i="12"/>
  <c r="CL106" i="12"/>
  <c r="CL102" i="12"/>
  <c r="CL98" i="12"/>
  <c r="CL94" i="12"/>
  <c r="CL90" i="12"/>
  <c r="CL91" i="12"/>
  <c r="CL86" i="12"/>
  <c r="CL82" i="12"/>
  <c r="CL78" i="12"/>
  <c r="CL74" i="12"/>
  <c r="CL70" i="12"/>
  <c r="CL66" i="12"/>
  <c r="CL88" i="12"/>
  <c r="CL83" i="12"/>
  <c r="CL79" i="12"/>
  <c r="CL75" i="12"/>
  <c r="CL71" i="12"/>
  <c r="CL67" i="12"/>
  <c r="CL63" i="12"/>
  <c r="CL87" i="12"/>
  <c r="CL84" i="12"/>
  <c r="CL80" i="12"/>
  <c r="CL76" i="12"/>
  <c r="CL72" i="12"/>
  <c r="CL68" i="12"/>
  <c r="CL64" i="12"/>
  <c r="CL85" i="12"/>
  <c r="CL81" i="12"/>
  <c r="CL77" i="12"/>
  <c r="CL73" i="12"/>
  <c r="CL69" i="12"/>
  <c r="CL65" i="12"/>
  <c r="CL61" i="12"/>
  <c r="CL59" i="12"/>
  <c r="CL55" i="12"/>
  <c r="CL51" i="12"/>
  <c r="CL47" i="12"/>
  <c r="CL43" i="12"/>
  <c r="CL39" i="12"/>
  <c r="CL35" i="12"/>
  <c r="CL31" i="12"/>
  <c r="CL27" i="12"/>
  <c r="CL23" i="12"/>
  <c r="CL19" i="12"/>
  <c r="CL15" i="12"/>
  <c r="CL60" i="12"/>
  <c r="CL56" i="12"/>
  <c r="CL52" i="12"/>
  <c r="CL48" i="12"/>
  <c r="CL44" i="12"/>
  <c r="CL40" i="12"/>
  <c r="CL36" i="12"/>
  <c r="CL32" i="12"/>
  <c r="CL28" i="12"/>
  <c r="CL24" i="12"/>
  <c r="CL20" i="12"/>
  <c r="CL16" i="12"/>
  <c r="CL62" i="12"/>
  <c r="CL57" i="12"/>
  <c r="CL53" i="12"/>
  <c r="CL49" i="12"/>
  <c r="CL45" i="12"/>
  <c r="CL41" i="12"/>
  <c r="CL37" i="12"/>
  <c r="CL33" i="12"/>
  <c r="CL29" i="12"/>
  <c r="CL25" i="12"/>
  <c r="CL21" i="12"/>
  <c r="CL17" i="12"/>
  <c r="CL13" i="12"/>
  <c r="CL58" i="12"/>
  <c r="CL54" i="12"/>
  <c r="CL50" i="12"/>
  <c r="CL46" i="12"/>
  <c r="CL42" i="12"/>
  <c r="CL38" i="12"/>
  <c r="CL34" i="12"/>
  <c r="CL30" i="12"/>
  <c r="CL26" i="12"/>
  <c r="CL22" i="12"/>
  <c r="CL18" i="12"/>
  <c r="CL14" i="12"/>
  <c r="CP250" i="12"/>
  <c r="CP251" i="12"/>
  <c r="CP248" i="12"/>
  <c r="CP249" i="12"/>
  <c r="CP246" i="12"/>
  <c r="CP247" i="12"/>
  <c r="CP245" i="12"/>
  <c r="CP243" i="12"/>
  <c r="CP239" i="12"/>
  <c r="CP240" i="12"/>
  <c r="CP241" i="12"/>
  <c r="CP242" i="12"/>
  <c r="CP237" i="12"/>
  <c r="CP244" i="12"/>
  <c r="CP238" i="12"/>
  <c r="CP234" i="12"/>
  <c r="CP235" i="12"/>
  <c r="CP231" i="12"/>
  <c r="CP232" i="12"/>
  <c r="CP236" i="12"/>
  <c r="CP233" i="12"/>
  <c r="CP227" i="12"/>
  <c r="CP228" i="12"/>
  <c r="CP224" i="12"/>
  <c r="CP229" i="12"/>
  <c r="CP225" i="12"/>
  <c r="CP230" i="12"/>
  <c r="CP226" i="12"/>
  <c r="CP221" i="12"/>
  <c r="CP222" i="12"/>
  <c r="CP218" i="12"/>
  <c r="CP223" i="12"/>
  <c r="CP219" i="12"/>
  <c r="CP220" i="12"/>
  <c r="CP214" i="12"/>
  <c r="CP210" i="12"/>
  <c r="CP206" i="12"/>
  <c r="CP215" i="12"/>
  <c r="CP211" i="12"/>
  <c r="CP207" i="12"/>
  <c r="CP216" i="12"/>
  <c r="CP212" i="12"/>
  <c r="CP208" i="12"/>
  <c r="CP217" i="12"/>
  <c r="CP213" i="12"/>
  <c r="CP209" i="12"/>
  <c r="CP205" i="12"/>
  <c r="CP203" i="12"/>
  <c r="CP199" i="12"/>
  <c r="CP195" i="12"/>
  <c r="CP204" i="12"/>
  <c r="CP200" i="12"/>
  <c r="CP196" i="12"/>
  <c r="CP192" i="12"/>
  <c r="CP201" i="12"/>
  <c r="CP197" i="12"/>
  <c r="CP193" i="12"/>
  <c r="CP202" i="12"/>
  <c r="CP198" i="12"/>
  <c r="CP194" i="12"/>
  <c r="CP188" i="12"/>
  <c r="CP184" i="12"/>
  <c r="CP180" i="12"/>
  <c r="CP189" i="12"/>
  <c r="CP185" i="12"/>
  <c r="CP181" i="12"/>
  <c r="CP190" i="12"/>
  <c r="CP186" i="12"/>
  <c r="CP182" i="12"/>
  <c r="CP191" i="12"/>
  <c r="CP187" i="12"/>
  <c r="CP183" i="12"/>
  <c r="CP179" i="12"/>
  <c r="CP177" i="12"/>
  <c r="CP173" i="12"/>
  <c r="CP169" i="12"/>
  <c r="CP178" i="12"/>
  <c r="CP174" i="12"/>
  <c r="CP170" i="12"/>
  <c r="CP175" i="12"/>
  <c r="CP171" i="12"/>
  <c r="CP167" i="12"/>
  <c r="CP176" i="12"/>
  <c r="CP172" i="12"/>
  <c r="CP168" i="12"/>
  <c r="CP163" i="12"/>
  <c r="CP159" i="12"/>
  <c r="CP155" i="12"/>
  <c r="CP151" i="12"/>
  <c r="CP147" i="12"/>
  <c r="CP143" i="12"/>
  <c r="CP164" i="12"/>
  <c r="CP160" i="12"/>
  <c r="CP156" i="12"/>
  <c r="CP152" i="12"/>
  <c r="CP148" i="12"/>
  <c r="CP144" i="12"/>
  <c r="CP165" i="12"/>
  <c r="CP161" i="12"/>
  <c r="CP157" i="12"/>
  <c r="CP153" i="12"/>
  <c r="CP149" i="12"/>
  <c r="CP145" i="12"/>
  <c r="CP141" i="12"/>
  <c r="CP166" i="12"/>
  <c r="CP162" i="12"/>
  <c r="CP158" i="12"/>
  <c r="CP154" i="12"/>
  <c r="CP150" i="12"/>
  <c r="CP146" i="12"/>
  <c r="CP142" i="12"/>
  <c r="CP138" i="12"/>
  <c r="CP134" i="12"/>
  <c r="CP130" i="12"/>
  <c r="CP126" i="12"/>
  <c r="CP122" i="12"/>
  <c r="CP118" i="12"/>
  <c r="CP139" i="12"/>
  <c r="CP135" i="12"/>
  <c r="CP131" i="12"/>
  <c r="CP127" i="12"/>
  <c r="CP123" i="12"/>
  <c r="CP119" i="12"/>
  <c r="CP140" i="12"/>
  <c r="CP136" i="12"/>
  <c r="CP132" i="12"/>
  <c r="CP128" i="12"/>
  <c r="CP124" i="12"/>
  <c r="CP120" i="12"/>
  <c r="CP116" i="12"/>
  <c r="CP137" i="12"/>
  <c r="CP133" i="12"/>
  <c r="CP129" i="12"/>
  <c r="CP125" i="12"/>
  <c r="CP121" i="12"/>
  <c r="CP117" i="12"/>
  <c r="CP115" i="12"/>
  <c r="CP111" i="12"/>
  <c r="CP107" i="12"/>
  <c r="CP103" i="12"/>
  <c r="CP99" i="12"/>
  <c r="CP95" i="12"/>
  <c r="CP112" i="12"/>
  <c r="CP108" i="12"/>
  <c r="CP104" i="12"/>
  <c r="CP100" i="12"/>
  <c r="CP96" i="12"/>
  <c r="CP92" i="12"/>
  <c r="CP113" i="12"/>
  <c r="CP109" i="12"/>
  <c r="CP105" i="12"/>
  <c r="CP101" i="12"/>
  <c r="CP97" i="12"/>
  <c r="CP93" i="12"/>
  <c r="CP89" i="12"/>
  <c r="CP114" i="12"/>
  <c r="CP110" i="12"/>
  <c r="CP106" i="12"/>
  <c r="CP102" i="12"/>
  <c r="CP98" i="12"/>
  <c r="CP94" i="12"/>
  <c r="CP90" i="12"/>
  <c r="CP87" i="12"/>
  <c r="CP86" i="12"/>
  <c r="CP82" i="12"/>
  <c r="CP78" i="12"/>
  <c r="CP74" i="12"/>
  <c r="CP70" i="12"/>
  <c r="CP66" i="12"/>
  <c r="CP83" i="12"/>
  <c r="CP79" i="12"/>
  <c r="CP75" i="12"/>
  <c r="CP71" i="12"/>
  <c r="CP67" i="12"/>
  <c r="CP63" i="12"/>
  <c r="CP84" i="12"/>
  <c r="CP80" i="12"/>
  <c r="CP76" i="12"/>
  <c r="CP72" i="12"/>
  <c r="CP68" i="12"/>
  <c r="CP64" i="12"/>
  <c r="CP91" i="12"/>
  <c r="CP88" i="12"/>
  <c r="CP85" i="12"/>
  <c r="CP81" i="12"/>
  <c r="CP77" i="12"/>
  <c r="CP73" i="12"/>
  <c r="CP69" i="12"/>
  <c r="CP65" i="12"/>
  <c r="CP61" i="12"/>
  <c r="CP62" i="12"/>
  <c r="CP59" i="12"/>
  <c r="CP55" i="12"/>
  <c r="CP51" i="12"/>
  <c r="CP47" i="12"/>
  <c r="CP43" i="12"/>
  <c r="CP39" i="12"/>
  <c r="CP35" i="12"/>
  <c r="CP31" i="12"/>
  <c r="CP27" i="12"/>
  <c r="CP23" i="12"/>
  <c r="CP19" i="12"/>
  <c r="CP15" i="12"/>
  <c r="CP56" i="12"/>
  <c r="CP52" i="12"/>
  <c r="CP48" i="12"/>
  <c r="CP44" i="12"/>
  <c r="CP40" i="12"/>
  <c r="CP36" i="12"/>
  <c r="CP32" i="12"/>
  <c r="CP28" i="12"/>
  <c r="CP24" i="12"/>
  <c r="CP20" i="12"/>
  <c r="CP16" i="12"/>
  <c r="CP60" i="12"/>
  <c r="CP57" i="12"/>
  <c r="CP53" i="12"/>
  <c r="CP49" i="12"/>
  <c r="CP45" i="12"/>
  <c r="CP41" i="12"/>
  <c r="CP37" i="12"/>
  <c r="CP33" i="12"/>
  <c r="CP29" i="12"/>
  <c r="CP25" i="12"/>
  <c r="CP21" i="12"/>
  <c r="CP17" i="12"/>
  <c r="CP13" i="12"/>
  <c r="CP58" i="12"/>
  <c r="CP54" i="12"/>
  <c r="CP50" i="12"/>
  <c r="CP46" i="12"/>
  <c r="CP42" i="12"/>
  <c r="CP38" i="12"/>
  <c r="CP34" i="12"/>
  <c r="CP30" i="12"/>
  <c r="CP26" i="12"/>
  <c r="CP22" i="12"/>
  <c r="CP18" i="12"/>
  <c r="CP14" i="12"/>
  <c r="CT250" i="12"/>
  <c r="CT251" i="12"/>
  <c r="CT248" i="12"/>
  <c r="CT249" i="12"/>
  <c r="CT246" i="12"/>
  <c r="CT247" i="12"/>
  <c r="CT245" i="12"/>
  <c r="CT243" i="12"/>
  <c r="CT239" i="12"/>
  <c r="CT244" i="12"/>
  <c r="CT240" i="12"/>
  <c r="CT241" i="12"/>
  <c r="CT237" i="12"/>
  <c r="CT242" i="12"/>
  <c r="CT238" i="12"/>
  <c r="CT236" i="12"/>
  <c r="CT234" i="12"/>
  <c r="CT235" i="12"/>
  <c r="CT231" i="12"/>
  <c r="CT232" i="12"/>
  <c r="CT233" i="12"/>
  <c r="CT227" i="12"/>
  <c r="CT228" i="12"/>
  <c r="CT224" i="12"/>
  <c r="CT229" i="12"/>
  <c r="CT225" i="12"/>
  <c r="CT230" i="12"/>
  <c r="CT226" i="12"/>
  <c r="CT221" i="12"/>
  <c r="CT222" i="12"/>
  <c r="CT218" i="12"/>
  <c r="CT223" i="12"/>
  <c r="CT219" i="12"/>
  <c r="CT220" i="12"/>
  <c r="CT214" i="12"/>
  <c r="CT210" i="12"/>
  <c r="CT206" i="12"/>
  <c r="CT215" i="12"/>
  <c r="CT211" i="12"/>
  <c r="CT207" i="12"/>
  <c r="CT216" i="12"/>
  <c r="CT212" i="12"/>
  <c r="CT208" i="12"/>
  <c r="CT217" i="12"/>
  <c r="CT213" i="12"/>
  <c r="CT209" i="12"/>
  <c r="CT205" i="12"/>
  <c r="CT203" i="12"/>
  <c r="CT199" i="12"/>
  <c r="CT195" i="12"/>
  <c r="CT204" i="12"/>
  <c r="CT200" i="12"/>
  <c r="CT196" i="12"/>
  <c r="CT192" i="12"/>
  <c r="CT201" i="12"/>
  <c r="CT197" i="12"/>
  <c r="CT193" i="12"/>
  <c r="CT202" i="12"/>
  <c r="CT198" i="12"/>
  <c r="CT194" i="12"/>
  <c r="CT188" i="12"/>
  <c r="CT184" i="12"/>
  <c r="CT180" i="12"/>
  <c r="CT189" i="12"/>
  <c r="CT185" i="12"/>
  <c r="CT181" i="12"/>
  <c r="CT190" i="12"/>
  <c r="CT186" i="12"/>
  <c r="CT182" i="12"/>
  <c r="CT191" i="12"/>
  <c r="CT187" i="12"/>
  <c r="CT183" i="12"/>
  <c r="CT179" i="12"/>
  <c r="CT177" i="12"/>
  <c r="CT173" i="12"/>
  <c r="CT169" i="12"/>
  <c r="CT178" i="12"/>
  <c r="CT174" i="12"/>
  <c r="CT170" i="12"/>
  <c r="CT175" i="12"/>
  <c r="CT171" i="12"/>
  <c r="CT167" i="12"/>
  <c r="CT176" i="12"/>
  <c r="CT172" i="12"/>
  <c r="CT168" i="12"/>
  <c r="CT163" i="12"/>
  <c r="CT159" i="12"/>
  <c r="CT155" i="12"/>
  <c r="CT151" i="12"/>
  <c r="CT147" i="12"/>
  <c r="CT143" i="12"/>
  <c r="CT164" i="12"/>
  <c r="CT160" i="12"/>
  <c r="CT156" i="12"/>
  <c r="CT152" i="12"/>
  <c r="CT148" i="12"/>
  <c r="CT144" i="12"/>
  <c r="CT165" i="12"/>
  <c r="CT161" i="12"/>
  <c r="CT157" i="12"/>
  <c r="CT153" i="12"/>
  <c r="CT149" i="12"/>
  <c r="CT145" i="12"/>
  <c r="CT141" i="12"/>
  <c r="CT166" i="12"/>
  <c r="CT162" i="12"/>
  <c r="CT158" i="12"/>
  <c r="CT154" i="12"/>
  <c r="CT150" i="12"/>
  <c r="CT146" i="12"/>
  <c r="CT142" i="12"/>
  <c r="CT138" i="12"/>
  <c r="CT134" i="12"/>
  <c r="CT130" i="12"/>
  <c r="CT126" i="12"/>
  <c r="CT122" i="12"/>
  <c r="CT118" i="12"/>
  <c r="CT139" i="12"/>
  <c r="CT135" i="12"/>
  <c r="CT131" i="12"/>
  <c r="CT127" i="12"/>
  <c r="CT123" i="12"/>
  <c r="CT119" i="12"/>
  <c r="CT140" i="12"/>
  <c r="CT136" i="12"/>
  <c r="CT132" i="12"/>
  <c r="CT128" i="12"/>
  <c r="CT124" i="12"/>
  <c r="CT120" i="12"/>
  <c r="CT116" i="12"/>
  <c r="CT137" i="12"/>
  <c r="CT133" i="12"/>
  <c r="CT129" i="12"/>
  <c r="CT125" i="12"/>
  <c r="CT121" i="12"/>
  <c r="CT117" i="12"/>
  <c r="CT115" i="12"/>
  <c r="CT111" i="12"/>
  <c r="CT107" i="12"/>
  <c r="CT103" i="12"/>
  <c r="CT99" i="12"/>
  <c r="CT95" i="12"/>
  <c r="CT112" i="12"/>
  <c r="CT108" i="12"/>
  <c r="CT104" i="12"/>
  <c r="CT100" i="12"/>
  <c r="CT96" i="12"/>
  <c r="CT92" i="12"/>
  <c r="CT113" i="12"/>
  <c r="CT109" i="12"/>
  <c r="CT105" i="12"/>
  <c r="CT101" i="12"/>
  <c r="CT97" i="12"/>
  <c r="CT93" i="12"/>
  <c r="CT89" i="12"/>
  <c r="CT114" i="12"/>
  <c r="CT110" i="12"/>
  <c r="CT106" i="12"/>
  <c r="CT102" i="12"/>
  <c r="CT98" i="12"/>
  <c r="CT94" i="12"/>
  <c r="CT90" i="12"/>
  <c r="CT86" i="12"/>
  <c r="CT82" i="12"/>
  <c r="CT78" i="12"/>
  <c r="CT74" i="12"/>
  <c r="CT70" i="12"/>
  <c r="CT66" i="12"/>
  <c r="CT88" i="12"/>
  <c r="CT83" i="12"/>
  <c r="CT79" i="12"/>
  <c r="CT75" i="12"/>
  <c r="CT71" i="12"/>
  <c r="CT67" i="12"/>
  <c r="CT63" i="12"/>
  <c r="CT91" i="12"/>
  <c r="CT87" i="12"/>
  <c r="CT84" i="12"/>
  <c r="CT80" i="12"/>
  <c r="CT76" i="12"/>
  <c r="CT72" i="12"/>
  <c r="CT68" i="12"/>
  <c r="CT64" i="12"/>
  <c r="CT85" i="12"/>
  <c r="CT81" i="12"/>
  <c r="CT77" i="12"/>
  <c r="CT73" i="12"/>
  <c r="CT69" i="12"/>
  <c r="CT65" i="12"/>
  <c r="CT61" i="12"/>
  <c r="CT59" i="12"/>
  <c r="CT55" i="12"/>
  <c r="CT51" i="12"/>
  <c r="CT47" i="12"/>
  <c r="CT43" i="12"/>
  <c r="CT39" i="12"/>
  <c r="CT35" i="12"/>
  <c r="CT31" i="12"/>
  <c r="CT27" i="12"/>
  <c r="CT23" i="12"/>
  <c r="CT19" i="12"/>
  <c r="CT15" i="12"/>
  <c r="CT56" i="12"/>
  <c r="CT52" i="12"/>
  <c r="CT48" i="12"/>
  <c r="CT44" i="12"/>
  <c r="CT40" i="12"/>
  <c r="CT36" i="12"/>
  <c r="CT32" i="12"/>
  <c r="CT28" i="12"/>
  <c r="CT24" i="12"/>
  <c r="CT20" i="12"/>
  <c r="CT16" i="12"/>
  <c r="CT62" i="12"/>
  <c r="CT57" i="12"/>
  <c r="CT53" i="12"/>
  <c r="CT49" i="12"/>
  <c r="CT45" i="12"/>
  <c r="CT41" i="12"/>
  <c r="CT37" i="12"/>
  <c r="CT33" i="12"/>
  <c r="CT29" i="12"/>
  <c r="CT25" i="12"/>
  <c r="CT21" i="12"/>
  <c r="CT17" i="12"/>
  <c r="CT13" i="12"/>
  <c r="CT60" i="12"/>
  <c r="CT58" i="12"/>
  <c r="CT54" i="12"/>
  <c r="CT50" i="12"/>
  <c r="CT46" i="12"/>
  <c r="CT42" i="12"/>
  <c r="CT38" i="12"/>
  <c r="CT34" i="12"/>
  <c r="CT30" i="12"/>
  <c r="CT26" i="12"/>
  <c r="CT22" i="12"/>
  <c r="CT18" i="12"/>
  <c r="CT14" i="12"/>
  <c r="CX250" i="12"/>
  <c r="CX251" i="12"/>
  <c r="CX248" i="12"/>
  <c r="CX249" i="12"/>
  <c r="CX246" i="12"/>
  <c r="CX247" i="12"/>
  <c r="CX245" i="12"/>
  <c r="CX243" i="12"/>
  <c r="CX239" i="12"/>
  <c r="CX240" i="12"/>
  <c r="CX241" i="12"/>
  <c r="CX244" i="12"/>
  <c r="CX242" i="12"/>
  <c r="CX237" i="12"/>
  <c r="CX238" i="12"/>
  <c r="CX234" i="12"/>
  <c r="CX236" i="12"/>
  <c r="CX235" i="12"/>
  <c r="CX231" i="12"/>
  <c r="CX232" i="12"/>
  <c r="CX233" i="12"/>
  <c r="CX227" i="12"/>
  <c r="CX228" i="12"/>
  <c r="CX224" i="12"/>
  <c r="CX229" i="12"/>
  <c r="CX225" i="12"/>
  <c r="CX230" i="12"/>
  <c r="CX226" i="12"/>
  <c r="CX221" i="12"/>
  <c r="CX222" i="12"/>
  <c r="CX218" i="12"/>
  <c r="CX223" i="12"/>
  <c r="CX219" i="12"/>
  <c r="CX220" i="12"/>
  <c r="CX214" i="12"/>
  <c r="CX210" i="12"/>
  <c r="CX206" i="12"/>
  <c r="CX215" i="12"/>
  <c r="CX211" i="12"/>
  <c r="CX207" i="12"/>
  <c r="CX216" i="12"/>
  <c r="CX212" i="12"/>
  <c r="CX208" i="12"/>
  <c r="CX217" i="12"/>
  <c r="CX213" i="12"/>
  <c r="CX209" i="12"/>
  <c r="CX205" i="12"/>
  <c r="CX203" i="12"/>
  <c r="CX199" i="12"/>
  <c r="CX195" i="12"/>
  <c r="CX204" i="12"/>
  <c r="CX200" i="12"/>
  <c r="CX196" i="12"/>
  <c r="CX192" i="12"/>
  <c r="CX201" i="12"/>
  <c r="CX197" i="12"/>
  <c r="CX193" i="12"/>
  <c r="CX202" i="12"/>
  <c r="CX198" i="12"/>
  <c r="CX194" i="12"/>
  <c r="CX188" i="12"/>
  <c r="CX184" i="12"/>
  <c r="CX180" i="12"/>
  <c r="CX189" i="12"/>
  <c r="CX185" i="12"/>
  <c r="CX181" i="12"/>
  <c r="CX190" i="12"/>
  <c r="CX186" i="12"/>
  <c r="CX182" i="12"/>
  <c r="CX191" i="12"/>
  <c r="CX187" i="12"/>
  <c r="CX183" i="12"/>
  <c r="CX179" i="12"/>
  <c r="CX177" i="12"/>
  <c r="CX173" i="12"/>
  <c r="CX169" i="12"/>
  <c r="CX178" i="12"/>
  <c r="CX174" i="12"/>
  <c r="CX170" i="12"/>
  <c r="CX175" i="12"/>
  <c r="CX171" i="12"/>
  <c r="CX167" i="12"/>
  <c r="CX176" i="12"/>
  <c r="CX172" i="12"/>
  <c r="CX168" i="12"/>
  <c r="CX163" i="12"/>
  <c r="CX159" i="12"/>
  <c r="CX155" i="12"/>
  <c r="CX151" i="12"/>
  <c r="CX147" i="12"/>
  <c r="CX143" i="12"/>
  <c r="CX164" i="12"/>
  <c r="CX160" i="12"/>
  <c r="CX156" i="12"/>
  <c r="CX152" i="12"/>
  <c r="CX148" i="12"/>
  <c r="CX144" i="12"/>
  <c r="CX165" i="12"/>
  <c r="CX161" i="12"/>
  <c r="CX157" i="12"/>
  <c r="CX153" i="12"/>
  <c r="CX149" i="12"/>
  <c r="CX145" i="12"/>
  <c r="CX141" i="12"/>
  <c r="CX166" i="12"/>
  <c r="CX162" i="12"/>
  <c r="CX158" i="12"/>
  <c r="CX154" i="12"/>
  <c r="CX150" i="12"/>
  <c r="CX146" i="12"/>
  <c r="CX142" i="12"/>
  <c r="CX138" i="12"/>
  <c r="CX134" i="12"/>
  <c r="CX130" i="12"/>
  <c r="CX126" i="12"/>
  <c r="CX122" i="12"/>
  <c r="CX118" i="12"/>
  <c r="CX139" i="12"/>
  <c r="CX135" i="12"/>
  <c r="CX131" i="12"/>
  <c r="CX127" i="12"/>
  <c r="CX123" i="12"/>
  <c r="CX119" i="12"/>
  <c r="CX140" i="12"/>
  <c r="CX136" i="12"/>
  <c r="CX132" i="12"/>
  <c r="CX128" i="12"/>
  <c r="CX124" i="12"/>
  <c r="CX120" i="12"/>
  <c r="CX116" i="12"/>
  <c r="CX137" i="12"/>
  <c r="CX133" i="12"/>
  <c r="CX129" i="12"/>
  <c r="CX125" i="12"/>
  <c r="CX121" i="12"/>
  <c r="CX117" i="12"/>
  <c r="CX111" i="12"/>
  <c r="CX107" i="12"/>
  <c r="CX103" i="12"/>
  <c r="CX99" i="12"/>
  <c r="CX95" i="12"/>
  <c r="CX115" i="12"/>
  <c r="CX112" i="12"/>
  <c r="CX108" i="12"/>
  <c r="CX104" i="12"/>
  <c r="CX100" i="12"/>
  <c r="CX96" i="12"/>
  <c r="CX92" i="12"/>
  <c r="CX113" i="12"/>
  <c r="CX109" i="12"/>
  <c r="CX105" i="12"/>
  <c r="CX101" i="12"/>
  <c r="CX97" i="12"/>
  <c r="CX93" i="12"/>
  <c r="CX89" i="12"/>
  <c r="CX114" i="12"/>
  <c r="CX110" i="12"/>
  <c r="CX106" i="12"/>
  <c r="CX102" i="12"/>
  <c r="CX98" i="12"/>
  <c r="CX94" i="12"/>
  <c r="CX90" i="12"/>
  <c r="CX87" i="12"/>
  <c r="CX86" i="12"/>
  <c r="CX82" i="12"/>
  <c r="CX78" i="12"/>
  <c r="CX74" i="12"/>
  <c r="CX70" i="12"/>
  <c r="CX66" i="12"/>
  <c r="CX91" i="12"/>
  <c r="CX83" i="12"/>
  <c r="CX79" i="12"/>
  <c r="CX75" i="12"/>
  <c r="CX71" i="12"/>
  <c r="CX67" i="12"/>
  <c r="CX63" i="12"/>
  <c r="CX84" i="12"/>
  <c r="CX80" i="12"/>
  <c r="CX76" i="12"/>
  <c r="CX72" i="12"/>
  <c r="CX68" i="12"/>
  <c r="CX64" i="12"/>
  <c r="CX88" i="12"/>
  <c r="CX85" i="12"/>
  <c r="CX81" i="12"/>
  <c r="CX77" i="12"/>
  <c r="CX73" i="12"/>
  <c r="CX69" i="12"/>
  <c r="CX65" i="12"/>
  <c r="CX61" i="12"/>
  <c r="CX62" i="12"/>
  <c r="CX60" i="12"/>
  <c r="CX59" i="12"/>
  <c r="CX55" i="12"/>
  <c r="CX51" i="12"/>
  <c r="CX47" i="12"/>
  <c r="CX43" i="12"/>
  <c r="CX39" i="12"/>
  <c r="CX35" i="12"/>
  <c r="CX31" i="12"/>
  <c r="CX27" i="12"/>
  <c r="CX23" i="12"/>
  <c r="CX19" i="12"/>
  <c r="CX15" i="12"/>
  <c r="CX56" i="12"/>
  <c r="CX52" i="12"/>
  <c r="CX48" i="12"/>
  <c r="CX44" i="12"/>
  <c r="CX40" i="12"/>
  <c r="CX36" i="12"/>
  <c r="CX32" i="12"/>
  <c r="CX28" i="12"/>
  <c r="CX24" i="12"/>
  <c r="CX20" i="12"/>
  <c r="CX16" i="12"/>
  <c r="CX57" i="12"/>
  <c r="CX53" i="12"/>
  <c r="CX49" i="12"/>
  <c r="CX45" i="12"/>
  <c r="CX41" i="12"/>
  <c r="CX37" i="12"/>
  <c r="CX33" i="12"/>
  <c r="CX29" i="12"/>
  <c r="CX25" i="12"/>
  <c r="CX21" i="12"/>
  <c r="CX17" i="12"/>
  <c r="CX13" i="12"/>
  <c r="CX58" i="12"/>
  <c r="CX54" i="12"/>
  <c r="CX50" i="12"/>
  <c r="CX46" i="12"/>
  <c r="CX42" i="12"/>
  <c r="CX38" i="12"/>
  <c r="CX34" i="12"/>
  <c r="CX30" i="12"/>
  <c r="CX26" i="12"/>
  <c r="CX22" i="12"/>
  <c r="CX18" i="12"/>
  <c r="CX14" i="12"/>
  <c r="DB250" i="12"/>
  <c r="DB251" i="12"/>
  <c r="DB248" i="12"/>
  <c r="DB249" i="12"/>
  <c r="DB246" i="12"/>
  <c r="DB245" i="12"/>
  <c r="DB243" i="12"/>
  <c r="DB239" i="12"/>
  <c r="DB247" i="12"/>
  <c r="DB244" i="12"/>
  <c r="DB240" i="12"/>
  <c r="DB241" i="12"/>
  <c r="DB242" i="12"/>
  <c r="DB237" i="12"/>
  <c r="DB238" i="12"/>
  <c r="DB234" i="12"/>
  <c r="DB235" i="12"/>
  <c r="DB231" i="12"/>
  <c r="DB236" i="12"/>
  <c r="DB232" i="12"/>
  <c r="DB233" i="12"/>
  <c r="DB227" i="12"/>
  <c r="DB228" i="12"/>
  <c r="DB224" i="12"/>
  <c r="DB229" i="12"/>
  <c r="DB225" i="12"/>
  <c r="DB230" i="12"/>
  <c r="DB226" i="12"/>
  <c r="DB221" i="12"/>
  <c r="DB222" i="12"/>
  <c r="DB218" i="12"/>
  <c r="DB223" i="12"/>
  <c r="DB219" i="12"/>
  <c r="DB220" i="12"/>
  <c r="DB214" i="12"/>
  <c r="DB210" i="12"/>
  <c r="DB206" i="12"/>
  <c r="DB215" i="12"/>
  <c r="DB211" i="12"/>
  <c r="DB207" i="12"/>
  <c r="DB216" i="12"/>
  <c r="DB212" i="12"/>
  <c r="DB208" i="12"/>
  <c r="DB217" i="12"/>
  <c r="DB213" i="12"/>
  <c r="DB209" i="12"/>
  <c r="DB205" i="12"/>
  <c r="DB203" i="12"/>
  <c r="DB199" i="12"/>
  <c r="DB195" i="12"/>
  <c r="DB204" i="12"/>
  <c r="DB200" i="12"/>
  <c r="DB196" i="12"/>
  <c r="DB192" i="12"/>
  <c r="DB201" i="12"/>
  <c r="DB197" i="12"/>
  <c r="DB193" i="12"/>
  <c r="DB202" i="12"/>
  <c r="DB198" i="12"/>
  <c r="DB194" i="12"/>
  <c r="DB188" i="12"/>
  <c r="DB184" i="12"/>
  <c r="DB180" i="12"/>
  <c r="DB189" i="12"/>
  <c r="DB185" i="12"/>
  <c r="DB181" i="12"/>
  <c r="DB190" i="12"/>
  <c r="DB186" i="12"/>
  <c r="DB182" i="12"/>
  <c r="DB191" i="12"/>
  <c r="DB187" i="12"/>
  <c r="DB183" i="12"/>
  <c r="DB179" i="12"/>
  <c r="DB177" i="12"/>
  <c r="DB173" i="12"/>
  <c r="DB169" i="12"/>
  <c r="DB178" i="12"/>
  <c r="DB174" i="12"/>
  <c r="DB170" i="12"/>
  <c r="DB175" i="12"/>
  <c r="DB171" i="12"/>
  <c r="DB167" i="12"/>
  <c r="DB176" i="12"/>
  <c r="DB172" i="12"/>
  <c r="DB168" i="12"/>
  <c r="DB163" i="12"/>
  <c r="DB159" i="12"/>
  <c r="DB155" i="12"/>
  <c r="DB151" i="12"/>
  <c r="DB147" i="12"/>
  <c r="DB143" i="12"/>
  <c r="DB164" i="12"/>
  <c r="DB160" i="12"/>
  <c r="DB156" i="12"/>
  <c r="DB152" i="12"/>
  <c r="DB148" i="12"/>
  <c r="DB144" i="12"/>
  <c r="DB165" i="12"/>
  <c r="DB161" i="12"/>
  <c r="DB157" i="12"/>
  <c r="DB153" i="12"/>
  <c r="DB149" i="12"/>
  <c r="DB145" i="12"/>
  <c r="DB141" i="12"/>
  <c r="DB166" i="12"/>
  <c r="DB162" i="12"/>
  <c r="DB158" i="12"/>
  <c r="DB154" i="12"/>
  <c r="DB150" i="12"/>
  <c r="DB146" i="12"/>
  <c r="DB142" i="12"/>
  <c r="DB138" i="12"/>
  <c r="DB134" i="12"/>
  <c r="DB130" i="12"/>
  <c r="DB126" i="12"/>
  <c r="DB122" i="12"/>
  <c r="DB118" i="12"/>
  <c r="DB139" i="12"/>
  <c r="DB135" i="12"/>
  <c r="DB131" i="12"/>
  <c r="DB127" i="12"/>
  <c r="DB123" i="12"/>
  <c r="DB119" i="12"/>
  <c r="DB140" i="12"/>
  <c r="DB136" i="12"/>
  <c r="DB132" i="12"/>
  <c r="DB128" i="12"/>
  <c r="DB124" i="12"/>
  <c r="DB120" i="12"/>
  <c r="DB116" i="12"/>
  <c r="DB137" i="12"/>
  <c r="DB133" i="12"/>
  <c r="DB129" i="12"/>
  <c r="DB125" i="12"/>
  <c r="DB121" i="12"/>
  <c r="DB117" i="12"/>
  <c r="DB111" i="12"/>
  <c r="DB107" i="12"/>
  <c r="DB103" i="12"/>
  <c r="DB99" i="12"/>
  <c r="DB95" i="12"/>
  <c r="DB112" i="12"/>
  <c r="DB108" i="12"/>
  <c r="DB104" i="12"/>
  <c r="DB100" i="12"/>
  <c r="DB96" i="12"/>
  <c r="DB92" i="12"/>
  <c r="DB115" i="12"/>
  <c r="DB113" i="12"/>
  <c r="DB109" i="12"/>
  <c r="DB105" i="12"/>
  <c r="DB101" i="12"/>
  <c r="DB97" i="12"/>
  <c r="DB93" i="12"/>
  <c r="DB89" i="12"/>
  <c r="DB114" i="12"/>
  <c r="DB110" i="12"/>
  <c r="DB106" i="12"/>
  <c r="DB102" i="12"/>
  <c r="DB98" i="12"/>
  <c r="DB94" i="12"/>
  <c r="DB90" i="12"/>
  <c r="DB91" i="12"/>
  <c r="DB86" i="12"/>
  <c r="DB82" i="12"/>
  <c r="DB78" i="12"/>
  <c r="DB74" i="12"/>
  <c r="DB70" i="12"/>
  <c r="DB66" i="12"/>
  <c r="DB88" i="12"/>
  <c r="DB83" i="12"/>
  <c r="DB79" i="12"/>
  <c r="DB75" i="12"/>
  <c r="DB71" i="12"/>
  <c r="DB67" i="12"/>
  <c r="DB63" i="12"/>
  <c r="DB87" i="12"/>
  <c r="DB84" i="12"/>
  <c r="DB80" i="12"/>
  <c r="DB76" i="12"/>
  <c r="DB72" i="12"/>
  <c r="DB68" i="12"/>
  <c r="DB64" i="12"/>
  <c r="DB85" i="12"/>
  <c r="DB81" i="12"/>
  <c r="DB77" i="12"/>
  <c r="DB73" i="12"/>
  <c r="DB69" i="12"/>
  <c r="DB65" i="12"/>
  <c r="DB61" i="12"/>
  <c r="DB59" i="12"/>
  <c r="DB55" i="12"/>
  <c r="DB51" i="12"/>
  <c r="DB47" i="12"/>
  <c r="DB43" i="12"/>
  <c r="DB39" i="12"/>
  <c r="DB35" i="12"/>
  <c r="DB31" i="12"/>
  <c r="DB27" i="12"/>
  <c r="DB23" i="12"/>
  <c r="DB19" i="12"/>
  <c r="DB15" i="12"/>
  <c r="DB56" i="12"/>
  <c r="DB52" i="12"/>
  <c r="DB48" i="12"/>
  <c r="DB44" i="12"/>
  <c r="DB40" i="12"/>
  <c r="DB36" i="12"/>
  <c r="DB32" i="12"/>
  <c r="DB28" i="12"/>
  <c r="DB24" i="12"/>
  <c r="DB20" i="12"/>
  <c r="DB16" i="12"/>
  <c r="DB62" i="12"/>
  <c r="DB60" i="12"/>
  <c r="DB57" i="12"/>
  <c r="DB53" i="12"/>
  <c r="DB49" i="12"/>
  <c r="DB45" i="12"/>
  <c r="DB41" i="12"/>
  <c r="DB37" i="12"/>
  <c r="DB33" i="12"/>
  <c r="DB29" i="12"/>
  <c r="DB25" i="12"/>
  <c r="DB21" i="12"/>
  <c r="DB17" i="12"/>
  <c r="DB13" i="12"/>
  <c r="DB58" i="12"/>
  <c r="DB54" i="12"/>
  <c r="DB50" i="12"/>
  <c r="DB46" i="12"/>
  <c r="DB42" i="12"/>
  <c r="DB38" i="12"/>
  <c r="DB34" i="12"/>
  <c r="DB30" i="12"/>
  <c r="DB26" i="12"/>
  <c r="DB22" i="12"/>
  <c r="DB18" i="12"/>
  <c r="DB14" i="12"/>
  <c r="C2" i="12"/>
  <c r="G2" i="12"/>
  <c r="K2" i="12"/>
  <c r="O2" i="12"/>
  <c r="S2" i="12"/>
  <c r="W2" i="12"/>
  <c r="AA2" i="12"/>
  <c r="AE2" i="12"/>
  <c r="AI2" i="12"/>
  <c r="AM2" i="12"/>
  <c r="AQ2" i="12"/>
  <c r="AU2" i="12"/>
  <c r="AY2" i="12"/>
  <c r="BC2" i="12"/>
  <c r="BG2" i="12"/>
  <c r="BK2" i="12"/>
  <c r="BO2" i="12"/>
  <c r="BS2" i="12"/>
  <c r="BW2" i="12"/>
  <c r="CA2" i="12"/>
  <c r="CE2" i="12"/>
  <c r="CI2" i="12"/>
  <c r="CM2" i="12"/>
  <c r="CQ2" i="12"/>
  <c r="CU2" i="12"/>
  <c r="CY2" i="12"/>
  <c r="DC2" i="12"/>
  <c r="D3" i="12"/>
  <c r="H3" i="12"/>
  <c r="L3" i="12"/>
  <c r="P3" i="12"/>
  <c r="T3" i="12"/>
  <c r="X3" i="12"/>
  <c r="AB3" i="12"/>
  <c r="AF3" i="12"/>
  <c r="AJ3" i="12"/>
  <c r="AN3" i="12"/>
  <c r="AR3" i="12"/>
  <c r="AV3" i="12"/>
  <c r="AZ3" i="12"/>
  <c r="BD3" i="12"/>
  <c r="BH3" i="12"/>
  <c r="BL3" i="12"/>
  <c r="BP3" i="12"/>
  <c r="BT3" i="12"/>
  <c r="BX3" i="12"/>
  <c r="CB3" i="12"/>
  <c r="CF3" i="12"/>
  <c r="CJ3" i="12"/>
  <c r="CN3" i="12"/>
  <c r="CR3" i="12"/>
  <c r="CV3" i="12"/>
  <c r="CZ3" i="12"/>
  <c r="E4" i="12"/>
  <c r="I4" i="12"/>
  <c r="M4" i="12"/>
  <c r="Q4" i="12"/>
  <c r="U4" i="12"/>
  <c r="Y4" i="12"/>
  <c r="AC4" i="12"/>
  <c r="AG4" i="12"/>
  <c r="AK4" i="12"/>
  <c r="AO4" i="12"/>
  <c r="AS4" i="12"/>
  <c r="AW4" i="12"/>
  <c r="BA4" i="12"/>
  <c r="BE4" i="12"/>
  <c r="BI4" i="12"/>
  <c r="BM4" i="12"/>
  <c r="BQ4" i="12"/>
  <c r="BU4" i="12"/>
  <c r="BY4" i="12"/>
  <c r="CC4" i="12"/>
  <c r="CG4" i="12"/>
  <c r="CK4" i="12"/>
  <c r="CO4" i="12"/>
  <c r="CS4" i="12"/>
  <c r="CW4" i="12"/>
  <c r="DA4" i="12"/>
  <c r="F5" i="12"/>
  <c r="J5" i="12"/>
  <c r="N5" i="12"/>
  <c r="R5" i="12"/>
  <c r="V5" i="12"/>
  <c r="Z5" i="12"/>
  <c r="AD5" i="12"/>
  <c r="AH5" i="12"/>
  <c r="AL5" i="12"/>
  <c r="AP5" i="12"/>
  <c r="AT5" i="12"/>
  <c r="AX5" i="12"/>
  <c r="BB5" i="12"/>
  <c r="BF5" i="12"/>
  <c r="BJ5" i="12"/>
  <c r="BN5" i="12"/>
  <c r="BR5" i="12"/>
  <c r="BV5" i="12"/>
  <c r="BZ5" i="12"/>
  <c r="CD5" i="12"/>
  <c r="CH5" i="12"/>
  <c r="CL5" i="12"/>
  <c r="CP5" i="12"/>
  <c r="CT5" i="12"/>
  <c r="CX5" i="12"/>
  <c r="DB5" i="12"/>
  <c r="C6" i="12"/>
  <c r="G6" i="12"/>
  <c r="K6" i="12"/>
  <c r="O6" i="12"/>
  <c r="S6" i="12"/>
  <c r="W6" i="12"/>
  <c r="AA6" i="12"/>
  <c r="AE6" i="12"/>
  <c r="AI6" i="12"/>
  <c r="AM6" i="12"/>
  <c r="AQ6" i="12"/>
  <c r="AU6" i="12"/>
  <c r="AY6" i="12"/>
  <c r="BC6" i="12"/>
  <c r="BG6" i="12"/>
  <c r="BK6" i="12"/>
  <c r="BO6" i="12"/>
  <c r="BS6" i="12"/>
  <c r="BW6" i="12"/>
  <c r="CA6" i="12"/>
  <c r="CE6" i="12"/>
  <c r="CI6" i="12"/>
  <c r="CM6" i="12"/>
  <c r="CQ6" i="12"/>
  <c r="CU6" i="12"/>
  <c r="CY6" i="12"/>
  <c r="D7" i="12"/>
  <c r="L7" i="12"/>
  <c r="P7" i="12"/>
  <c r="T7" i="12"/>
  <c r="AB7" i="12"/>
  <c r="AF7" i="12"/>
  <c r="AJ7" i="12"/>
  <c r="AR7" i="12"/>
  <c r="AV7" i="12"/>
  <c r="AZ7" i="12"/>
  <c r="BH7" i="12"/>
  <c r="BL7" i="12"/>
  <c r="BT7" i="12"/>
  <c r="BX7" i="12"/>
  <c r="CB7" i="12"/>
  <c r="CJ7" i="12"/>
  <c r="CN7" i="12"/>
  <c r="CR7" i="12"/>
  <c r="CV7" i="12"/>
  <c r="CZ7" i="12"/>
  <c r="E8" i="12"/>
  <c r="I8" i="12"/>
  <c r="M8" i="12"/>
  <c r="Q8" i="12"/>
  <c r="U8" i="12"/>
  <c r="Y8" i="12"/>
  <c r="AC8" i="12"/>
  <c r="AG8" i="12"/>
  <c r="AK8" i="12"/>
  <c r="AO8" i="12"/>
  <c r="AS8" i="12"/>
  <c r="AW8" i="12"/>
  <c r="BA8" i="12"/>
  <c r="BE8" i="12"/>
  <c r="BI8" i="12"/>
  <c r="BM8" i="12"/>
  <c r="BQ8" i="12"/>
  <c r="BU8" i="12"/>
  <c r="BY8" i="12"/>
  <c r="CC8" i="12"/>
  <c r="CG8" i="12"/>
  <c r="CK8" i="12"/>
  <c r="CO8" i="12"/>
  <c r="CS8" i="12"/>
  <c r="CW8" i="12"/>
  <c r="DA8" i="12"/>
  <c r="F9" i="12"/>
  <c r="J9" i="12"/>
  <c r="N9" i="12"/>
  <c r="R9" i="12"/>
  <c r="V9" i="12"/>
  <c r="Z9" i="12"/>
  <c r="AD9" i="12"/>
  <c r="AH9" i="12"/>
  <c r="AL9" i="12"/>
  <c r="AP9" i="12"/>
  <c r="AT9" i="12"/>
  <c r="AX9" i="12"/>
  <c r="BB9" i="12"/>
  <c r="BF9" i="12"/>
  <c r="BJ9" i="12"/>
  <c r="BN9" i="12"/>
  <c r="BR9" i="12"/>
  <c r="BV9" i="12"/>
  <c r="BZ9" i="12"/>
  <c r="CD9" i="12"/>
  <c r="CH9" i="12"/>
  <c r="CL9" i="12"/>
  <c r="CP9" i="12"/>
  <c r="CT9" i="12"/>
  <c r="CX9" i="12"/>
  <c r="DB9" i="12"/>
  <c r="G10" i="12"/>
  <c r="O10" i="12"/>
  <c r="W10" i="12"/>
  <c r="AE10" i="12"/>
  <c r="AM10" i="12"/>
  <c r="AU10" i="12"/>
  <c r="BC10" i="12"/>
  <c r="BK10" i="12"/>
  <c r="BS10" i="12"/>
  <c r="CA10" i="12"/>
  <c r="CI10" i="12"/>
  <c r="CQ10" i="12"/>
  <c r="CZ10" i="12"/>
  <c r="G11" i="12"/>
  <c r="M11" i="12"/>
  <c r="R11" i="12"/>
  <c r="W11" i="12"/>
  <c r="AC11" i="12"/>
  <c r="AH11" i="12"/>
  <c r="AM11" i="12"/>
  <c r="AS11" i="12"/>
  <c r="AX11" i="12"/>
  <c r="BE11" i="12"/>
  <c r="BM11" i="12"/>
  <c r="BU11" i="12"/>
  <c r="CC11" i="12"/>
  <c r="CK11" i="12"/>
  <c r="CS11" i="12"/>
  <c r="DA11" i="12"/>
  <c r="F12" i="12"/>
  <c r="N12" i="12"/>
  <c r="V12" i="12"/>
  <c r="AD12" i="12"/>
  <c r="AL12" i="12"/>
  <c r="AT12" i="12"/>
  <c r="BB12" i="12"/>
  <c r="BJ12" i="12"/>
  <c r="BR12" i="12"/>
  <c r="BZ12" i="12"/>
  <c r="CH12" i="12"/>
  <c r="CP12" i="12"/>
  <c r="CX12" i="12"/>
  <c r="I14" i="12"/>
  <c r="Q14" i="12"/>
  <c r="Y14" i="12"/>
  <c r="AG14" i="12"/>
  <c r="AO14" i="12"/>
  <c r="AW14" i="12"/>
  <c r="BE14" i="12"/>
  <c r="BM14" i="12"/>
  <c r="BU14" i="12"/>
  <c r="CC14" i="12"/>
  <c r="H250" i="12"/>
  <c r="H251" i="12"/>
  <c r="H247" i="12"/>
  <c r="H248" i="12"/>
  <c r="H245" i="12"/>
  <c r="H246" i="12"/>
  <c r="H249" i="12"/>
  <c r="H241" i="12"/>
  <c r="H242" i="12"/>
  <c r="H243" i="12"/>
  <c r="H240" i="12"/>
  <c r="H237" i="12"/>
  <c r="H244" i="12"/>
  <c r="H238" i="12"/>
  <c r="H239" i="12"/>
  <c r="H236" i="12"/>
  <c r="H232" i="12"/>
  <c r="H233" i="12"/>
  <c r="H234" i="12"/>
  <c r="H235" i="12"/>
  <c r="H229" i="12"/>
  <c r="H225" i="12"/>
  <c r="H230" i="12"/>
  <c r="H226" i="12"/>
  <c r="H231" i="12"/>
  <c r="H227" i="12"/>
  <c r="H228" i="12"/>
  <c r="H223" i="12"/>
  <c r="H219" i="12"/>
  <c r="H224" i="12"/>
  <c r="H220" i="12"/>
  <c r="H221" i="12"/>
  <c r="H222" i="12"/>
  <c r="H216" i="12"/>
  <c r="H212" i="12"/>
  <c r="H208" i="12"/>
  <c r="H217" i="12"/>
  <c r="H213" i="12"/>
  <c r="H209" i="12"/>
  <c r="H218" i="12"/>
  <c r="H214" i="12"/>
  <c r="H210" i="12"/>
  <c r="H206" i="12"/>
  <c r="H215" i="12"/>
  <c r="H211" i="12"/>
  <c r="H207" i="12"/>
  <c r="H205" i="12"/>
  <c r="H201" i="12"/>
  <c r="H197" i="12"/>
  <c r="H193" i="12"/>
  <c r="H202" i="12"/>
  <c r="H198" i="12"/>
  <c r="H194" i="12"/>
  <c r="H203" i="12"/>
  <c r="H199" i="12"/>
  <c r="H195" i="12"/>
  <c r="H204" i="12"/>
  <c r="H200" i="12"/>
  <c r="H196" i="12"/>
  <c r="H190" i="12"/>
  <c r="H186" i="12"/>
  <c r="H182" i="12"/>
  <c r="H191" i="12"/>
  <c r="H187" i="12"/>
  <c r="H183" i="12"/>
  <c r="H192" i="12"/>
  <c r="H188" i="12"/>
  <c r="H184" i="12"/>
  <c r="H189" i="12"/>
  <c r="H185" i="12"/>
  <c r="H181" i="12"/>
  <c r="H179" i="12"/>
  <c r="H175" i="12"/>
  <c r="H171" i="12"/>
  <c r="H176" i="12"/>
  <c r="H172" i="12"/>
  <c r="H168" i="12"/>
  <c r="H180" i="12"/>
  <c r="H177" i="12"/>
  <c r="H173" i="12"/>
  <c r="H169" i="12"/>
  <c r="H178" i="12"/>
  <c r="H174" i="12"/>
  <c r="H170" i="12"/>
  <c r="H165" i="12"/>
  <c r="H161" i="12"/>
  <c r="H157" i="12"/>
  <c r="H153" i="12"/>
  <c r="H149" i="12"/>
  <c r="H145" i="12"/>
  <c r="H166" i="12"/>
  <c r="H162" i="12"/>
  <c r="H158" i="12"/>
  <c r="H154" i="12"/>
  <c r="H150" i="12"/>
  <c r="H146" i="12"/>
  <c r="H142" i="12"/>
  <c r="H167" i="12"/>
  <c r="H163" i="12"/>
  <c r="H159" i="12"/>
  <c r="H155" i="12"/>
  <c r="H151" i="12"/>
  <c r="H147" i="12"/>
  <c r="H143" i="12"/>
  <c r="H164" i="12"/>
  <c r="H160" i="12"/>
  <c r="H156" i="12"/>
  <c r="H152" i="12"/>
  <c r="H148" i="12"/>
  <c r="H144" i="12"/>
  <c r="H140" i="12"/>
  <c r="H136" i="12"/>
  <c r="H132" i="12"/>
  <c r="H128" i="12"/>
  <c r="H124" i="12"/>
  <c r="H120" i="12"/>
  <c r="H141" i="12"/>
  <c r="H137" i="12"/>
  <c r="H133" i="12"/>
  <c r="H129" i="12"/>
  <c r="H125" i="12"/>
  <c r="H121" i="12"/>
  <c r="H138" i="12"/>
  <c r="H134" i="12"/>
  <c r="H130" i="12"/>
  <c r="H126" i="12"/>
  <c r="H122" i="12"/>
  <c r="H118" i="12"/>
  <c r="H139" i="12"/>
  <c r="H135" i="12"/>
  <c r="H131" i="12"/>
  <c r="H127" i="12"/>
  <c r="H123" i="12"/>
  <c r="H119" i="12"/>
  <c r="H113" i="12"/>
  <c r="H109" i="12"/>
  <c r="H105" i="12"/>
  <c r="H101" i="12"/>
  <c r="H97" i="12"/>
  <c r="H117" i="12"/>
  <c r="H114" i="12"/>
  <c r="H110" i="12"/>
  <c r="H106" i="12"/>
  <c r="H102" i="12"/>
  <c r="H98" i="12"/>
  <c r="H94" i="12"/>
  <c r="H115" i="12"/>
  <c r="H111" i="12"/>
  <c r="H107" i="12"/>
  <c r="H103" i="12"/>
  <c r="H99" i="12"/>
  <c r="H95" i="12"/>
  <c r="H91" i="12"/>
  <c r="H116" i="12"/>
  <c r="H112" i="12"/>
  <c r="H108" i="12"/>
  <c r="H104" i="12"/>
  <c r="H100" i="12"/>
  <c r="H96" i="12"/>
  <c r="H92" i="12"/>
  <c r="H88" i="12"/>
  <c r="H93" i="12"/>
  <c r="H90" i="12"/>
  <c r="H84" i="12"/>
  <c r="H80" i="12"/>
  <c r="H76" i="12"/>
  <c r="H72" i="12"/>
  <c r="H68" i="12"/>
  <c r="H85" i="12"/>
  <c r="H81" i="12"/>
  <c r="H77" i="12"/>
  <c r="H73" i="12"/>
  <c r="H69" i="12"/>
  <c r="H65" i="12"/>
  <c r="H61" i="12"/>
  <c r="H89" i="12"/>
  <c r="H86" i="12"/>
  <c r="H82" i="12"/>
  <c r="H78" i="12"/>
  <c r="H74" i="12"/>
  <c r="H70" i="12"/>
  <c r="H66" i="12"/>
  <c r="H87" i="12"/>
  <c r="H83" i="12"/>
  <c r="H79" i="12"/>
  <c r="H75" i="12"/>
  <c r="H71" i="12"/>
  <c r="H67" i="12"/>
  <c r="H63" i="12"/>
  <c r="H64" i="12"/>
  <c r="H57" i="12"/>
  <c r="H53" i="12"/>
  <c r="H49" i="12"/>
  <c r="H45" i="12"/>
  <c r="H41" i="12"/>
  <c r="H37" i="12"/>
  <c r="H33" i="12"/>
  <c r="H29" i="12"/>
  <c r="H25" i="12"/>
  <c r="H21" i="12"/>
  <c r="H17" i="12"/>
  <c r="H58" i="12"/>
  <c r="H54" i="12"/>
  <c r="H50" i="12"/>
  <c r="H46" i="12"/>
  <c r="H42" i="12"/>
  <c r="H38" i="12"/>
  <c r="H34" i="12"/>
  <c r="H30" i="12"/>
  <c r="H26" i="12"/>
  <c r="H22" i="12"/>
  <c r="H18" i="12"/>
  <c r="H59" i="12"/>
  <c r="H55" i="12"/>
  <c r="H51" i="12"/>
  <c r="H47" i="12"/>
  <c r="H43" i="12"/>
  <c r="H39" i="12"/>
  <c r="H35" i="12"/>
  <c r="H31" i="12"/>
  <c r="H27" i="12"/>
  <c r="H23" i="12"/>
  <c r="H19" i="12"/>
  <c r="H15" i="12"/>
  <c r="H11" i="12"/>
  <c r="H62" i="12"/>
  <c r="H60" i="12"/>
  <c r="H56" i="12"/>
  <c r="H52" i="12"/>
  <c r="H48" i="12"/>
  <c r="H44" i="12"/>
  <c r="H40" i="12"/>
  <c r="H36" i="12"/>
  <c r="H32" i="12"/>
  <c r="H28" i="12"/>
  <c r="H24" i="12"/>
  <c r="H20" i="12"/>
  <c r="H16" i="12"/>
  <c r="H12" i="12"/>
  <c r="X250" i="12"/>
  <c r="X251" i="12"/>
  <c r="X247" i="12"/>
  <c r="X248" i="12"/>
  <c r="X249" i="12"/>
  <c r="X245" i="12"/>
  <c r="X246" i="12"/>
  <c r="X241" i="12"/>
  <c r="X242" i="12"/>
  <c r="X243" i="12"/>
  <c r="X239" i="12"/>
  <c r="X240" i="12"/>
  <c r="X237" i="12"/>
  <c r="X244" i="12"/>
  <c r="X238" i="12"/>
  <c r="X236" i="12"/>
  <c r="X232" i="12"/>
  <c r="X233" i="12"/>
  <c r="X234" i="12"/>
  <c r="X235" i="12"/>
  <c r="X231" i="12"/>
  <c r="X229" i="12"/>
  <c r="X225" i="12"/>
  <c r="X230" i="12"/>
  <c r="X226" i="12"/>
  <c r="X227" i="12"/>
  <c r="X228" i="12"/>
  <c r="X223" i="12"/>
  <c r="X219" i="12"/>
  <c r="X224" i="12"/>
  <c r="X220" i="12"/>
  <c r="X221" i="12"/>
  <c r="X222" i="12"/>
  <c r="X216" i="12"/>
  <c r="X212" i="12"/>
  <c r="X208" i="12"/>
  <c r="X217" i="12"/>
  <c r="X213" i="12"/>
  <c r="X209" i="12"/>
  <c r="X218" i="12"/>
  <c r="X214" i="12"/>
  <c r="X210" i="12"/>
  <c r="X206" i="12"/>
  <c r="X215" i="12"/>
  <c r="X211" i="12"/>
  <c r="X207" i="12"/>
  <c r="X205" i="12"/>
  <c r="X201" i="12"/>
  <c r="X197" i="12"/>
  <c r="X193" i="12"/>
  <c r="X202" i="12"/>
  <c r="X198" i="12"/>
  <c r="X194" i="12"/>
  <c r="X203" i="12"/>
  <c r="X199" i="12"/>
  <c r="X195" i="12"/>
  <c r="X204" i="12"/>
  <c r="X200" i="12"/>
  <c r="X196" i="12"/>
  <c r="X190" i="12"/>
  <c r="X186" i="12"/>
  <c r="X182" i="12"/>
  <c r="X191" i="12"/>
  <c r="X187" i="12"/>
  <c r="X183" i="12"/>
  <c r="X192" i="12"/>
  <c r="X188" i="12"/>
  <c r="X184" i="12"/>
  <c r="X180" i="12"/>
  <c r="X189" i="12"/>
  <c r="X185" i="12"/>
  <c r="X181" i="12"/>
  <c r="X179" i="12"/>
  <c r="X175" i="12"/>
  <c r="X171" i="12"/>
  <c r="X176" i="12"/>
  <c r="X172" i="12"/>
  <c r="X168" i="12"/>
  <c r="X177" i="12"/>
  <c r="X173" i="12"/>
  <c r="X169" i="12"/>
  <c r="X178" i="12"/>
  <c r="X174" i="12"/>
  <c r="X170" i="12"/>
  <c r="X167" i="12"/>
  <c r="X165" i="12"/>
  <c r="X161" i="12"/>
  <c r="X157" i="12"/>
  <c r="X153" i="12"/>
  <c r="X149" i="12"/>
  <c r="X145" i="12"/>
  <c r="X166" i="12"/>
  <c r="X162" i="12"/>
  <c r="X158" i="12"/>
  <c r="X154" i="12"/>
  <c r="X150" i="12"/>
  <c r="X146" i="12"/>
  <c r="X142" i="12"/>
  <c r="X163" i="12"/>
  <c r="X159" i="12"/>
  <c r="X155" i="12"/>
  <c r="X151" i="12"/>
  <c r="X147" i="12"/>
  <c r="X143" i="12"/>
  <c r="X164" i="12"/>
  <c r="X160" i="12"/>
  <c r="X156" i="12"/>
  <c r="X152" i="12"/>
  <c r="X148" i="12"/>
  <c r="X144" i="12"/>
  <c r="X140" i="12"/>
  <c r="X136" i="12"/>
  <c r="X132" i="12"/>
  <c r="X128" i="12"/>
  <c r="X124" i="12"/>
  <c r="X120" i="12"/>
  <c r="X141" i="12"/>
  <c r="X137" i="12"/>
  <c r="X133" i="12"/>
  <c r="X129" i="12"/>
  <c r="X125" i="12"/>
  <c r="X121" i="12"/>
  <c r="X138" i="12"/>
  <c r="X134" i="12"/>
  <c r="X130" i="12"/>
  <c r="X126" i="12"/>
  <c r="X122" i="12"/>
  <c r="X118" i="12"/>
  <c r="X139" i="12"/>
  <c r="X135" i="12"/>
  <c r="X131" i="12"/>
  <c r="X127" i="12"/>
  <c r="X123" i="12"/>
  <c r="X119" i="12"/>
  <c r="X113" i="12"/>
  <c r="X109" i="12"/>
  <c r="X105" i="12"/>
  <c r="X101" i="12"/>
  <c r="X97" i="12"/>
  <c r="X117" i="12"/>
  <c r="X114" i="12"/>
  <c r="X110" i="12"/>
  <c r="X106" i="12"/>
  <c r="X102" i="12"/>
  <c r="X98" i="12"/>
  <c r="X94" i="12"/>
  <c r="X115" i="12"/>
  <c r="X111" i="12"/>
  <c r="X107" i="12"/>
  <c r="X103" i="12"/>
  <c r="X99" i="12"/>
  <c r="X95" i="12"/>
  <c r="X91" i="12"/>
  <c r="X116" i="12"/>
  <c r="X112" i="12"/>
  <c r="X108" i="12"/>
  <c r="X104" i="12"/>
  <c r="X100" i="12"/>
  <c r="X96" i="12"/>
  <c r="X92" i="12"/>
  <c r="X88" i="12"/>
  <c r="X93" i="12"/>
  <c r="X90" i="12"/>
  <c r="X84" i="12"/>
  <c r="X80" i="12"/>
  <c r="X76" i="12"/>
  <c r="X72" i="12"/>
  <c r="X68" i="12"/>
  <c r="X64" i="12"/>
  <c r="X85" i="12"/>
  <c r="X81" i="12"/>
  <c r="X77" i="12"/>
  <c r="X73" i="12"/>
  <c r="X69" i="12"/>
  <c r="X65" i="12"/>
  <c r="X61" i="12"/>
  <c r="X89" i="12"/>
  <c r="X86" i="12"/>
  <c r="X82" i="12"/>
  <c r="X78" i="12"/>
  <c r="X74" i="12"/>
  <c r="X70" i="12"/>
  <c r="X66" i="12"/>
  <c r="X87" i="12"/>
  <c r="X83" i="12"/>
  <c r="X79" i="12"/>
  <c r="X75" i="12"/>
  <c r="X71" i="12"/>
  <c r="X67" i="12"/>
  <c r="X63" i="12"/>
  <c r="X57" i="12"/>
  <c r="X53" i="12"/>
  <c r="X49" i="12"/>
  <c r="X45" i="12"/>
  <c r="X41" i="12"/>
  <c r="X37" i="12"/>
  <c r="X33" i="12"/>
  <c r="X29" i="12"/>
  <c r="X25" i="12"/>
  <c r="X21" i="12"/>
  <c r="X17" i="12"/>
  <c r="X58" i="12"/>
  <c r="X54" i="12"/>
  <c r="X50" i="12"/>
  <c r="X46" i="12"/>
  <c r="X42" i="12"/>
  <c r="X38" i="12"/>
  <c r="X34" i="12"/>
  <c r="X30" i="12"/>
  <c r="X26" i="12"/>
  <c r="X22" i="12"/>
  <c r="X18" i="12"/>
  <c r="X59" i="12"/>
  <c r="X55" i="12"/>
  <c r="X51" i="12"/>
  <c r="X47" i="12"/>
  <c r="X43" i="12"/>
  <c r="X39" i="12"/>
  <c r="X35" i="12"/>
  <c r="X31" i="12"/>
  <c r="X27" i="12"/>
  <c r="X23" i="12"/>
  <c r="X19" i="12"/>
  <c r="X15" i="12"/>
  <c r="X11" i="12"/>
  <c r="X62" i="12"/>
  <c r="X60" i="12"/>
  <c r="X56" i="12"/>
  <c r="X52" i="12"/>
  <c r="X48" i="12"/>
  <c r="X44" i="12"/>
  <c r="X40" i="12"/>
  <c r="X36" i="12"/>
  <c r="X32" i="12"/>
  <c r="X28" i="12"/>
  <c r="X24" i="12"/>
  <c r="X20" i="12"/>
  <c r="X16" i="12"/>
  <c r="X12" i="12"/>
  <c r="AN250" i="12"/>
  <c r="AN251" i="12"/>
  <c r="AN247" i="12"/>
  <c r="AN248" i="12"/>
  <c r="AN245" i="12"/>
  <c r="AN249" i="12"/>
  <c r="AN246" i="12"/>
  <c r="AN241" i="12"/>
  <c r="AN242" i="12"/>
  <c r="AN244" i="12"/>
  <c r="AN243" i="12"/>
  <c r="AN239" i="12"/>
  <c r="AN240" i="12"/>
  <c r="AN237" i="12"/>
  <c r="AN238" i="12"/>
  <c r="AN236" i="12"/>
  <c r="AN232" i="12"/>
  <c r="AN233" i="12"/>
  <c r="AN234" i="12"/>
  <c r="AN235" i="12"/>
  <c r="AN231" i="12"/>
  <c r="AN229" i="12"/>
  <c r="AN225" i="12"/>
  <c r="AN230" i="12"/>
  <c r="AN226" i="12"/>
  <c r="AN227" i="12"/>
  <c r="AN228" i="12"/>
  <c r="AN223" i="12"/>
  <c r="AN219" i="12"/>
  <c r="AN224" i="12"/>
  <c r="AN220" i="12"/>
  <c r="AN221" i="12"/>
  <c r="AN222" i="12"/>
  <c r="AN218" i="12"/>
  <c r="AN216" i="12"/>
  <c r="AN212" i="12"/>
  <c r="AN208" i="12"/>
  <c r="AN217" i="12"/>
  <c r="AN213" i="12"/>
  <c r="AN209" i="12"/>
  <c r="AN214" i="12"/>
  <c r="AN210" i="12"/>
  <c r="AN206" i="12"/>
  <c r="AN215" i="12"/>
  <c r="AN211" i="12"/>
  <c r="AN207" i="12"/>
  <c r="AN205" i="12"/>
  <c r="AN201" i="12"/>
  <c r="AN197" i="12"/>
  <c r="AN193" i="12"/>
  <c r="AN202" i="12"/>
  <c r="AN198" i="12"/>
  <c r="AN194" i="12"/>
  <c r="AN203" i="12"/>
  <c r="AN199" i="12"/>
  <c r="AN195" i="12"/>
  <c r="AN204" i="12"/>
  <c r="AN200" i="12"/>
  <c r="AN196" i="12"/>
  <c r="AN190" i="12"/>
  <c r="AN186" i="12"/>
  <c r="AN182" i="12"/>
  <c r="AN191" i="12"/>
  <c r="AN187" i="12"/>
  <c r="AN183" i="12"/>
  <c r="AN192" i="12"/>
  <c r="AN188" i="12"/>
  <c r="AN184" i="12"/>
  <c r="AN180" i="12"/>
  <c r="AN189" i="12"/>
  <c r="AN185" i="12"/>
  <c r="AN181" i="12"/>
  <c r="AN179" i="12"/>
  <c r="AN175" i="12"/>
  <c r="AN171" i="12"/>
  <c r="AN167" i="12"/>
  <c r="AN176" i="12"/>
  <c r="AN172" i="12"/>
  <c r="AN168" i="12"/>
  <c r="AN177" i="12"/>
  <c r="AN173" i="12"/>
  <c r="AN169" i="12"/>
  <c r="AN178" i="12"/>
  <c r="AN174" i="12"/>
  <c r="AN170" i="12"/>
  <c r="AN165" i="12"/>
  <c r="AN161" i="12"/>
  <c r="AN157" i="12"/>
  <c r="AN153" i="12"/>
  <c r="AN149" i="12"/>
  <c r="AN145" i="12"/>
  <c r="AN166" i="12"/>
  <c r="AN162" i="12"/>
  <c r="AN158" i="12"/>
  <c r="AN154" i="12"/>
  <c r="AN150" i="12"/>
  <c r="AN146" i="12"/>
  <c r="AN142" i="12"/>
  <c r="AN163" i="12"/>
  <c r="AN159" i="12"/>
  <c r="AN155" i="12"/>
  <c r="AN151" i="12"/>
  <c r="AN147" i="12"/>
  <c r="AN143" i="12"/>
  <c r="AN164" i="12"/>
  <c r="AN160" i="12"/>
  <c r="AN156" i="12"/>
  <c r="AN152" i="12"/>
  <c r="AN148" i="12"/>
  <c r="AN144" i="12"/>
  <c r="AN140" i="12"/>
  <c r="AN136" i="12"/>
  <c r="AN132" i="12"/>
  <c r="AN128" i="12"/>
  <c r="AN124" i="12"/>
  <c r="AN120" i="12"/>
  <c r="AN141" i="12"/>
  <c r="AN137" i="12"/>
  <c r="AN133" i="12"/>
  <c r="AN129" i="12"/>
  <c r="AN125" i="12"/>
  <c r="AN121" i="12"/>
  <c r="AN138" i="12"/>
  <c r="AN134" i="12"/>
  <c r="AN130" i="12"/>
  <c r="AN126" i="12"/>
  <c r="AN122" i="12"/>
  <c r="AN118" i="12"/>
  <c r="AN139" i="12"/>
  <c r="AN135" i="12"/>
  <c r="AN131" i="12"/>
  <c r="AN127" i="12"/>
  <c r="AN123" i="12"/>
  <c r="AN119" i="12"/>
  <c r="AN113" i="12"/>
  <c r="AN109" i="12"/>
  <c r="AN105" i="12"/>
  <c r="AN101" i="12"/>
  <c r="AN97" i="12"/>
  <c r="AN117" i="12"/>
  <c r="AN114" i="12"/>
  <c r="AN110" i="12"/>
  <c r="AN106" i="12"/>
  <c r="AN102" i="12"/>
  <c r="AN98" i="12"/>
  <c r="AN94" i="12"/>
  <c r="AN115" i="12"/>
  <c r="AN111" i="12"/>
  <c r="AN107" i="12"/>
  <c r="AN103" i="12"/>
  <c r="AN99" i="12"/>
  <c r="AN95" i="12"/>
  <c r="AN91" i="12"/>
  <c r="AN116" i="12"/>
  <c r="AN112" i="12"/>
  <c r="AN108" i="12"/>
  <c r="AN104" i="12"/>
  <c r="AN100" i="12"/>
  <c r="AN96" i="12"/>
  <c r="AN92" i="12"/>
  <c r="AN88" i="12"/>
  <c r="AN93" i="12"/>
  <c r="AN90" i="12"/>
  <c r="AN84" i="12"/>
  <c r="AN80" i="12"/>
  <c r="AN76" i="12"/>
  <c r="AN72" i="12"/>
  <c r="AN68" i="12"/>
  <c r="AN64" i="12"/>
  <c r="AN85" i="12"/>
  <c r="AN81" i="12"/>
  <c r="AN77" i="12"/>
  <c r="AN73" i="12"/>
  <c r="AN69" i="12"/>
  <c r="AN65" i="12"/>
  <c r="AN61" i="12"/>
  <c r="AN89" i="12"/>
  <c r="AN86" i="12"/>
  <c r="AN82" i="12"/>
  <c r="AN78" i="12"/>
  <c r="AN74" i="12"/>
  <c r="AN70" i="12"/>
  <c r="AN66" i="12"/>
  <c r="AN87" i="12"/>
  <c r="AN83" i="12"/>
  <c r="AN79" i="12"/>
  <c r="AN75" i="12"/>
  <c r="AN71" i="12"/>
  <c r="AN67" i="12"/>
  <c r="AN63" i="12"/>
  <c r="AN57" i="12"/>
  <c r="AN53" i="12"/>
  <c r="AN49" i="12"/>
  <c r="AN45" i="12"/>
  <c r="AN41" i="12"/>
  <c r="AN37" i="12"/>
  <c r="AN33" i="12"/>
  <c r="AN29" i="12"/>
  <c r="AN25" i="12"/>
  <c r="AN21" i="12"/>
  <c r="AN17" i="12"/>
  <c r="AN58" i="12"/>
  <c r="AN54" i="12"/>
  <c r="AN50" i="12"/>
  <c r="AN46" i="12"/>
  <c r="AN42" i="12"/>
  <c r="AN38" i="12"/>
  <c r="AN34" i="12"/>
  <c r="AN30" i="12"/>
  <c r="AN26" i="12"/>
  <c r="AN22" i="12"/>
  <c r="AN18" i="12"/>
  <c r="AN59" i="12"/>
  <c r="AN55" i="12"/>
  <c r="AN51" i="12"/>
  <c r="AN47" i="12"/>
  <c r="AN43" i="12"/>
  <c r="AN39" i="12"/>
  <c r="AN35" i="12"/>
  <c r="AN31" i="12"/>
  <c r="AN27" i="12"/>
  <c r="AN23" i="12"/>
  <c r="AN19" i="12"/>
  <c r="AN15" i="12"/>
  <c r="AN11" i="12"/>
  <c r="AN62" i="12"/>
  <c r="AN60" i="12"/>
  <c r="AN56" i="12"/>
  <c r="AN52" i="12"/>
  <c r="AN48" i="12"/>
  <c r="AN44" i="12"/>
  <c r="AN40" i="12"/>
  <c r="AN36" i="12"/>
  <c r="AN32" i="12"/>
  <c r="AN28" i="12"/>
  <c r="AN24" i="12"/>
  <c r="AN20" i="12"/>
  <c r="AN16" i="12"/>
  <c r="AN12" i="12"/>
  <c r="BD250" i="12"/>
  <c r="BD251" i="12"/>
  <c r="BD247" i="12"/>
  <c r="BD248" i="12"/>
  <c r="BD249" i="12"/>
  <c r="BD245" i="12"/>
  <c r="BD246" i="12"/>
  <c r="BD241" i="12"/>
  <c r="BD242" i="12"/>
  <c r="BD244" i="12"/>
  <c r="BD243" i="12"/>
  <c r="BD239" i="12"/>
  <c r="BD240" i="12"/>
  <c r="BD237" i="12"/>
  <c r="BD238" i="12"/>
  <c r="BD236" i="12"/>
  <c r="BD232" i="12"/>
  <c r="BD233" i="12"/>
  <c r="BD234" i="12"/>
  <c r="BD235" i="12"/>
  <c r="BD231" i="12"/>
  <c r="BD229" i="12"/>
  <c r="BD225" i="12"/>
  <c r="BD230" i="12"/>
  <c r="BD226" i="12"/>
  <c r="BD227" i="12"/>
  <c r="BD228" i="12"/>
  <c r="BD223" i="12"/>
  <c r="BD219" i="12"/>
  <c r="BD224" i="12"/>
  <c r="BD220" i="12"/>
  <c r="BD221" i="12"/>
  <c r="BD222" i="12"/>
  <c r="BD218" i="12"/>
  <c r="BD216" i="12"/>
  <c r="BD212" i="12"/>
  <c r="BD208" i="12"/>
  <c r="BD217" i="12"/>
  <c r="BD213" i="12"/>
  <c r="BD209" i="12"/>
  <c r="BD214" i="12"/>
  <c r="BD210" i="12"/>
  <c r="BD206" i="12"/>
  <c r="BD215" i="12"/>
  <c r="BD211" i="12"/>
  <c r="BD207" i="12"/>
  <c r="BD205" i="12"/>
  <c r="BD201" i="12"/>
  <c r="BD197" i="12"/>
  <c r="BD193" i="12"/>
  <c r="BD202" i="12"/>
  <c r="BD198" i="12"/>
  <c r="BD194" i="12"/>
  <c r="BD203" i="12"/>
  <c r="BD199" i="12"/>
  <c r="BD195" i="12"/>
  <c r="BD204" i="12"/>
  <c r="BD200" i="12"/>
  <c r="BD196" i="12"/>
  <c r="BD190" i="12"/>
  <c r="BD186" i="12"/>
  <c r="BD182" i="12"/>
  <c r="BD191" i="12"/>
  <c r="BD187" i="12"/>
  <c r="BD183" i="12"/>
  <c r="BD192" i="12"/>
  <c r="BD188" i="12"/>
  <c r="BD184" i="12"/>
  <c r="BD180" i="12"/>
  <c r="BD189" i="12"/>
  <c r="BD185" i="12"/>
  <c r="BD181" i="12"/>
  <c r="BD179" i="12"/>
  <c r="BD175" i="12"/>
  <c r="BD171" i="12"/>
  <c r="BD167" i="12"/>
  <c r="BD176" i="12"/>
  <c r="BD172" i="12"/>
  <c r="BD168" i="12"/>
  <c r="BD177" i="12"/>
  <c r="BD173" i="12"/>
  <c r="BD169" i="12"/>
  <c r="BD178" i="12"/>
  <c r="BD174" i="12"/>
  <c r="BD170" i="12"/>
  <c r="BD165" i="12"/>
  <c r="BD161" i="12"/>
  <c r="BD157" i="12"/>
  <c r="BD153" i="12"/>
  <c r="BD149" i="12"/>
  <c r="BD145" i="12"/>
  <c r="BD166" i="12"/>
  <c r="BD162" i="12"/>
  <c r="BD158" i="12"/>
  <c r="BD154" i="12"/>
  <c r="BD150" i="12"/>
  <c r="BD146" i="12"/>
  <c r="BD142" i="12"/>
  <c r="BD163" i="12"/>
  <c r="BD159" i="12"/>
  <c r="BD155" i="12"/>
  <c r="BD151" i="12"/>
  <c r="BD147" i="12"/>
  <c r="BD143" i="12"/>
  <c r="BD164" i="12"/>
  <c r="BD160" i="12"/>
  <c r="BD156" i="12"/>
  <c r="BD152" i="12"/>
  <c r="BD148" i="12"/>
  <c r="BD144" i="12"/>
  <c r="BD140" i="12"/>
  <c r="BD136" i="12"/>
  <c r="BD132" i="12"/>
  <c r="BD128" i="12"/>
  <c r="BD124" i="12"/>
  <c r="BD120" i="12"/>
  <c r="BD137" i="12"/>
  <c r="BD133" i="12"/>
  <c r="BD129" i="12"/>
  <c r="BD125" i="12"/>
  <c r="BD121" i="12"/>
  <c r="BD138" i="12"/>
  <c r="BD134" i="12"/>
  <c r="BD130" i="12"/>
  <c r="BD126" i="12"/>
  <c r="BD122" i="12"/>
  <c r="BD118" i="12"/>
  <c r="BD141" i="12"/>
  <c r="BD139" i="12"/>
  <c r="BD135" i="12"/>
  <c r="BD131" i="12"/>
  <c r="BD127" i="12"/>
  <c r="BD123" i="12"/>
  <c r="BD119" i="12"/>
  <c r="BD113" i="12"/>
  <c r="BD109" i="12"/>
  <c r="BD105" i="12"/>
  <c r="BD101" i="12"/>
  <c r="BD97" i="12"/>
  <c r="BD93" i="12"/>
  <c r="BD117" i="12"/>
  <c r="BD114" i="12"/>
  <c r="BD110" i="12"/>
  <c r="BD106" i="12"/>
  <c r="BD102" i="12"/>
  <c r="BD98" i="12"/>
  <c r="BD94" i="12"/>
  <c r="BD115" i="12"/>
  <c r="BD111" i="12"/>
  <c r="BD107" i="12"/>
  <c r="BD103" i="12"/>
  <c r="BD99" i="12"/>
  <c r="BD95" i="12"/>
  <c r="BD91" i="12"/>
  <c r="BD87" i="12"/>
  <c r="BD116" i="12"/>
  <c r="BD112" i="12"/>
  <c r="BD108" i="12"/>
  <c r="BD104" i="12"/>
  <c r="BD100" i="12"/>
  <c r="BD96" i="12"/>
  <c r="BD92" i="12"/>
  <c r="BD88" i="12"/>
  <c r="BD90" i="12"/>
  <c r="BD84" i="12"/>
  <c r="BD80" i="12"/>
  <c r="BD76" i="12"/>
  <c r="BD72" i="12"/>
  <c r="BD68" i="12"/>
  <c r="BD64" i="12"/>
  <c r="BD85" i="12"/>
  <c r="BD81" i="12"/>
  <c r="BD77" i="12"/>
  <c r="BD73" i="12"/>
  <c r="BD69" i="12"/>
  <c r="BD65" i="12"/>
  <c r="BD61" i="12"/>
  <c r="BD89" i="12"/>
  <c r="BD86" i="12"/>
  <c r="BD82" i="12"/>
  <c r="BD78" i="12"/>
  <c r="BD74" i="12"/>
  <c r="BD70" i="12"/>
  <c r="BD66" i="12"/>
  <c r="BD83" i="12"/>
  <c r="BD79" i="12"/>
  <c r="BD75" i="12"/>
  <c r="BD71" i="12"/>
  <c r="BD67" i="12"/>
  <c r="BD63" i="12"/>
  <c r="BD57" i="12"/>
  <c r="BD53" i="12"/>
  <c r="BD49" i="12"/>
  <c r="BD45" i="12"/>
  <c r="BD41" i="12"/>
  <c r="BD37" i="12"/>
  <c r="BD33" i="12"/>
  <c r="BD29" i="12"/>
  <c r="BD25" i="12"/>
  <c r="BD21" i="12"/>
  <c r="BD17" i="12"/>
  <c r="BD58" i="12"/>
  <c r="BD54" i="12"/>
  <c r="BD50" i="12"/>
  <c r="BD46" i="12"/>
  <c r="BD42" i="12"/>
  <c r="BD38" i="12"/>
  <c r="BD34" i="12"/>
  <c r="BD30" i="12"/>
  <c r="BD26" i="12"/>
  <c r="BD22" i="12"/>
  <c r="BD18" i="12"/>
  <c r="BD59" i="12"/>
  <c r="BD55" i="12"/>
  <c r="BD51" i="12"/>
  <c r="BD47" i="12"/>
  <c r="BD43" i="12"/>
  <c r="BD39" i="12"/>
  <c r="BD35" i="12"/>
  <c r="BD31" i="12"/>
  <c r="BD27" i="12"/>
  <c r="BD23" i="12"/>
  <c r="BD19" i="12"/>
  <c r="BD15" i="12"/>
  <c r="BD11" i="12"/>
  <c r="BD62" i="12"/>
  <c r="BD60" i="12"/>
  <c r="BD56" i="12"/>
  <c r="BD52" i="12"/>
  <c r="BD48" i="12"/>
  <c r="BD44" i="12"/>
  <c r="BD40" i="12"/>
  <c r="BD36" i="12"/>
  <c r="BD32" i="12"/>
  <c r="BD28" i="12"/>
  <c r="BD24" i="12"/>
  <c r="BD20" i="12"/>
  <c r="BD16" i="12"/>
  <c r="BD12" i="12"/>
  <c r="BP250" i="12"/>
  <c r="BP251" i="12"/>
  <c r="BP249" i="12"/>
  <c r="BP247" i="12"/>
  <c r="BP248" i="12"/>
  <c r="BP245" i="12"/>
  <c r="BP246" i="12"/>
  <c r="BP244" i="12"/>
  <c r="BP241" i="12"/>
  <c r="BP242" i="12"/>
  <c r="BP243" i="12"/>
  <c r="BP239" i="12"/>
  <c r="BP237" i="12"/>
  <c r="BP240" i="12"/>
  <c r="BP238" i="12"/>
  <c r="BP236" i="12"/>
  <c r="BP232" i="12"/>
  <c r="BP233" i="12"/>
  <c r="BP234" i="12"/>
  <c r="BP235" i="12"/>
  <c r="BP231" i="12"/>
  <c r="BP229" i="12"/>
  <c r="BP225" i="12"/>
  <c r="BP230" i="12"/>
  <c r="BP226" i="12"/>
  <c r="BP227" i="12"/>
  <c r="BP228" i="12"/>
  <c r="BP223" i="12"/>
  <c r="BP219" i="12"/>
  <c r="BP224" i="12"/>
  <c r="BP220" i="12"/>
  <c r="BP221" i="12"/>
  <c r="BP222" i="12"/>
  <c r="BP218" i="12"/>
  <c r="BP216" i="12"/>
  <c r="BP212" i="12"/>
  <c r="BP208" i="12"/>
  <c r="BP217" i="12"/>
  <c r="BP213" i="12"/>
  <c r="BP209" i="12"/>
  <c r="BP214" i="12"/>
  <c r="BP210" i="12"/>
  <c r="BP206" i="12"/>
  <c r="BP215" i="12"/>
  <c r="BP211" i="12"/>
  <c r="BP207" i="12"/>
  <c r="BP205" i="12"/>
  <c r="BP201" i="12"/>
  <c r="BP197" i="12"/>
  <c r="BP193" i="12"/>
  <c r="BP202" i="12"/>
  <c r="BP198" i="12"/>
  <c r="BP194" i="12"/>
  <c r="BP203" i="12"/>
  <c r="BP199" i="12"/>
  <c r="BP195" i="12"/>
  <c r="BP204" i="12"/>
  <c r="BP200" i="12"/>
  <c r="BP196" i="12"/>
  <c r="BP190" i="12"/>
  <c r="BP186" i="12"/>
  <c r="BP182" i="12"/>
  <c r="BP191" i="12"/>
  <c r="BP187" i="12"/>
  <c r="BP183" i="12"/>
  <c r="BP192" i="12"/>
  <c r="BP188" i="12"/>
  <c r="BP184" i="12"/>
  <c r="BP180" i="12"/>
  <c r="BP189" i="12"/>
  <c r="BP185" i="12"/>
  <c r="BP181" i="12"/>
  <c r="BP179" i="12"/>
  <c r="BP175" i="12"/>
  <c r="BP171" i="12"/>
  <c r="BP167" i="12"/>
  <c r="BP176" i="12"/>
  <c r="BP172" i="12"/>
  <c r="BP168" i="12"/>
  <c r="BP177" i="12"/>
  <c r="BP173" i="12"/>
  <c r="BP169" i="12"/>
  <c r="BP178" i="12"/>
  <c r="BP174" i="12"/>
  <c r="BP170" i="12"/>
  <c r="BP165" i="12"/>
  <c r="BP161" i="12"/>
  <c r="BP157" i="12"/>
  <c r="BP153" i="12"/>
  <c r="BP149" i="12"/>
  <c r="BP145" i="12"/>
  <c r="BP166" i="12"/>
  <c r="BP162" i="12"/>
  <c r="BP158" i="12"/>
  <c r="BP154" i="12"/>
  <c r="BP150" i="12"/>
  <c r="BP146" i="12"/>
  <c r="BP142" i="12"/>
  <c r="BP163" i="12"/>
  <c r="BP159" i="12"/>
  <c r="BP155" i="12"/>
  <c r="BP151" i="12"/>
  <c r="BP147" i="12"/>
  <c r="BP143" i="12"/>
  <c r="BP164" i="12"/>
  <c r="BP160" i="12"/>
  <c r="BP156" i="12"/>
  <c r="BP152" i="12"/>
  <c r="BP148" i="12"/>
  <c r="BP144" i="12"/>
  <c r="BP140" i="12"/>
  <c r="BP136" i="12"/>
  <c r="BP132" i="12"/>
  <c r="BP128" i="12"/>
  <c r="BP124" i="12"/>
  <c r="BP120" i="12"/>
  <c r="BP137" i="12"/>
  <c r="BP133" i="12"/>
  <c r="BP129" i="12"/>
  <c r="BP125" i="12"/>
  <c r="BP121" i="12"/>
  <c r="BP141" i="12"/>
  <c r="BP138" i="12"/>
  <c r="BP134" i="12"/>
  <c r="BP130" i="12"/>
  <c r="BP126" i="12"/>
  <c r="BP122" i="12"/>
  <c r="BP118" i="12"/>
  <c r="BP139" i="12"/>
  <c r="BP135" i="12"/>
  <c r="BP131" i="12"/>
  <c r="BP127" i="12"/>
  <c r="BP123" i="12"/>
  <c r="BP119" i="12"/>
  <c r="BP113" i="12"/>
  <c r="BP109" i="12"/>
  <c r="BP105" i="12"/>
  <c r="BP101" i="12"/>
  <c r="BP97" i="12"/>
  <c r="BP93" i="12"/>
  <c r="BP116" i="12"/>
  <c r="BP114" i="12"/>
  <c r="BP110" i="12"/>
  <c r="BP106" i="12"/>
  <c r="BP102" i="12"/>
  <c r="BP98" i="12"/>
  <c r="BP94" i="12"/>
  <c r="BP115" i="12"/>
  <c r="BP111" i="12"/>
  <c r="BP107" i="12"/>
  <c r="BP103" i="12"/>
  <c r="BP99" i="12"/>
  <c r="BP95" i="12"/>
  <c r="BP91" i="12"/>
  <c r="BP87" i="12"/>
  <c r="BP117" i="12"/>
  <c r="BP112" i="12"/>
  <c r="BP108" i="12"/>
  <c r="BP104" i="12"/>
  <c r="BP100" i="12"/>
  <c r="BP96" i="12"/>
  <c r="BP92" i="12"/>
  <c r="BP88" i="12"/>
  <c r="BP89" i="12"/>
  <c r="BP84" i="12"/>
  <c r="BP80" i="12"/>
  <c r="BP76" i="12"/>
  <c r="BP72" i="12"/>
  <c r="BP68" i="12"/>
  <c r="BP64" i="12"/>
  <c r="BP85" i="12"/>
  <c r="BP81" i="12"/>
  <c r="BP77" i="12"/>
  <c r="BP73" i="12"/>
  <c r="BP69" i="12"/>
  <c r="BP65" i="12"/>
  <c r="BP61" i="12"/>
  <c r="BP90" i="12"/>
  <c r="BP86" i="12"/>
  <c r="BP82" i="12"/>
  <c r="BP78" i="12"/>
  <c r="BP74" i="12"/>
  <c r="BP70" i="12"/>
  <c r="BP66" i="12"/>
  <c r="BP83" i="12"/>
  <c r="BP79" i="12"/>
  <c r="BP75" i="12"/>
  <c r="BP71" i="12"/>
  <c r="BP67" i="12"/>
  <c r="BP63" i="12"/>
  <c r="BP57" i="12"/>
  <c r="BP53" i="12"/>
  <c r="BP49" i="12"/>
  <c r="BP45" i="12"/>
  <c r="BP41" i="12"/>
  <c r="BP37" i="12"/>
  <c r="BP33" i="12"/>
  <c r="BP29" i="12"/>
  <c r="BP25" i="12"/>
  <c r="BP21" i="12"/>
  <c r="BP17" i="12"/>
  <c r="BP62" i="12"/>
  <c r="BP58" i="12"/>
  <c r="BP54" i="12"/>
  <c r="BP50" i="12"/>
  <c r="BP46" i="12"/>
  <c r="BP42" i="12"/>
  <c r="BP38" i="12"/>
  <c r="BP34" i="12"/>
  <c r="BP30" i="12"/>
  <c r="BP26" i="12"/>
  <c r="BP22" i="12"/>
  <c r="BP18" i="12"/>
  <c r="BP59" i="12"/>
  <c r="BP55" i="12"/>
  <c r="BP51" i="12"/>
  <c r="BP47" i="12"/>
  <c r="BP43" i="12"/>
  <c r="BP39" i="12"/>
  <c r="BP35" i="12"/>
  <c r="BP31" i="12"/>
  <c r="BP27" i="12"/>
  <c r="BP23" i="12"/>
  <c r="BP19" i="12"/>
  <c r="BP15" i="12"/>
  <c r="BP11" i="12"/>
  <c r="BP60" i="12"/>
  <c r="BP56" i="12"/>
  <c r="BP52" i="12"/>
  <c r="BP48" i="12"/>
  <c r="BP44" i="12"/>
  <c r="BP40" i="12"/>
  <c r="BP36" i="12"/>
  <c r="BP32" i="12"/>
  <c r="BP28" i="12"/>
  <c r="BP24" i="12"/>
  <c r="BP20" i="12"/>
  <c r="BP16" i="12"/>
  <c r="BP12" i="12"/>
  <c r="CF250" i="12"/>
  <c r="CF251" i="12"/>
  <c r="CF249" i="12"/>
  <c r="CF247" i="12"/>
  <c r="CF248" i="12"/>
  <c r="CF245" i="12"/>
  <c r="CF246" i="12"/>
  <c r="CF244" i="12"/>
  <c r="CF241" i="12"/>
  <c r="CF242" i="12"/>
  <c r="CF243" i="12"/>
  <c r="CF239" i="12"/>
  <c r="CF237" i="12"/>
  <c r="CF240" i="12"/>
  <c r="CF238" i="12"/>
  <c r="CF236" i="12"/>
  <c r="CF232" i="12"/>
  <c r="CF233" i="12"/>
  <c r="CF234" i="12"/>
  <c r="CF235" i="12"/>
  <c r="CF231" i="12"/>
  <c r="CF229" i="12"/>
  <c r="CF225" i="12"/>
  <c r="CF230" i="12"/>
  <c r="CF226" i="12"/>
  <c r="CF227" i="12"/>
  <c r="CF228" i="12"/>
  <c r="CF224" i="12"/>
  <c r="CF223" i="12"/>
  <c r="CF219" i="12"/>
  <c r="CF220" i="12"/>
  <c r="CF221" i="12"/>
  <c r="CF222" i="12"/>
  <c r="CF218" i="12"/>
  <c r="CF216" i="12"/>
  <c r="CF212" i="12"/>
  <c r="CF208" i="12"/>
  <c r="CF217" i="12"/>
  <c r="CF213" i="12"/>
  <c r="CF209" i="12"/>
  <c r="CF214" i="12"/>
  <c r="CF210" i="12"/>
  <c r="CF206" i="12"/>
  <c r="CF215" i="12"/>
  <c r="CF211" i="12"/>
  <c r="CF207" i="12"/>
  <c r="CF205" i="12"/>
  <c r="CF201" i="12"/>
  <c r="CF197" i="12"/>
  <c r="CF193" i="12"/>
  <c r="CF202" i="12"/>
  <c r="CF198" i="12"/>
  <c r="CF194" i="12"/>
  <c r="CF203" i="12"/>
  <c r="CF199" i="12"/>
  <c r="CF195" i="12"/>
  <c r="CF204" i="12"/>
  <c r="CF200" i="12"/>
  <c r="CF196" i="12"/>
  <c r="CF190" i="12"/>
  <c r="CF186" i="12"/>
  <c r="CF182" i="12"/>
  <c r="CF191" i="12"/>
  <c r="CF187" i="12"/>
  <c r="CF183" i="12"/>
  <c r="CF192" i="12"/>
  <c r="CF188" i="12"/>
  <c r="CF184" i="12"/>
  <c r="CF180" i="12"/>
  <c r="CF189" i="12"/>
  <c r="CF185" i="12"/>
  <c r="CF181" i="12"/>
  <c r="CF179" i="12"/>
  <c r="CF175" i="12"/>
  <c r="CF171" i="12"/>
  <c r="CF167" i="12"/>
  <c r="CF176" i="12"/>
  <c r="CF172" i="12"/>
  <c r="CF168" i="12"/>
  <c r="CF177" i="12"/>
  <c r="CF173" i="12"/>
  <c r="CF169" i="12"/>
  <c r="CF178" i="12"/>
  <c r="CF174" i="12"/>
  <c r="CF170" i="12"/>
  <c r="CF165" i="12"/>
  <c r="CF161" i="12"/>
  <c r="CF157" i="12"/>
  <c r="CF153" i="12"/>
  <c r="CF149" i="12"/>
  <c r="CF145" i="12"/>
  <c r="CF141" i="12"/>
  <c r="CF166" i="12"/>
  <c r="CF162" i="12"/>
  <c r="CF158" i="12"/>
  <c r="CF154" i="12"/>
  <c r="CF150" i="12"/>
  <c r="CF146" i="12"/>
  <c r="CF142" i="12"/>
  <c r="CF163" i="12"/>
  <c r="CF159" i="12"/>
  <c r="CF155" i="12"/>
  <c r="CF151" i="12"/>
  <c r="CF147" i="12"/>
  <c r="CF143" i="12"/>
  <c r="CF164" i="12"/>
  <c r="CF160" i="12"/>
  <c r="CF156" i="12"/>
  <c r="CF152" i="12"/>
  <c r="CF148" i="12"/>
  <c r="CF144" i="12"/>
  <c r="CF140" i="12"/>
  <c r="CF136" i="12"/>
  <c r="CF132" i="12"/>
  <c r="CF128" i="12"/>
  <c r="CF124" i="12"/>
  <c r="CF120" i="12"/>
  <c r="CF137" i="12"/>
  <c r="CF133" i="12"/>
  <c r="CF129" i="12"/>
  <c r="CF125" i="12"/>
  <c r="CF121" i="12"/>
  <c r="CF138" i="12"/>
  <c r="CF134" i="12"/>
  <c r="CF130" i="12"/>
  <c r="CF126" i="12"/>
  <c r="CF122" i="12"/>
  <c r="CF118" i="12"/>
  <c r="CF139" i="12"/>
  <c r="CF135" i="12"/>
  <c r="CF131" i="12"/>
  <c r="CF127" i="12"/>
  <c r="CF123" i="12"/>
  <c r="CF119" i="12"/>
  <c r="CF113" i="12"/>
  <c r="CF109" i="12"/>
  <c r="CF105" i="12"/>
  <c r="CF101" i="12"/>
  <c r="CF97" i="12"/>
  <c r="CF93" i="12"/>
  <c r="CF116" i="12"/>
  <c r="CF114" i="12"/>
  <c r="CF110" i="12"/>
  <c r="CF106" i="12"/>
  <c r="CF102" i="12"/>
  <c r="CF98" i="12"/>
  <c r="CF94" i="12"/>
  <c r="CF115" i="12"/>
  <c r="CF111" i="12"/>
  <c r="CF107" i="12"/>
  <c r="CF103" i="12"/>
  <c r="CF99" i="12"/>
  <c r="CF95" i="12"/>
  <c r="CF91" i="12"/>
  <c r="CF87" i="12"/>
  <c r="CF117" i="12"/>
  <c r="CF112" i="12"/>
  <c r="CF108" i="12"/>
  <c r="CF104" i="12"/>
  <c r="CF100" i="12"/>
  <c r="CF96" i="12"/>
  <c r="CF92" i="12"/>
  <c r="CF88" i="12"/>
  <c r="CF89" i="12"/>
  <c r="CF84" i="12"/>
  <c r="CF80" i="12"/>
  <c r="CF76" i="12"/>
  <c r="CF72" i="12"/>
  <c r="CF68" i="12"/>
  <c r="CF64" i="12"/>
  <c r="CF85" i="12"/>
  <c r="CF81" i="12"/>
  <c r="CF77" i="12"/>
  <c r="CF73" i="12"/>
  <c r="CF69" i="12"/>
  <c r="CF65" i="12"/>
  <c r="CF61" i="12"/>
  <c r="CF90" i="12"/>
  <c r="CF86" i="12"/>
  <c r="CF82" i="12"/>
  <c r="CF78" i="12"/>
  <c r="CF74" i="12"/>
  <c r="CF70" i="12"/>
  <c r="CF66" i="12"/>
  <c r="CF83" i="12"/>
  <c r="CF79" i="12"/>
  <c r="CF75" i="12"/>
  <c r="CF71" i="12"/>
  <c r="CF67" i="12"/>
  <c r="CF63" i="12"/>
  <c r="CF57" i="12"/>
  <c r="CF53" i="12"/>
  <c r="CF49" i="12"/>
  <c r="CF45" i="12"/>
  <c r="CF41" i="12"/>
  <c r="CF37" i="12"/>
  <c r="CF33" i="12"/>
  <c r="CF29" i="12"/>
  <c r="CF25" i="12"/>
  <c r="CF21" i="12"/>
  <c r="CF17" i="12"/>
  <c r="CF62" i="12"/>
  <c r="CF58" i="12"/>
  <c r="CF54" i="12"/>
  <c r="CF50" i="12"/>
  <c r="CF46" i="12"/>
  <c r="CF42" i="12"/>
  <c r="CF38" i="12"/>
  <c r="CF34" i="12"/>
  <c r="CF30" i="12"/>
  <c r="CF26" i="12"/>
  <c r="CF22" i="12"/>
  <c r="CF18" i="12"/>
  <c r="CF59" i="12"/>
  <c r="CF55" i="12"/>
  <c r="CF51" i="12"/>
  <c r="CF47" i="12"/>
  <c r="CF43" i="12"/>
  <c r="CF39" i="12"/>
  <c r="CF35" i="12"/>
  <c r="CF31" i="12"/>
  <c r="CF27" i="12"/>
  <c r="CF23" i="12"/>
  <c r="CF19" i="12"/>
  <c r="CF15" i="12"/>
  <c r="CF11" i="12"/>
  <c r="CF60" i="12"/>
  <c r="CF56" i="12"/>
  <c r="CF52" i="12"/>
  <c r="CF48" i="12"/>
  <c r="CF44" i="12"/>
  <c r="CF40" i="12"/>
  <c r="CF36" i="12"/>
  <c r="CF32" i="12"/>
  <c r="CF28" i="12"/>
  <c r="CF24" i="12"/>
  <c r="CF20" i="12"/>
  <c r="CF16" i="12"/>
  <c r="CF12" i="12"/>
  <c r="CR250" i="12"/>
  <c r="CR251" i="12"/>
  <c r="CR248" i="12"/>
  <c r="CR247" i="12"/>
  <c r="CR246" i="12"/>
  <c r="CR245" i="12"/>
  <c r="CR241" i="12"/>
  <c r="CR249" i="12"/>
  <c r="CR242" i="12"/>
  <c r="CR244" i="12"/>
  <c r="CR243" i="12"/>
  <c r="CR239" i="12"/>
  <c r="CR237" i="12"/>
  <c r="CR238" i="12"/>
  <c r="CR240" i="12"/>
  <c r="CR232" i="12"/>
  <c r="CR233" i="12"/>
  <c r="CR236" i="12"/>
  <c r="CR234" i="12"/>
  <c r="CR235" i="12"/>
  <c r="CR231" i="12"/>
  <c r="CR229" i="12"/>
  <c r="CR225" i="12"/>
  <c r="CR230" i="12"/>
  <c r="CR226" i="12"/>
  <c r="CR227" i="12"/>
  <c r="CR228" i="12"/>
  <c r="CR224" i="12"/>
  <c r="CR223" i="12"/>
  <c r="CR219" i="12"/>
  <c r="CR220" i="12"/>
  <c r="CR221" i="12"/>
  <c r="CR222" i="12"/>
  <c r="CR218" i="12"/>
  <c r="CR216" i="12"/>
  <c r="CR212" i="12"/>
  <c r="CR208" i="12"/>
  <c r="CR217" i="12"/>
  <c r="CR213" i="12"/>
  <c r="CR209" i="12"/>
  <c r="CR214" i="12"/>
  <c r="CR210" i="12"/>
  <c r="CR206" i="12"/>
  <c r="CR215" i="12"/>
  <c r="CR211" i="12"/>
  <c r="CR207" i="12"/>
  <c r="CR201" i="12"/>
  <c r="CR197" i="12"/>
  <c r="CR193" i="12"/>
  <c r="CR205" i="12"/>
  <c r="CR202" i="12"/>
  <c r="CR198" i="12"/>
  <c r="CR194" i="12"/>
  <c r="CR203" i="12"/>
  <c r="CR199" i="12"/>
  <c r="CR195" i="12"/>
  <c r="CR204" i="12"/>
  <c r="CR200" i="12"/>
  <c r="CR196" i="12"/>
  <c r="CR190" i="12"/>
  <c r="CR186" i="12"/>
  <c r="CR182" i="12"/>
  <c r="CR192" i="12"/>
  <c r="CR191" i="12"/>
  <c r="CR187" i="12"/>
  <c r="CR183" i="12"/>
  <c r="CR188" i="12"/>
  <c r="CR184" i="12"/>
  <c r="CR180" i="12"/>
  <c r="CR189" i="12"/>
  <c r="CR185" i="12"/>
  <c r="CR181" i="12"/>
  <c r="CR175" i="12"/>
  <c r="CR171" i="12"/>
  <c r="CR167" i="12"/>
  <c r="CR179" i="12"/>
  <c r="CR176" i="12"/>
  <c r="CR172" i="12"/>
  <c r="CR168" i="12"/>
  <c r="CR177" i="12"/>
  <c r="CR173" i="12"/>
  <c r="CR169" i="12"/>
  <c r="CR178" i="12"/>
  <c r="CR174" i="12"/>
  <c r="CR170" i="12"/>
  <c r="CR165" i="12"/>
  <c r="CR161" i="12"/>
  <c r="CR157" i="12"/>
  <c r="CR153" i="12"/>
  <c r="CR149" i="12"/>
  <c r="CR145" i="12"/>
  <c r="CR141" i="12"/>
  <c r="CR166" i="12"/>
  <c r="CR162" i="12"/>
  <c r="CR158" i="12"/>
  <c r="CR154" i="12"/>
  <c r="CR150" i="12"/>
  <c r="CR146" i="12"/>
  <c r="CR142" i="12"/>
  <c r="CR163" i="12"/>
  <c r="CR159" i="12"/>
  <c r="CR155" i="12"/>
  <c r="CR151" i="12"/>
  <c r="CR147" i="12"/>
  <c r="CR143" i="12"/>
  <c r="CR164" i="12"/>
  <c r="CR160" i="12"/>
  <c r="CR156" i="12"/>
  <c r="CR152" i="12"/>
  <c r="CR148" i="12"/>
  <c r="CR144" i="12"/>
  <c r="CR140" i="12"/>
  <c r="CR136" i="12"/>
  <c r="CR132" i="12"/>
  <c r="CR128" i="12"/>
  <c r="CR124" i="12"/>
  <c r="CR120" i="12"/>
  <c r="CR137" i="12"/>
  <c r="CR133" i="12"/>
  <c r="CR129" i="12"/>
  <c r="CR125" i="12"/>
  <c r="CR121" i="12"/>
  <c r="CR138" i="12"/>
  <c r="CR134" i="12"/>
  <c r="CR130" i="12"/>
  <c r="CR126" i="12"/>
  <c r="CR122" i="12"/>
  <c r="CR118" i="12"/>
  <c r="CR139" i="12"/>
  <c r="CR135" i="12"/>
  <c r="CR131" i="12"/>
  <c r="CR127" i="12"/>
  <c r="CR123" i="12"/>
  <c r="CR119" i="12"/>
  <c r="CR113" i="12"/>
  <c r="CR109" i="12"/>
  <c r="CR105" i="12"/>
  <c r="CR101" i="12"/>
  <c r="CR97" i="12"/>
  <c r="CR93" i="12"/>
  <c r="CR117" i="12"/>
  <c r="CR114" i="12"/>
  <c r="CR110" i="12"/>
  <c r="CR106" i="12"/>
  <c r="CR102" i="12"/>
  <c r="CR98" i="12"/>
  <c r="CR94" i="12"/>
  <c r="CR115" i="12"/>
  <c r="CR111" i="12"/>
  <c r="CR107" i="12"/>
  <c r="CR103" i="12"/>
  <c r="CR99" i="12"/>
  <c r="CR95" i="12"/>
  <c r="CR91" i="12"/>
  <c r="CR87" i="12"/>
  <c r="CR116" i="12"/>
  <c r="CR112" i="12"/>
  <c r="CR108" i="12"/>
  <c r="CR104" i="12"/>
  <c r="CR100" i="12"/>
  <c r="CR96" i="12"/>
  <c r="CR92" i="12"/>
  <c r="CR88" i="12"/>
  <c r="CR90" i="12"/>
  <c r="CR84" i="12"/>
  <c r="CR80" i="12"/>
  <c r="CR76" i="12"/>
  <c r="CR72" i="12"/>
  <c r="CR68" i="12"/>
  <c r="CR64" i="12"/>
  <c r="CR85" i="12"/>
  <c r="CR81" i="12"/>
  <c r="CR77" i="12"/>
  <c r="CR73" i="12"/>
  <c r="CR69" i="12"/>
  <c r="CR65" i="12"/>
  <c r="CR61" i="12"/>
  <c r="CR89" i="12"/>
  <c r="CR86" i="12"/>
  <c r="CR82" i="12"/>
  <c r="CR78" i="12"/>
  <c r="CR74" i="12"/>
  <c r="CR70" i="12"/>
  <c r="CR66" i="12"/>
  <c r="CR83" i="12"/>
  <c r="CR79" i="12"/>
  <c r="CR75" i="12"/>
  <c r="CR71" i="12"/>
  <c r="CR67" i="12"/>
  <c r="CR63" i="12"/>
  <c r="CR60" i="12"/>
  <c r="CR57" i="12"/>
  <c r="CR53" i="12"/>
  <c r="CR49" i="12"/>
  <c r="CR45" i="12"/>
  <c r="CR41" i="12"/>
  <c r="CR37" i="12"/>
  <c r="CR33" i="12"/>
  <c r="CR29" i="12"/>
  <c r="CR25" i="12"/>
  <c r="CR21" i="12"/>
  <c r="CR17" i="12"/>
  <c r="CR58" i="12"/>
  <c r="CR54" i="12"/>
  <c r="CR50" i="12"/>
  <c r="CR46" i="12"/>
  <c r="CR42" i="12"/>
  <c r="CR38" i="12"/>
  <c r="CR34" i="12"/>
  <c r="CR30" i="12"/>
  <c r="CR26" i="12"/>
  <c r="CR22" i="12"/>
  <c r="CR18" i="12"/>
  <c r="CR59" i="12"/>
  <c r="CR55" i="12"/>
  <c r="CR51" i="12"/>
  <c r="CR47" i="12"/>
  <c r="CR43" i="12"/>
  <c r="CR39" i="12"/>
  <c r="CR35" i="12"/>
  <c r="CR31" i="12"/>
  <c r="CR27" i="12"/>
  <c r="CR23" i="12"/>
  <c r="CR19" i="12"/>
  <c r="CR15" i="12"/>
  <c r="CR11" i="12"/>
  <c r="CR62" i="12"/>
  <c r="CR56" i="12"/>
  <c r="CR52" i="12"/>
  <c r="CR48" i="12"/>
  <c r="CR44" i="12"/>
  <c r="CR40" i="12"/>
  <c r="CR36" i="12"/>
  <c r="CR32" i="12"/>
  <c r="CR28" i="12"/>
  <c r="CR24" i="12"/>
  <c r="CR20" i="12"/>
  <c r="CR16" i="12"/>
  <c r="CR12" i="12"/>
  <c r="F3" i="12"/>
  <c r="R3" i="12"/>
  <c r="AH3" i="12"/>
  <c r="AX3" i="12"/>
  <c r="BF3" i="12"/>
  <c r="BV3" i="12"/>
  <c r="CL3" i="12"/>
  <c r="DB3" i="12"/>
  <c r="D5" i="12"/>
  <c r="T5" i="12"/>
  <c r="AJ5" i="12"/>
  <c r="BD5" i="12"/>
  <c r="CZ5" i="12"/>
  <c r="C251" i="12"/>
  <c r="C249" i="12"/>
  <c r="C250" i="12"/>
  <c r="C247" i="12"/>
  <c r="C248" i="12"/>
  <c r="C246" i="12"/>
  <c r="C244" i="12"/>
  <c r="C240" i="12"/>
  <c r="C241" i="12"/>
  <c r="C245" i="12"/>
  <c r="C242" i="12"/>
  <c r="C243" i="12"/>
  <c r="C238" i="12"/>
  <c r="C239" i="12"/>
  <c r="C235" i="12"/>
  <c r="C236" i="12"/>
  <c r="C232" i="12"/>
  <c r="C233" i="12"/>
  <c r="C237" i="12"/>
  <c r="C234" i="12"/>
  <c r="C228" i="12"/>
  <c r="C229" i="12"/>
  <c r="C225" i="12"/>
  <c r="C230" i="12"/>
  <c r="C226" i="12"/>
  <c r="C231" i="12"/>
  <c r="C227" i="12"/>
  <c r="C222" i="12"/>
  <c r="C223" i="12"/>
  <c r="C219" i="12"/>
  <c r="C224" i="12"/>
  <c r="C220" i="12"/>
  <c r="C221" i="12"/>
  <c r="C215" i="12"/>
  <c r="C211" i="12"/>
  <c r="C207" i="12"/>
  <c r="C216" i="12"/>
  <c r="C212" i="12"/>
  <c r="C208" i="12"/>
  <c r="C217" i="12"/>
  <c r="C213" i="12"/>
  <c r="C209" i="12"/>
  <c r="C218" i="12"/>
  <c r="C214" i="12"/>
  <c r="C210" i="12"/>
  <c r="C206" i="12"/>
  <c r="C204" i="12"/>
  <c r="C200" i="12"/>
  <c r="C196" i="12"/>
  <c r="C205" i="12"/>
  <c r="C201" i="12"/>
  <c r="C197" i="12"/>
  <c r="C193" i="12"/>
  <c r="C202" i="12"/>
  <c r="C198" i="12"/>
  <c r="C194" i="12"/>
  <c r="C203" i="12"/>
  <c r="C199" i="12"/>
  <c r="C195" i="12"/>
  <c r="C189" i="12"/>
  <c r="C185" i="12"/>
  <c r="C181" i="12"/>
  <c r="C190" i="12"/>
  <c r="C186" i="12"/>
  <c r="C182" i="12"/>
  <c r="C191" i="12"/>
  <c r="C187" i="12"/>
  <c r="C183" i="12"/>
  <c r="C192" i="12"/>
  <c r="C188" i="12"/>
  <c r="C184" i="12"/>
  <c r="C180" i="12"/>
  <c r="C178" i="12"/>
  <c r="C174" i="12"/>
  <c r="C170" i="12"/>
  <c r="C179" i="12"/>
  <c r="C175" i="12"/>
  <c r="C171" i="12"/>
  <c r="C176" i="12"/>
  <c r="C172" i="12"/>
  <c r="C168" i="12"/>
  <c r="C177" i="12"/>
  <c r="C173" i="12"/>
  <c r="C169" i="12"/>
  <c r="C164" i="12"/>
  <c r="C160" i="12"/>
  <c r="C156" i="12"/>
  <c r="C152" i="12"/>
  <c r="C148" i="12"/>
  <c r="C144" i="12"/>
  <c r="C165" i="12"/>
  <c r="C161" i="12"/>
  <c r="C157" i="12"/>
  <c r="C153" i="12"/>
  <c r="C149" i="12"/>
  <c r="C145" i="12"/>
  <c r="C166" i="12"/>
  <c r="C162" i="12"/>
  <c r="C158" i="12"/>
  <c r="C154" i="12"/>
  <c r="C150" i="12"/>
  <c r="C146" i="12"/>
  <c r="C142" i="12"/>
  <c r="C167" i="12"/>
  <c r="C163" i="12"/>
  <c r="C159" i="12"/>
  <c r="C155" i="12"/>
  <c r="C151" i="12"/>
  <c r="C147" i="12"/>
  <c r="C143" i="12"/>
  <c r="C139" i="12"/>
  <c r="C135" i="12"/>
  <c r="C131" i="12"/>
  <c r="C127" i="12"/>
  <c r="C123" i="12"/>
  <c r="C119" i="12"/>
  <c r="C140" i="12"/>
  <c r="C136" i="12"/>
  <c r="C132" i="12"/>
  <c r="C128" i="12"/>
  <c r="C124" i="12"/>
  <c r="C120" i="12"/>
  <c r="C141" i="12"/>
  <c r="C137" i="12"/>
  <c r="C133" i="12"/>
  <c r="C129" i="12"/>
  <c r="C125" i="12"/>
  <c r="C121" i="12"/>
  <c r="C117" i="12"/>
  <c r="C138" i="12"/>
  <c r="C134" i="12"/>
  <c r="C130" i="12"/>
  <c r="C126" i="12"/>
  <c r="C122" i="12"/>
  <c r="C118" i="12"/>
  <c r="C112" i="12"/>
  <c r="C108" i="12"/>
  <c r="C104" i="12"/>
  <c r="C100" i="12"/>
  <c r="C96" i="12"/>
  <c r="C113" i="12"/>
  <c r="C109" i="12"/>
  <c r="C105" i="12"/>
  <c r="C101" i="12"/>
  <c r="C97" i="12"/>
  <c r="C93" i="12"/>
  <c r="C116" i="12"/>
  <c r="C114" i="12"/>
  <c r="C110" i="12"/>
  <c r="C106" i="12"/>
  <c r="C102" i="12"/>
  <c r="C98" i="12"/>
  <c r="C94" i="12"/>
  <c r="C90" i="12"/>
  <c r="C115" i="12"/>
  <c r="C111" i="12"/>
  <c r="C107" i="12"/>
  <c r="C103" i="12"/>
  <c r="C99" i="12"/>
  <c r="C95" i="12"/>
  <c r="C91" i="12"/>
  <c r="C88" i="12"/>
  <c r="C87" i="12"/>
  <c r="C83" i="12"/>
  <c r="C79" i="12"/>
  <c r="C75" i="12"/>
  <c r="C71" i="12"/>
  <c r="C67" i="12"/>
  <c r="C89" i="12"/>
  <c r="C84" i="12"/>
  <c r="C80" i="12"/>
  <c r="C76" i="12"/>
  <c r="C72" i="12"/>
  <c r="C68" i="12"/>
  <c r="C64" i="12"/>
  <c r="C92" i="12"/>
  <c r="C85" i="12"/>
  <c r="C81" i="12"/>
  <c r="C77" i="12"/>
  <c r="C73" i="12"/>
  <c r="C69" i="12"/>
  <c r="C65" i="12"/>
  <c r="C86" i="12"/>
  <c r="C82" i="12"/>
  <c r="C78" i="12"/>
  <c r="C74" i="12"/>
  <c r="C70" i="12"/>
  <c r="C66" i="12"/>
  <c r="C62" i="12"/>
  <c r="C60" i="12"/>
  <c r="C56" i="12"/>
  <c r="C52" i="12"/>
  <c r="C48" i="12"/>
  <c r="C44" i="12"/>
  <c r="C40" i="12"/>
  <c r="C36" i="12"/>
  <c r="C32" i="12"/>
  <c r="C28" i="12"/>
  <c r="C24" i="12"/>
  <c r="C20" i="12"/>
  <c r="C16" i="12"/>
  <c r="C57" i="12"/>
  <c r="C53" i="12"/>
  <c r="C49" i="12"/>
  <c r="C45" i="12"/>
  <c r="C41" i="12"/>
  <c r="C37" i="12"/>
  <c r="C33" i="12"/>
  <c r="C29" i="12"/>
  <c r="C25" i="12"/>
  <c r="C21" i="12"/>
  <c r="C17" i="12"/>
  <c r="C58" i="12"/>
  <c r="C54" i="12"/>
  <c r="C50" i="12"/>
  <c r="C46" i="12"/>
  <c r="C42" i="12"/>
  <c r="C38" i="12"/>
  <c r="C34" i="12"/>
  <c r="C30" i="12"/>
  <c r="C26" i="12"/>
  <c r="C22" i="12"/>
  <c r="C18" i="12"/>
  <c r="C14" i="12"/>
  <c r="C63" i="12"/>
  <c r="C61" i="12"/>
  <c r="C59" i="12"/>
  <c r="C55" i="12"/>
  <c r="C51" i="12"/>
  <c r="C47" i="12"/>
  <c r="C43" i="12"/>
  <c r="C39" i="12"/>
  <c r="C35" i="12"/>
  <c r="C31" i="12"/>
  <c r="C27" i="12"/>
  <c r="C23" i="12"/>
  <c r="C19" i="12"/>
  <c r="C15" i="12"/>
  <c r="G251" i="12"/>
  <c r="G249" i="12"/>
  <c r="G250" i="12"/>
  <c r="G247" i="12"/>
  <c r="G248" i="12"/>
  <c r="G246" i="12"/>
  <c r="G245" i="12"/>
  <c r="G244" i="12"/>
  <c r="G240" i="12"/>
  <c r="G241" i="12"/>
  <c r="G242" i="12"/>
  <c r="G243" i="12"/>
  <c r="G238" i="12"/>
  <c r="G239" i="12"/>
  <c r="G237" i="12"/>
  <c r="G235" i="12"/>
  <c r="G236" i="12"/>
  <c r="G232" i="12"/>
  <c r="G233" i="12"/>
  <c r="G234" i="12"/>
  <c r="G228" i="12"/>
  <c r="G229" i="12"/>
  <c r="G225" i="12"/>
  <c r="G230" i="12"/>
  <c r="G226" i="12"/>
  <c r="G231" i="12"/>
  <c r="G227" i="12"/>
  <c r="G222" i="12"/>
  <c r="G223" i="12"/>
  <c r="G219" i="12"/>
  <c r="G224" i="12"/>
  <c r="G220" i="12"/>
  <c r="G221" i="12"/>
  <c r="G215" i="12"/>
  <c r="G211" i="12"/>
  <c r="G207" i="12"/>
  <c r="G216" i="12"/>
  <c r="G212" i="12"/>
  <c r="G208" i="12"/>
  <c r="G217" i="12"/>
  <c r="G213" i="12"/>
  <c r="G209" i="12"/>
  <c r="G218" i="12"/>
  <c r="G214" i="12"/>
  <c r="G210" i="12"/>
  <c r="G206" i="12"/>
  <c r="G204" i="12"/>
  <c r="G200" i="12"/>
  <c r="G196" i="12"/>
  <c r="G205" i="12"/>
  <c r="G201" i="12"/>
  <c r="G197" i="12"/>
  <c r="G193" i="12"/>
  <c r="G202" i="12"/>
  <c r="G198" i="12"/>
  <c r="G194" i="12"/>
  <c r="G203" i="12"/>
  <c r="G199" i="12"/>
  <c r="G195" i="12"/>
  <c r="G189" i="12"/>
  <c r="G185" i="12"/>
  <c r="G181" i="12"/>
  <c r="G190" i="12"/>
  <c r="G186" i="12"/>
  <c r="G182" i="12"/>
  <c r="G191" i="12"/>
  <c r="G187" i="12"/>
  <c r="G183" i="12"/>
  <c r="G192" i="12"/>
  <c r="G188" i="12"/>
  <c r="G184" i="12"/>
  <c r="G180" i="12"/>
  <c r="G178" i="12"/>
  <c r="G174" i="12"/>
  <c r="G170" i="12"/>
  <c r="G179" i="12"/>
  <c r="G175" i="12"/>
  <c r="G171" i="12"/>
  <c r="G176" i="12"/>
  <c r="G172" i="12"/>
  <c r="G168" i="12"/>
  <c r="G177" i="12"/>
  <c r="G173" i="12"/>
  <c r="G169" i="12"/>
  <c r="G164" i="12"/>
  <c r="G160" i="12"/>
  <c r="G156" i="12"/>
  <c r="G152" i="12"/>
  <c r="G148" i="12"/>
  <c r="G144" i="12"/>
  <c r="G165" i="12"/>
  <c r="G161" i="12"/>
  <c r="G157" i="12"/>
  <c r="G153" i="12"/>
  <c r="G149" i="12"/>
  <c r="G145" i="12"/>
  <c r="G166" i="12"/>
  <c r="G162" i="12"/>
  <c r="G158" i="12"/>
  <c r="G154" i="12"/>
  <c r="G150" i="12"/>
  <c r="G146" i="12"/>
  <c r="G142" i="12"/>
  <c r="G167" i="12"/>
  <c r="G163" i="12"/>
  <c r="G159" i="12"/>
  <c r="G155" i="12"/>
  <c r="G151" i="12"/>
  <c r="G147" i="12"/>
  <c r="G143" i="12"/>
  <c r="G139" i="12"/>
  <c r="G135" i="12"/>
  <c r="G131" i="12"/>
  <c r="G127" i="12"/>
  <c r="G123" i="12"/>
  <c r="G119" i="12"/>
  <c r="G140" i="12"/>
  <c r="G136" i="12"/>
  <c r="G132" i="12"/>
  <c r="G128" i="12"/>
  <c r="G124" i="12"/>
  <c r="G120" i="12"/>
  <c r="G141" i="12"/>
  <c r="G137" i="12"/>
  <c r="G133" i="12"/>
  <c r="G129" i="12"/>
  <c r="G125" i="12"/>
  <c r="G121" i="12"/>
  <c r="G117" i="12"/>
  <c r="G138" i="12"/>
  <c r="G134" i="12"/>
  <c r="G130" i="12"/>
  <c r="G126" i="12"/>
  <c r="G122" i="12"/>
  <c r="G118" i="12"/>
  <c r="G116" i="12"/>
  <c r="G112" i="12"/>
  <c r="G108" i="12"/>
  <c r="G104" i="12"/>
  <c r="G100" i="12"/>
  <c r="G96" i="12"/>
  <c r="G113" i="12"/>
  <c r="G109" i="12"/>
  <c r="G105" i="12"/>
  <c r="G101" i="12"/>
  <c r="G97" i="12"/>
  <c r="G93" i="12"/>
  <c r="G114" i="12"/>
  <c r="G110" i="12"/>
  <c r="G106" i="12"/>
  <c r="G102" i="12"/>
  <c r="G98" i="12"/>
  <c r="G94" i="12"/>
  <c r="G90" i="12"/>
  <c r="G115" i="12"/>
  <c r="G111" i="12"/>
  <c r="G107" i="12"/>
  <c r="G103" i="12"/>
  <c r="G99" i="12"/>
  <c r="G95" i="12"/>
  <c r="G91" i="12"/>
  <c r="G87" i="12"/>
  <c r="G83" i="12"/>
  <c r="G79" i="12"/>
  <c r="G75" i="12"/>
  <c r="G71" i="12"/>
  <c r="G67" i="12"/>
  <c r="G92" i="12"/>
  <c r="G84" i="12"/>
  <c r="G80" i="12"/>
  <c r="G76" i="12"/>
  <c r="G72" i="12"/>
  <c r="G68" i="12"/>
  <c r="G64" i="12"/>
  <c r="G88" i="12"/>
  <c r="G85" i="12"/>
  <c r="G81" i="12"/>
  <c r="G77" i="12"/>
  <c r="G73" i="12"/>
  <c r="G69" i="12"/>
  <c r="G65" i="12"/>
  <c r="G89" i="12"/>
  <c r="G86" i="12"/>
  <c r="G82" i="12"/>
  <c r="G78" i="12"/>
  <c r="G74" i="12"/>
  <c r="G70" i="12"/>
  <c r="G66" i="12"/>
  <c r="G62" i="12"/>
  <c r="G60" i="12"/>
  <c r="G56" i="12"/>
  <c r="G52" i="12"/>
  <c r="G48" i="12"/>
  <c r="G44" i="12"/>
  <c r="G40" i="12"/>
  <c r="G36" i="12"/>
  <c r="G32" i="12"/>
  <c r="G28" i="12"/>
  <c r="G24" i="12"/>
  <c r="G20" i="12"/>
  <c r="G16" i="12"/>
  <c r="G63" i="12"/>
  <c r="G61" i="12"/>
  <c r="G57" i="12"/>
  <c r="G53" i="12"/>
  <c r="G49" i="12"/>
  <c r="G45" i="12"/>
  <c r="G41" i="12"/>
  <c r="G37" i="12"/>
  <c r="G33" i="12"/>
  <c r="G29" i="12"/>
  <c r="G25" i="12"/>
  <c r="G21" i="12"/>
  <c r="G17" i="12"/>
  <c r="G58" i="12"/>
  <c r="G54" i="12"/>
  <c r="G50" i="12"/>
  <c r="G46" i="12"/>
  <c r="G42" i="12"/>
  <c r="G38" i="12"/>
  <c r="G34" i="12"/>
  <c r="G30" i="12"/>
  <c r="G26" i="12"/>
  <c r="G22" i="12"/>
  <c r="G18" i="12"/>
  <c r="G14" i="12"/>
  <c r="G59" i="12"/>
  <c r="G55" i="12"/>
  <c r="G51" i="12"/>
  <c r="G47" i="12"/>
  <c r="G43" i="12"/>
  <c r="G39" i="12"/>
  <c r="G35" i="12"/>
  <c r="G31" i="12"/>
  <c r="G27" i="12"/>
  <c r="G23" i="12"/>
  <c r="G19" i="12"/>
  <c r="G15" i="12"/>
  <c r="K251" i="12"/>
  <c r="K249" i="12"/>
  <c r="K250" i="12"/>
  <c r="K247" i="12"/>
  <c r="K246" i="12"/>
  <c r="K244" i="12"/>
  <c r="K240" i="12"/>
  <c r="K241" i="12"/>
  <c r="K245" i="12"/>
  <c r="K242" i="12"/>
  <c r="K243" i="12"/>
  <c r="K239" i="12"/>
  <c r="K238" i="12"/>
  <c r="K248" i="12"/>
  <c r="K235" i="12"/>
  <c r="K231" i="12"/>
  <c r="K237" i="12"/>
  <c r="K236" i="12"/>
  <c r="K232" i="12"/>
  <c r="K233" i="12"/>
  <c r="K234" i="12"/>
  <c r="K228" i="12"/>
  <c r="K229" i="12"/>
  <c r="K225" i="12"/>
  <c r="K230" i="12"/>
  <c r="K226" i="12"/>
  <c r="K227" i="12"/>
  <c r="K222" i="12"/>
  <c r="K223" i="12"/>
  <c r="K219" i="12"/>
  <c r="K224" i="12"/>
  <c r="K220" i="12"/>
  <c r="K221" i="12"/>
  <c r="K215" i="12"/>
  <c r="K211" i="12"/>
  <c r="K207" i="12"/>
  <c r="K216" i="12"/>
  <c r="K212" i="12"/>
  <c r="K208" i="12"/>
  <c r="K217" i="12"/>
  <c r="K213" i="12"/>
  <c r="K209" i="12"/>
  <c r="K218" i="12"/>
  <c r="K214" i="12"/>
  <c r="K210" i="12"/>
  <c r="K206" i="12"/>
  <c r="K204" i="12"/>
  <c r="K200" i="12"/>
  <c r="K196" i="12"/>
  <c r="K205" i="12"/>
  <c r="K201" i="12"/>
  <c r="K197" i="12"/>
  <c r="K193" i="12"/>
  <c r="K202" i="12"/>
  <c r="K198" i="12"/>
  <c r="K194" i="12"/>
  <c r="K203" i="12"/>
  <c r="K199" i="12"/>
  <c r="K195" i="12"/>
  <c r="K189" i="12"/>
  <c r="K185" i="12"/>
  <c r="K181" i="12"/>
  <c r="K190" i="12"/>
  <c r="K186" i="12"/>
  <c r="K182" i="12"/>
  <c r="K191" i="12"/>
  <c r="K187" i="12"/>
  <c r="K183" i="12"/>
  <c r="K192" i="12"/>
  <c r="K188" i="12"/>
  <c r="K184" i="12"/>
  <c r="K180" i="12"/>
  <c r="K178" i="12"/>
  <c r="K174" i="12"/>
  <c r="K170" i="12"/>
  <c r="K179" i="12"/>
  <c r="K175" i="12"/>
  <c r="K171" i="12"/>
  <c r="K176" i="12"/>
  <c r="K172" i="12"/>
  <c r="K168" i="12"/>
  <c r="K177" i="12"/>
  <c r="K173" i="12"/>
  <c r="K169" i="12"/>
  <c r="K164" i="12"/>
  <c r="K160" i="12"/>
  <c r="K156" i="12"/>
  <c r="K152" i="12"/>
  <c r="K148" i="12"/>
  <c r="K144" i="12"/>
  <c r="K165" i="12"/>
  <c r="K161" i="12"/>
  <c r="K157" i="12"/>
  <c r="K153" i="12"/>
  <c r="K149" i="12"/>
  <c r="K145" i="12"/>
  <c r="K166" i="12"/>
  <c r="K162" i="12"/>
  <c r="K158" i="12"/>
  <c r="K154" i="12"/>
  <c r="K150" i="12"/>
  <c r="K146" i="12"/>
  <c r="K142" i="12"/>
  <c r="K167" i="12"/>
  <c r="K163" i="12"/>
  <c r="K159" i="12"/>
  <c r="K155" i="12"/>
  <c r="K151" i="12"/>
  <c r="K147" i="12"/>
  <c r="K143" i="12"/>
  <c r="K139" i="12"/>
  <c r="K135" i="12"/>
  <c r="K131" i="12"/>
  <c r="K127" i="12"/>
  <c r="K123" i="12"/>
  <c r="K119" i="12"/>
  <c r="K140" i="12"/>
  <c r="K136" i="12"/>
  <c r="K132" i="12"/>
  <c r="K128" i="12"/>
  <c r="K124" i="12"/>
  <c r="K120" i="12"/>
  <c r="K141" i="12"/>
  <c r="K137" i="12"/>
  <c r="K133" i="12"/>
  <c r="K129" i="12"/>
  <c r="K125" i="12"/>
  <c r="K121" i="12"/>
  <c r="K117" i="12"/>
  <c r="K138" i="12"/>
  <c r="K134" i="12"/>
  <c r="K130" i="12"/>
  <c r="K126" i="12"/>
  <c r="K122" i="12"/>
  <c r="K118" i="12"/>
  <c r="K112" i="12"/>
  <c r="K108" i="12"/>
  <c r="K104" i="12"/>
  <c r="K100" i="12"/>
  <c r="K96" i="12"/>
  <c r="K113" i="12"/>
  <c r="K109" i="12"/>
  <c r="K105" i="12"/>
  <c r="K101" i="12"/>
  <c r="K97" i="12"/>
  <c r="K93" i="12"/>
  <c r="K116" i="12"/>
  <c r="K114" i="12"/>
  <c r="K110" i="12"/>
  <c r="K106" i="12"/>
  <c r="K102" i="12"/>
  <c r="K98" i="12"/>
  <c r="K94" i="12"/>
  <c r="K90" i="12"/>
  <c r="K115" i="12"/>
  <c r="K111" i="12"/>
  <c r="K107" i="12"/>
  <c r="K103" i="12"/>
  <c r="K99" i="12"/>
  <c r="K95" i="12"/>
  <c r="K91" i="12"/>
  <c r="K92" i="12"/>
  <c r="K88" i="12"/>
  <c r="K87" i="12"/>
  <c r="K83" i="12"/>
  <c r="K79" i="12"/>
  <c r="K75" i="12"/>
  <c r="K71" i="12"/>
  <c r="K67" i="12"/>
  <c r="K89" i="12"/>
  <c r="K84" i="12"/>
  <c r="K80" i="12"/>
  <c r="K76" i="12"/>
  <c r="K72" i="12"/>
  <c r="K68" i="12"/>
  <c r="K64" i="12"/>
  <c r="K85" i="12"/>
  <c r="K81" i="12"/>
  <c r="K77" i="12"/>
  <c r="K73" i="12"/>
  <c r="K69" i="12"/>
  <c r="K65" i="12"/>
  <c r="K86" i="12"/>
  <c r="K82" i="12"/>
  <c r="K78" i="12"/>
  <c r="K74" i="12"/>
  <c r="K70" i="12"/>
  <c r="K66" i="12"/>
  <c r="K62" i="12"/>
  <c r="K60" i="12"/>
  <c r="K56" i="12"/>
  <c r="K52" i="12"/>
  <c r="K48" i="12"/>
  <c r="K44" i="12"/>
  <c r="K40" i="12"/>
  <c r="K36" i="12"/>
  <c r="K32" i="12"/>
  <c r="K28" i="12"/>
  <c r="K24" i="12"/>
  <c r="K20" i="12"/>
  <c r="K16" i="12"/>
  <c r="K57" i="12"/>
  <c r="K53" i="12"/>
  <c r="K49" i="12"/>
  <c r="K45" i="12"/>
  <c r="K41" i="12"/>
  <c r="K37" i="12"/>
  <c r="K33" i="12"/>
  <c r="K29" i="12"/>
  <c r="K25" i="12"/>
  <c r="K21" i="12"/>
  <c r="K17" i="12"/>
  <c r="K58" i="12"/>
  <c r="K54" i="12"/>
  <c r="K50" i="12"/>
  <c r="K46" i="12"/>
  <c r="K42" i="12"/>
  <c r="K38" i="12"/>
  <c r="K34" i="12"/>
  <c r="K30" i="12"/>
  <c r="K26" i="12"/>
  <c r="K22" i="12"/>
  <c r="K18" i="12"/>
  <c r="K14" i="12"/>
  <c r="K63" i="12"/>
  <c r="K61" i="12"/>
  <c r="K59" i="12"/>
  <c r="K55" i="12"/>
  <c r="K51" i="12"/>
  <c r="K47" i="12"/>
  <c r="K43" i="12"/>
  <c r="K39" i="12"/>
  <c r="K35" i="12"/>
  <c r="K31" i="12"/>
  <c r="K27" i="12"/>
  <c r="K23" i="12"/>
  <c r="K19" i="12"/>
  <c r="K15" i="12"/>
  <c r="O251" i="12"/>
  <c r="O249" i="12"/>
  <c r="O250" i="12"/>
  <c r="O247" i="12"/>
  <c r="O248" i="12"/>
  <c r="O246" i="12"/>
  <c r="O245" i="12"/>
  <c r="O244" i="12"/>
  <c r="O240" i="12"/>
  <c r="O241" i="12"/>
  <c r="O242" i="12"/>
  <c r="O239" i="12"/>
  <c r="O238" i="12"/>
  <c r="O243" i="12"/>
  <c r="O235" i="12"/>
  <c r="O231" i="12"/>
  <c r="O236" i="12"/>
  <c r="O232" i="12"/>
  <c r="O237" i="12"/>
  <c r="O233" i="12"/>
  <c r="O234" i="12"/>
  <c r="O228" i="12"/>
  <c r="O229" i="12"/>
  <c r="O225" i="12"/>
  <c r="O230" i="12"/>
  <c r="O226" i="12"/>
  <c r="O227" i="12"/>
  <c r="O222" i="12"/>
  <c r="O223" i="12"/>
  <c r="O219" i="12"/>
  <c r="O224" i="12"/>
  <c r="O220" i="12"/>
  <c r="O221" i="12"/>
  <c r="O215" i="12"/>
  <c r="O211" i="12"/>
  <c r="O207" i="12"/>
  <c r="O216" i="12"/>
  <c r="O212" i="12"/>
  <c r="O208" i="12"/>
  <c r="O217" i="12"/>
  <c r="O213" i="12"/>
  <c r="O209" i="12"/>
  <c r="O218" i="12"/>
  <c r="O214" i="12"/>
  <c r="O210" i="12"/>
  <c r="O206" i="12"/>
  <c r="O204" i="12"/>
  <c r="O200" i="12"/>
  <c r="O196" i="12"/>
  <c r="O205" i="12"/>
  <c r="O201" i="12"/>
  <c r="O197" i="12"/>
  <c r="O193" i="12"/>
  <c r="O202" i="12"/>
  <c r="O198" i="12"/>
  <c r="O194" i="12"/>
  <c r="O203" i="12"/>
  <c r="O199" i="12"/>
  <c r="O195" i="12"/>
  <c r="O189" i="12"/>
  <c r="O185" i="12"/>
  <c r="O181" i="12"/>
  <c r="O190" i="12"/>
  <c r="O186" i="12"/>
  <c r="O182" i="12"/>
  <c r="O191" i="12"/>
  <c r="O187" i="12"/>
  <c r="O183" i="12"/>
  <c r="O192" i="12"/>
  <c r="O188" i="12"/>
  <c r="O184" i="12"/>
  <c r="O180" i="12"/>
  <c r="O178" i="12"/>
  <c r="O174" i="12"/>
  <c r="O170" i="12"/>
  <c r="O179" i="12"/>
  <c r="O175" i="12"/>
  <c r="O171" i="12"/>
  <c r="O176" i="12"/>
  <c r="O172" i="12"/>
  <c r="O168" i="12"/>
  <c r="O177" i="12"/>
  <c r="O173" i="12"/>
  <c r="O169" i="12"/>
  <c r="O164" i="12"/>
  <c r="O160" i="12"/>
  <c r="O156" i="12"/>
  <c r="O152" i="12"/>
  <c r="O148" i="12"/>
  <c r="O144" i="12"/>
  <c r="O167" i="12"/>
  <c r="O165" i="12"/>
  <c r="O161" i="12"/>
  <c r="O157" i="12"/>
  <c r="O153" i="12"/>
  <c r="O149" i="12"/>
  <c r="O145" i="12"/>
  <c r="O166" i="12"/>
  <c r="O162" i="12"/>
  <c r="O158" i="12"/>
  <c r="O154" i="12"/>
  <c r="O150" i="12"/>
  <c r="O146" i="12"/>
  <c r="O142" i="12"/>
  <c r="O163" i="12"/>
  <c r="O159" i="12"/>
  <c r="O155" i="12"/>
  <c r="O151" i="12"/>
  <c r="O147" i="12"/>
  <c r="O143" i="12"/>
  <c r="O139" i="12"/>
  <c r="O135" i="12"/>
  <c r="O131" i="12"/>
  <c r="O127" i="12"/>
  <c r="O123" i="12"/>
  <c r="O119" i="12"/>
  <c r="O140" i="12"/>
  <c r="O136" i="12"/>
  <c r="O132" i="12"/>
  <c r="O128" i="12"/>
  <c r="O124" i="12"/>
  <c r="O120" i="12"/>
  <c r="O141" i="12"/>
  <c r="O137" i="12"/>
  <c r="O133" i="12"/>
  <c r="O129" i="12"/>
  <c r="O125" i="12"/>
  <c r="O121" i="12"/>
  <c r="O117" i="12"/>
  <c r="O138" i="12"/>
  <c r="O134" i="12"/>
  <c r="O130" i="12"/>
  <c r="O126" i="12"/>
  <c r="O122" i="12"/>
  <c r="O118" i="12"/>
  <c r="O116" i="12"/>
  <c r="O112" i="12"/>
  <c r="O108" i="12"/>
  <c r="O104" i="12"/>
  <c r="O100" i="12"/>
  <c r="O96" i="12"/>
  <c r="O113" i="12"/>
  <c r="O109" i="12"/>
  <c r="O105" i="12"/>
  <c r="O101" i="12"/>
  <c r="O97" i="12"/>
  <c r="O93" i="12"/>
  <c r="O114" i="12"/>
  <c r="O110" i="12"/>
  <c r="O106" i="12"/>
  <c r="O102" i="12"/>
  <c r="O98" i="12"/>
  <c r="O94" i="12"/>
  <c r="O90" i="12"/>
  <c r="O115" i="12"/>
  <c r="O111" i="12"/>
  <c r="O107" i="12"/>
  <c r="O103" i="12"/>
  <c r="O99" i="12"/>
  <c r="O95" i="12"/>
  <c r="O91" i="12"/>
  <c r="O87" i="12"/>
  <c r="O83" i="12"/>
  <c r="O79" i="12"/>
  <c r="O75" i="12"/>
  <c r="O71" i="12"/>
  <c r="O67" i="12"/>
  <c r="O84" i="12"/>
  <c r="O80" i="12"/>
  <c r="O76" i="12"/>
  <c r="O72" i="12"/>
  <c r="O68" i="12"/>
  <c r="O64" i="12"/>
  <c r="O88" i="12"/>
  <c r="O85" i="12"/>
  <c r="O81" i="12"/>
  <c r="O77" i="12"/>
  <c r="O73" i="12"/>
  <c r="O69" i="12"/>
  <c r="O65" i="12"/>
  <c r="O92" i="12"/>
  <c r="O89" i="12"/>
  <c r="O86" i="12"/>
  <c r="O82" i="12"/>
  <c r="O78" i="12"/>
  <c r="O74" i="12"/>
  <c r="O70" i="12"/>
  <c r="O66" i="12"/>
  <c r="O62" i="12"/>
  <c r="O60" i="12"/>
  <c r="O56" i="12"/>
  <c r="O52" i="12"/>
  <c r="O48" i="12"/>
  <c r="O44" i="12"/>
  <c r="O40" i="12"/>
  <c r="O36" i="12"/>
  <c r="O32" i="12"/>
  <c r="O28" i="12"/>
  <c r="O24" i="12"/>
  <c r="O20" i="12"/>
  <c r="O16" i="12"/>
  <c r="O63" i="12"/>
  <c r="O61" i="12"/>
  <c r="O57" i="12"/>
  <c r="O53" i="12"/>
  <c r="O49" i="12"/>
  <c r="O45" i="12"/>
  <c r="O41" i="12"/>
  <c r="O37" i="12"/>
  <c r="O33" i="12"/>
  <c r="O29" i="12"/>
  <c r="O25" i="12"/>
  <c r="O21" i="12"/>
  <c r="O17" i="12"/>
  <c r="O58" i="12"/>
  <c r="O54" i="12"/>
  <c r="O50" i="12"/>
  <c r="O46" i="12"/>
  <c r="O42" i="12"/>
  <c r="O38" i="12"/>
  <c r="O34" i="12"/>
  <c r="O30" i="12"/>
  <c r="O26" i="12"/>
  <c r="O22" i="12"/>
  <c r="O18" i="12"/>
  <c r="O14" i="12"/>
  <c r="O59" i="12"/>
  <c r="O55" i="12"/>
  <c r="O51" i="12"/>
  <c r="O47" i="12"/>
  <c r="O43" i="12"/>
  <c r="O39" i="12"/>
  <c r="O35" i="12"/>
  <c r="O31" i="12"/>
  <c r="O27" i="12"/>
  <c r="O23" i="12"/>
  <c r="O19" i="12"/>
  <c r="O15" i="12"/>
  <c r="S251" i="12"/>
  <c r="S249" i="12"/>
  <c r="S250" i="12"/>
  <c r="S247" i="12"/>
  <c r="S248" i="12"/>
  <c r="S246" i="12"/>
  <c r="S244" i="12"/>
  <c r="S240" i="12"/>
  <c r="S241" i="12"/>
  <c r="S245" i="12"/>
  <c r="S242" i="12"/>
  <c r="S239" i="12"/>
  <c r="S243" i="12"/>
  <c r="S238" i="12"/>
  <c r="S235" i="12"/>
  <c r="S231" i="12"/>
  <c r="S236" i="12"/>
  <c r="S232" i="12"/>
  <c r="S233" i="12"/>
  <c r="S237" i="12"/>
  <c r="S234" i="12"/>
  <c r="S228" i="12"/>
  <c r="S229" i="12"/>
  <c r="S225" i="12"/>
  <c r="S230" i="12"/>
  <c r="S226" i="12"/>
  <c r="S227" i="12"/>
  <c r="S222" i="12"/>
  <c r="S223" i="12"/>
  <c r="S219" i="12"/>
  <c r="S224" i="12"/>
  <c r="S220" i="12"/>
  <c r="S221" i="12"/>
  <c r="S215" i="12"/>
  <c r="S211" i="12"/>
  <c r="S207" i="12"/>
  <c r="S216" i="12"/>
  <c r="S212" i="12"/>
  <c r="S208" i="12"/>
  <c r="S217" i="12"/>
  <c r="S213" i="12"/>
  <c r="S209" i="12"/>
  <c r="S218" i="12"/>
  <c r="S214" i="12"/>
  <c r="S210" i="12"/>
  <c r="S206" i="12"/>
  <c r="S204" i="12"/>
  <c r="S200" i="12"/>
  <c r="S196" i="12"/>
  <c r="S205" i="12"/>
  <c r="S201" i="12"/>
  <c r="S197" i="12"/>
  <c r="S193" i="12"/>
  <c r="S202" i="12"/>
  <c r="S198" i="12"/>
  <c r="S194" i="12"/>
  <c r="S203" i="12"/>
  <c r="S199" i="12"/>
  <c r="S195" i="12"/>
  <c r="S189" i="12"/>
  <c r="S185" i="12"/>
  <c r="S181" i="12"/>
  <c r="S190" i="12"/>
  <c r="S186" i="12"/>
  <c r="S182" i="12"/>
  <c r="S191" i="12"/>
  <c r="S187" i="12"/>
  <c r="S183" i="12"/>
  <c r="S192" i="12"/>
  <c r="S188" i="12"/>
  <c r="S184" i="12"/>
  <c r="S180" i="12"/>
  <c r="S178" i="12"/>
  <c r="S174" i="12"/>
  <c r="S170" i="12"/>
  <c r="S179" i="12"/>
  <c r="S175" i="12"/>
  <c r="S171" i="12"/>
  <c r="S176" i="12"/>
  <c r="S172" i="12"/>
  <c r="S168" i="12"/>
  <c r="S177" i="12"/>
  <c r="S173" i="12"/>
  <c r="S169" i="12"/>
  <c r="S164" i="12"/>
  <c r="S160" i="12"/>
  <c r="S156" i="12"/>
  <c r="S152" i="12"/>
  <c r="S148" i="12"/>
  <c r="S144" i="12"/>
  <c r="S165" i="12"/>
  <c r="S161" i="12"/>
  <c r="S157" i="12"/>
  <c r="S153" i="12"/>
  <c r="S149" i="12"/>
  <c r="S145" i="12"/>
  <c r="S166" i="12"/>
  <c r="S162" i="12"/>
  <c r="S158" i="12"/>
  <c r="S154" i="12"/>
  <c r="S150" i="12"/>
  <c r="S146" i="12"/>
  <c r="S142" i="12"/>
  <c r="S167" i="12"/>
  <c r="S163" i="12"/>
  <c r="S159" i="12"/>
  <c r="S155" i="12"/>
  <c r="S151" i="12"/>
  <c r="S147" i="12"/>
  <c r="S143" i="12"/>
  <c r="S139" i="12"/>
  <c r="S135" i="12"/>
  <c r="S131" i="12"/>
  <c r="S127" i="12"/>
  <c r="S123" i="12"/>
  <c r="S119" i="12"/>
  <c r="S140" i="12"/>
  <c r="S136" i="12"/>
  <c r="S132" i="12"/>
  <c r="S128" i="12"/>
  <c r="S124" i="12"/>
  <c r="S120" i="12"/>
  <c r="S141" i="12"/>
  <c r="S137" i="12"/>
  <c r="S133" i="12"/>
  <c r="S129" i="12"/>
  <c r="S125" i="12"/>
  <c r="S121" i="12"/>
  <c r="S117" i="12"/>
  <c r="S138" i="12"/>
  <c r="S134" i="12"/>
  <c r="S130" i="12"/>
  <c r="S126" i="12"/>
  <c r="S122" i="12"/>
  <c r="S118" i="12"/>
  <c r="S112" i="12"/>
  <c r="S108" i="12"/>
  <c r="S104" i="12"/>
  <c r="S100" i="12"/>
  <c r="S96" i="12"/>
  <c r="S113" i="12"/>
  <c r="S109" i="12"/>
  <c r="S105" i="12"/>
  <c r="S101" i="12"/>
  <c r="S97" i="12"/>
  <c r="S93" i="12"/>
  <c r="S116" i="12"/>
  <c r="S114" i="12"/>
  <c r="S110" i="12"/>
  <c r="S106" i="12"/>
  <c r="S102" i="12"/>
  <c r="S98" i="12"/>
  <c r="S94" i="12"/>
  <c r="S90" i="12"/>
  <c r="S115" i="12"/>
  <c r="S111" i="12"/>
  <c r="S107" i="12"/>
  <c r="S103" i="12"/>
  <c r="S99" i="12"/>
  <c r="S95" i="12"/>
  <c r="S91" i="12"/>
  <c r="S88" i="12"/>
  <c r="S87" i="12"/>
  <c r="S83" i="12"/>
  <c r="S79" i="12"/>
  <c r="S75" i="12"/>
  <c r="S71" i="12"/>
  <c r="S67" i="12"/>
  <c r="S89" i="12"/>
  <c r="S84" i="12"/>
  <c r="S80" i="12"/>
  <c r="S76" i="12"/>
  <c r="S72" i="12"/>
  <c r="S68" i="12"/>
  <c r="S64" i="12"/>
  <c r="S92" i="12"/>
  <c r="S85" i="12"/>
  <c r="S81" i="12"/>
  <c r="S77" i="12"/>
  <c r="S73" i="12"/>
  <c r="S69" i="12"/>
  <c r="S65" i="12"/>
  <c r="S86" i="12"/>
  <c r="S82" i="12"/>
  <c r="S78" i="12"/>
  <c r="S74" i="12"/>
  <c r="S70" i="12"/>
  <c r="S66" i="12"/>
  <c r="S62" i="12"/>
  <c r="S60" i="12"/>
  <c r="S56" i="12"/>
  <c r="S52" i="12"/>
  <c r="S48" i="12"/>
  <c r="S44" i="12"/>
  <c r="S40" i="12"/>
  <c r="S36" i="12"/>
  <c r="S32" i="12"/>
  <c r="S28" i="12"/>
  <c r="S24" i="12"/>
  <c r="S20" i="12"/>
  <c r="S16" i="12"/>
  <c r="S57" i="12"/>
  <c r="S53" i="12"/>
  <c r="S49" i="12"/>
  <c r="S45" i="12"/>
  <c r="S41" i="12"/>
  <c r="S37" i="12"/>
  <c r="S33" i="12"/>
  <c r="S29" i="12"/>
  <c r="S25" i="12"/>
  <c r="S21" i="12"/>
  <c r="S17" i="12"/>
  <c r="S58" i="12"/>
  <c r="S54" i="12"/>
  <c r="S50" i="12"/>
  <c r="S46" i="12"/>
  <c r="S42" i="12"/>
  <c r="S38" i="12"/>
  <c r="S34" i="12"/>
  <c r="S30" i="12"/>
  <c r="S26" i="12"/>
  <c r="S22" i="12"/>
  <c r="S18" i="12"/>
  <c r="S14" i="12"/>
  <c r="S63" i="12"/>
  <c r="S61" i="12"/>
  <c r="S59" i="12"/>
  <c r="S55" i="12"/>
  <c r="S51" i="12"/>
  <c r="S47" i="12"/>
  <c r="S43" i="12"/>
  <c r="S39" i="12"/>
  <c r="S35" i="12"/>
  <c r="S31" i="12"/>
  <c r="S27" i="12"/>
  <c r="S23" i="12"/>
  <c r="S19" i="12"/>
  <c r="S15" i="12"/>
  <c r="W251" i="12"/>
  <c r="W249" i="12"/>
  <c r="W250" i="12"/>
  <c r="W247" i="12"/>
  <c r="W248" i="12"/>
  <c r="W246" i="12"/>
  <c r="W245" i="12"/>
  <c r="W244" i="12"/>
  <c r="W240" i="12"/>
  <c r="W241" i="12"/>
  <c r="W242" i="12"/>
  <c r="W243" i="12"/>
  <c r="W239" i="12"/>
  <c r="W238" i="12"/>
  <c r="W237" i="12"/>
  <c r="W235" i="12"/>
  <c r="W231" i="12"/>
  <c r="W236" i="12"/>
  <c r="W232" i="12"/>
  <c r="W233" i="12"/>
  <c r="W234" i="12"/>
  <c r="W228" i="12"/>
  <c r="W229" i="12"/>
  <c r="W225" i="12"/>
  <c r="W230" i="12"/>
  <c r="W226" i="12"/>
  <c r="W227" i="12"/>
  <c r="W222" i="12"/>
  <c r="W223" i="12"/>
  <c r="W219" i="12"/>
  <c r="W224" i="12"/>
  <c r="W220" i="12"/>
  <c r="W221" i="12"/>
  <c r="W215" i="12"/>
  <c r="W211" i="12"/>
  <c r="W207" i="12"/>
  <c r="W216" i="12"/>
  <c r="W212" i="12"/>
  <c r="W208" i="12"/>
  <c r="W217" i="12"/>
  <c r="W213" i="12"/>
  <c r="W209" i="12"/>
  <c r="W218" i="12"/>
  <c r="W214" i="12"/>
  <c r="W210" i="12"/>
  <c r="W206" i="12"/>
  <c r="W204" i="12"/>
  <c r="W200" i="12"/>
  <c r="W196" i="12"/>
  <c r="W205" i="12"/>
  <c r="W201" i="12"/>
  <c r="W197" i="12"/>
  <c r="W193" i="12"/>
  <c r="W202" i="12"/>
  <c r="W198" i="12"/>
  <c r="W194" i="12"/>
  <c r="W203" i="12"/>
  <c r="W199" i="12"/>
  <c r="W195" i="12"/>
  <c r="W189" i="12"/>
  <c r="W185" i="12"/>
  <c r="W181" i="12"/>
  <c r="W190" i="12"/>
  <c r="W186" i="12"/>
  <c r="W182" i="12"/>
  <c r="W191" i="12"/>
  <c r="W187" i="12"/>
  <c r="W183" i="12"/>
  <c r="W192" i="12"/>
  <c r="W188" i="12"/>
  <c r="W184" i="12"/>
  <c r="W180" i="12"/>
  <c r="W178" i="12"/>
  <c r="W174" i="12"/>
  <c r="W170" i="12"/>
  <c r="W179" i="12"/>
  <c r="W175" i="12"/>
  <c r="W171" i="12"/>
  <c r="W176" i="12"/>
  <c r="W172" i="12"/>
  <c r="W168" i="12"/>
  <c r="W177" i="12"/>
  <c r="W173" i="12"/>
  <c r="W169" i="12"/>
  <c r="W164" i="12"/>
  <c r="W160" i="12"/>
  <c r="W156" i="12"/>
  <c r="W152" i="12"/>
  <c r="W148" i="12"/>
  <c r="W144" i="12"/>
  <c r="W167" i="12"/>
  <c r="W165" i="12"/>
  <c r="W161" i="12"/>
  <c r="W157" i="12"/>
  <c r="W153" i="12"/>
  <c r="W149" i="12"/>
  <c r="W145" i="12"/>
  <c r="W166" i="12"/>
  <c r="W162" i="12"/>
  <c r="W158" i="12"/>
  <c r="W154" i="12"/>
  <c r="W150" i="12"/>
  <c r="W146" i="12"/>
  <c r="W142" i="12"/>
  <c r="W163" i="12"/>
  <c r="W159" i="12"/>
  <c r="W155" i="12"/>
  <c r="W151" i="12"/>
  <c r="W147" i="12"/>
  <c r="W143" i="12"/>
  <c r="W139" i="12"/>
  <c r="W135" i="12"/>
  <c r="W131" i="12"/>
  <c r="W127" i="12"/>
  <c r="W123" i="12"/>
  <c r="W119" i="12"/>
  <c r="W140" i="12"/>
  <c r="W136" i="12"/>
  <c r="W132" i="12"/>
  <c r="W128" i="12"/>
  <c r="W124" i="12"/>
  <c r="W120" i="12"/>
  <c r="W141" i="12"/>
  <c r="W137" i="12"/>
  <c r="W133" i="12"/>
  <c r="W129" i="12"/>
  <c r="W125" i="12"/>
  <c r="W121" i="12"/>
  <c r="W117" i="12"/>
  <c r="W138" i="12"/>
  <c r="W134" i="12"/>
  <c r="W130" i="12"/>
  <c r="W126" i="12"/>
  <c r="W122" i="12"/>
  <c r="W118" i="12"/>
  <c r="W116" i="12"/>
  <c r="W112" i="12"/>
  <c r="W108" i="12"/>
  <c r="W104" i="12"/>
  <c r="W100" i="12"/>
  <c r="W96" i="12"/>
  <c r="W113" i="12"/>
  <c r="W109" i="12"/>
  <c r="W105" i="12"/>
  <c r="W101" i="12"/>
  <c r="W97" i="12"/>
  <c r="W93" i="12"/>
  <c r="W114" i="12"/>
  <c r="W110" i="12"/>
  <c r="W106" i="12"/>
  <c r="W102" i="12"/>
  <c r="W98" i="12"/>
  <c r="W94" i="12"/>
  <c r="W90" i="12"/>
  <c r="W115" i="12"/>
  <c r="W111" i="12"/>
  <c r="W107" i="12"/>
  <c r="W103" i="12"/>
  <c r="W99" i="12"/>
  <c r="W95" i="12"/>
  <c r="W91" i="12"/>
  <c r="W87" i="12"/>
  <c r="W83" i="12"/>
  <c r="W79" i="12"/>
  <c r="W75" i="12"/>
  <c r="W71" i="12"/>
  <c r="W67" i="12"/>
  <c r="W92" i="12"/>
  <c r="W84" i="12"/>
  <c r="W80" i="12"/>
  <c r="W76" i="12"/>
  <c r="W72" i="12"/>
  <c r="W68" i="12"/>
  <c r="W64" i="12"/>
  <c r="W88" i="12"/>
  <c r="W85" i="12"/>
  <c r="W81" i="12"/>
  <c r="W77" i="12"/>
  <c r="W73" i="12"/>
  <c r="W69" i="12"/>
  <c r="W65" i="12"/>
  <c r="W89" i="12"/>
  <c r="W86" i="12"/>
  <c r="W82" i="12"/>
  <c r="W78" i="12"/>
  <c r="W74" i="12"/>
  <c r="W70" i="12"/>
  <c r="W66" i="12"/>
  <c r="W62" i="12"/>
  <c r="W60" i="12"/>
  <c r="W56" i="12"/>
  <c r="W52" i="12"/>
  <c r="W48" i="12"/>
  <c r="W44" i="12"/>
  <c r="W40" i="12"/>
  <c r="W36" i="12"/>
  <c r="W32" i="12"/>
  <c r="W28" i="12"/>
  <c r="W24" i="12"/>
  <c r="W20" i="12"/>
  <c r="W16" i="12"/>
  <c r="W63" i="12"/>
  <c r="W61" i="12"/>
  <c r="W57" i="12"/>
  <c r="W53" i="12"/>
  <c r="W49" i="12"/>
  <c r="W45" i="12"/>
  <c r="W41" i="12"/>
  <c r="W37" i="12"/>
  <c r="W33" i="12"/>
  <c r="W29" i="12"/>
  <c r="W25" i="12"/>
  <c r="W21" i="12"/>
  <c r="W17" i="12"/>
  <c r="W58" i="12"/>
  <c r="W54" i="12"/>
  <c r="W50" i="12"/>
  <c r="W46" i="12"/>
  <c r="W42" i="12"/>
  <c r="W38" i="12"/>
  <c r="W34" i="12"/>
  <c r="W30" i="12"/>
  <c r="W26" i="12"/>
  <c r="W22" i="12"/>
  <c r="W18" i="12"/>
  <c r="W14" i="12"/>
  <c r="W59" i="12"/>
  <c r="W55" i="12"/>
  <c r="W51" i="12"/>
  <c r="W47" i="12"/>
  <c r="W43" i="12"/>
  <c r="W39" i="12"/>
  <c r="W35" i="12"/>
  <c r="W31" i="12"/>
  <c r="W27" i="12"/>
  <c r="W23" i="12"/>
  <c r="W19" i="12"/>
  <c r="W15" i="12"/>
  <c r="AA251" i="12"/>
  <c r="AA249" i="12"/>
  <c r="AA250" i="12"/>
  <c r="AA247" i="12"/>
  <c r="AA246" i="12"/>
  <c r="AA244" i="12"/>
  <c r="AA240" i="12"/>
  <c r="AA241" i="12"/>
  <c r="AA248" i="12"/>
  <c r="AA245" i="12"/>
  <c r="AA242" i="12"/>
  <c r="AA243" i="12"/>
  <c r="AA239" i="12"/>
  <c r="AA238" i="12"/>
  <c r="AA235" i="12"/>
  <c r="AA231" i="12"/>
  <c r="AA237" i="12"/>
  <c r="AA236" i="12"/>
  <c r="AA232" i="12"/>
  <c r="AA233" i="12"/>
  <c r="AA234" i="12"/>
  <c r="AA228" i="12"/>
  <c r="AA229" i="12"/>
  <c r="AA225" i="12"/>
  <c r="AA230" i="12"/>
  <c r="AA226" i="12"/>
  <c r="AA227" i="12"/>
  <c r="AA222" i="12"/>
  <c r="AA223" i="12"/>
  <c r="AA219" i="12"/>
  <c r="AA224" i="12"/>
  <c r="AA220" i="12"/>
  <c r="AA221" i="12"/>
  <c r="AA215" i="12"/>
  <c r="AA211" i="12"/>
  <c r="AA207" i="12"/>
  <c r="AA216" i="12"/>
  <c r="AA212" i="12"/>
  <c r="AA208" i="12"/>
  <c r="AA217" i="12"/>
  <c r="AA213" i="12"/>
  <c r="AA209" i="12"/>
  <c r="AA218" i="12"/>
  <c r="AA214" i="12"/>
  <c r="AA210" i="12"/>
  <c r="AA206" i="12"/>
  <c r="AA204" i="12"/>
  <c r="AA200" i="12"/>
  <c r="AA196" i="12"/>
  <c r="AA205" i="12"/>
  <c r="AA201" i="12"/>
  <c r="AA197" i="12"/>
  <c r="AA193" i="12"/>
  <c r="AA202" i="12"/>
  <c r="AA198" i="12"/>
  <c r="AA194" i="12"/>
  <c r="AA203" i="12"/>
  <c r="AA199" i="12"/>
  <c r="AA195" i="12"/>
  <c r="AA189" i="12"/>
  <c r="AA185" i="12"/>
  <c r="AA181" i="12"/>
  <c r="AA190" i="12"/>
  <c r="AA186" i="12"/>
  <c r="AA182" i="12"/>
  <c r="AA191" i="12"/>
  <c r="AA187" i="12"/>
  <c r="AA183" i="12"/>
  <c r="AA192" i="12"/>
  <c r="AA188" i="12"/>
  <c r="AA184" i="12"/>
  <c r="AA180" i="12"/>
  <c r="AA178" i="12"/>
  <c r="AA174" i="12"/>
  <c r="AA170" i="12"/>
  <c r="AA179" i="12"/>
  <c r="AA175" i="12"/>
  <c r="AA171" i="12"/>
  <c r="AA176" i="12"/>
  <c r="AA172" i="12"/>
  <c r="AA168" i="12"/>
  <c r="AA177" i="12"/>
  <c r="AA173" i="12"/>
  <c r="AA169" i="12"/>
  <c r="AA164" i="12"/>
  <c r="AA160" i="12"/>
  <c r="AA156" i="12"/>
  <c r="AA152" i="12"/>
  <c r="AA148" i="12"/>
  <c r="AA144" i="12"/>
  <c r="AA165" i="12"/>
  <c r="AA161" i="12"/>
  <c r="AA157" i="12"/>
  <c r="AA153" i="12"/>
  <c r="AA149" i="12"/>
  <c r="AA145" i="12"/>
  <c r="AA166" i="12"/>
  <c r="AA162" i="12"/>
  <c r="AA158" i="12"/>
  <c r="AA154" i="12"/>
  <c r="AA150" i="12"/>
  <c r="AA146" i="12"/>
  <c r="AA142" i="12"/>
  <c r="AA167" i="12"/>
  <c r="AA163" i="12"/>
  <c r="AA159" i="12"/>
  <c r="AA155" i="12"/>
  <c r="AA151" i="12"/>
  <c r="AA147" i="12"/>
  <c r="AA143" i="12"/>
  <c r="AA139" i="12"/>
  <c r="AA135" i="12"/>
  <c r="AA131" i="12"/>
  <c r="AA127" i="12"/>
  <c r="AA123" i="12"/>
  <c r="AA119" i="12"/>
  <c r="AA140" i="12"/>
  <c r="AA136" i="12"/>
  <c r="AA132" i="12"/>
  <c r="AA128" i="12"/>
  <c r="AA124" i="12"/>
  <c r="AA120" i="12"/>
  <c r="AA141" i="12"/>
  <c r="AA137" i="12"/>
  <c r="AA133" i="12"/>
  <c r="AA129" i="12"/>
  <c r="AA125" i="12"/>
  <c r="AA121" i="12"/>
  <c r="AA117" i="12"/>
  <c r="AA138" i="12"/>
  <c r="AA134" i="12"/>
  <c r="AA130" i="12"/>
  <c r="AA126" i="12"/>
  <c r="AA122" i="12"/>
  <c r="AA118" i="12"/>
  <c r="AA112" i="12"/>
  <c r="AA108" i="12"/>
  <c r="AA104" i="12"/>
  <c r="AA100" i="12"/>
  <c r="AA96" i="12"/>
  <c r="AA113" i="12"/>
  <c r="AA109" i="12"/>
  <c r="AA105" i="12"/>
  <c r="AA101" i="12"/>
  <c r="AA97" i="12"/>
  <c r="AA93" i="12"/>
  <c r="AA116" i="12"/>
  <c r="AA114" i="12"/>
  <c r="AA110" i="12"/>
  <c r="AA106" i="12"/>
  <c r="AA102" i="12"/>
  <c r="AA98" i="12"/>
  <c r="AA94" i="12"/>
  <c r="AA90" i="12"/>
  <c r="AA115" i="12"/>
  <c r="AA111" i="12"/>
  <c r="AA107" i="12"/>
  <c r="AA103" i="12"/>
  <c r="AA99" i="12"/>
  <c r="AA95" i="12"/>
  <c r="AA91" i="12"/>
  <c r="AA92" i="12"/>
  <c r="AA88" i="12"/>
  <c r="AA87" i="12"/>
  <c r="AA83" i="12"/>
  <c r="AA79" i="12"/>
  <c r="AA75" i="12"/>
  <c r="AA71" i="12"/>
  <c r="AA67" i="12"/>
  <c r="AA89" i="12"/>
  <c r="AA84" i="12"/>
  <c r="AA80" i="12"/>
  <c r="AA76" i="12"/>
  <c r="AA72" i="12"/>
  <c r="AA68" i="12"/>
  <c r="AA64" i="12"/>
  <c r="AA85" i="12"/>
  <c r="AA81" i="12"/>
  <c r="AA77" i="12"/>
  <c r="AA73" i="12"/>
  <c r="AA69" i="12"/>
  <c r="AA65" i="12"/>
  <c r="AA86" i="12"/>
  <c r="AA82" i="12"/>
  <c r="AA78" i="12"/>
  <c r="AA74" i="12"/>
  <c r="AA70" i="12"/>
  <c r="AA66" i="12"/>
  <c r="AA62" i="12"/>
  <c r="AA60" i="12"/>
  <c r="AA56" i="12"/>
  <c r="AA52" i="12"/>
  <c r="AA48" i="12"/>
  <c r="AA44" i="12"/>
  <c r="AA40" i="12"/>
  <c r="AA36" i="12"/>
  <c r="AA32" i="12"/>
  <c r="AA28" i="12"/>
  <c r="AA24" i="12"/>
  <c r="AA20" i="12"/>
  <c r="AA16" i="12"/>
  <c r="AA57" i="12"/>
  <c r="AA53" i="12"/>
  <c r="AA49" i="12"/>
  <c r="AA45" i="12"/>
  <c r="AA41" i="12"/>
  <c r="AA37" i="12"/>
  <c r="AA33" i="12"/>
  <c r="AA29" i="12"/>
  <c r="AA25" i="12"/>
  <c r="AA21" i="12"/>
  <c r="AA17" i="12"/>
  <c r="AA58" i="12"/>
  <c r="AA54" i="12"/>
  <c r="AA50" i="12"/>
  <c r="AA46" i="12"/>
  <c r="AA42" i="12"/>
  <c r="AA38" i="12"/>
  <c r="AA34" i="12"/>
  <c r="AA30" i="12"/>
  <c r="AA26" i="12"/>
  <c r="AA22" i="12"/>
  <c r="AA18" i="12"/>
  <c r="AA14" i="12"/>
  <c r="AA63" i="12"/>
  <c r="AA61" i="12"/>
  <c r="AA59" i="12"/>
  <c r="AA55" i="12"/>
  <c r="AA51" i="12"/>
  <c r="AA47" i="12"/>
  <c r="AA43" i="12"/>
  <c r="AA39" i="12"/>
  <c r="AA35" i="12"/>
  <c r="AA31" i="12"/>
  <c r="AA27" i="12"/>
  <c r="AA23" i="12"/>
  <c r="AA19" i="12"/>
  <c r="AA15" i="12"/>
  <c r="AE251" i="12"/>
  <c r="AE249" i="12"/>
  <c r="AE250" i="12"/>
  <c r="AE247" i="12"/>
  <c r="AE246" i="12"/>
  <c r="AE248" i="12"/>
  <c r="AE245" i="12"/>
  <c r="AE244" i="12"/>
  <c r="AE240" i="12"/>
  <c r="AE241" i="12"/>
  <c r="AE242" i="12"/>
  <c r="AE239" i="12"/>
  <c r="AE238" i="12"/>
  <c r="AE243" i="12"/>
  <c r="AE235" i="12"/>
  <c r="AE231" i="12"/>
  <c r="AE236" i="12"/>
  <c r="AE232" i="12"/>
  <c r="AE237" i="12"/>
  <c r="AE233" i="12"/>
  <c r="AE234" i="12"/>
  <c r="AE228" i="12"/>
  <c r="AE229" i="12"/>
  <c r="AE225" i="12"/>
  <c r="AE230" i="12"/>
  <c r="AE226" i="12"/>
  <c r="AE227" i="12"/>
  <c r="AE222" i="12"/>
  <c r="AE223" i="12"/>
  <c r="AE219" i="12"/>
  <c r="AE224" i="12"/>
  <c r="AE220" i="12"/>
  <c r="AE221" i="12"/>
  <c r="AE215" i="12"/>
  <c r="AE211" i="12"/>
  <c r="AE207" i="12"/>
  <c r="AE216" i="12"/>
  <c r="AE212" i="12"/>
  <c r="AE208" i="12"/>
  <c r="AE217" i="12"/>
  <c r="AE213" i="12"/>
  <c r="AE209" i="12"/>
  <c r="AE218" i="12"/>
  <c r="AE214" i="12"/>
  <c r="AE210" i="12"/>
  <c r="AE206" i="12"/>
  <c r="AE204" i="12"/>
  <c r="AE200" i="12"/>
  <c r="AE196" i="12"/>
  <c r="AE205" i="12"/>
  <c r="AE201" i="12"/>
  <c r="AE197" i="12"/>
  <c r="AE193" i="12"/>
  <c r="AE202" i="12"/>
  <c r="AE198" i="12"/>
  <c r="AE194" i="12"/>
  <c r="AE203" i="12"/>
  <c r="AE199" i="12"/>
  <c r="AE195" i="12"/>
  <c r="AE189" i="12"/>
  <c r="AE185" i="12"/>
  <c r="AE181" i="12"/>
  <c r="AE190" i="12"/>
  <c r="AE186" i="12"/>
  <c r="AE182" i="12"/>
  <c r="AE191" i="12"/>
  <c r="AE187" i="12"/>
  <c r="AE183" i="12"/>
  <c r="AE192" i="12"/>
  <c r="AE188" i="12"/>
  <c r="AE184" i="12"/>
  <c r="AE180" i="12"/>
  <c r="AE178" i="12"/>
  <c r="AE174" i="12"/>
  <c r="AE170" i="12"/>
  <c r="AE179" i="12"/>
  <c r="AE175" i="12"/>
  <c r="AE171" i="12"/>
  <c r="AE176" i="12"/>
  <c r="AE172" i="12"/>
  <c r="AE168" i="12"/>
  <c r="AE177" i="12"/>
  <c r="AE173" i="12"/>
  <c r="AE169" i="12"/>
  <c r="AE164" i="12"/>
  <c r="AE160" i="12"/>
  <c r="AE156" i="12"/>
  <c r="AE152" i="12"/>
  <c r="AE148" i="12"/>
  <c r="AE144" i="12"/>
  <c r="AE167" i="12"/>
  <c r="AE165" i="12"/>
  <c r="AE161" i="12"/>
  <c r="AE157" i="12"/>
  <c r="AE153" i="12"/>
  <c r="AE149" i="12"/>
  <c r="AE145" i="12"/>
  <c r="AE166" i="12"/>
  <c r="AE162" i="12"/>
  <c r="AE158" i="12"/>
  <c r="AE154" i="12"/>
  <c r="AE150" i="12"/>
  <c r="AE146" i="12"/>
  <c r="AE142" i="12"/>
  <c r="AE163" i="12"/>
  <c r="AE159" i="12"/>
  <c r="AE155" i="12"/>
  <c r="AE151" i="12"/>
  <c r="AE147" i="12"/>
  <c r="AE143" i="12"/>
  <c r="AE139" i="12"/>
  <c r="AE135" i="12"/>
  <c r="AE131" i="12"/>
  <c r="AE127" i="12"/>
  <c r="AE123" i="12"/>
  <c r="AE119" i="12"/>
  <c r="AE140" i="12"/>
  <c r="AE136" i="12"/>
  <c r="AE132" i="12"/>
  <c r="AE128" i="12"/>
  <c r="AE124" i="12"/>
  <c r="AE120" i="12"/>
  <c r="AE141" i="12"/>
  <c r="AE137" i="12"/>
  <c r="AE133" i="12"/>
  <c r="AE129" i="12"/>
  <c r="AE125" i="12"/>
  <c r="AE121" i="12"/>
  <c r="AE117" i="12"/>
  <c r="AE138" i="12"/>
  <c r="AE134" i="12"/>
  <c r="AE130" i="12"/>
  <c r="AE126" i="12"/>
  <c r="AE122" i="12"/>
  <c r="AE118" i="12"/>
  <c r="AE116" i="12"/>
  <c r="AE112" i="12"/>
  <c r="AE108" i="12"/>
  <c r="AE104" i="12"/>
  <c r="AE100" i="12"/>
  <c r="AE96" i="12"/>
  <c r="AE113" i="12"/>
  <c r="AE109" i="12"/>
  <c r="AE105" i="12"/>
  <c r="AE101" i="12"/>
  <c r="AE97" i="12"/>
  <c r="AE93" i="12"/>
  <c r="AE114" i="12"/>
  <c r="AE110" i="12"/>
  <c r="AE106" i="12"/>
  <c r="AE102" i="12"/>
  <c r="AE98" i="12"/>
  <c r="AE94" i="12"/>
  <c r="AE90" i="12"/>
  <c r="AE115" i="12"/>
  <c r="AE111" i="12"/>
  <c r="AE107" i="12"/>
  <c r="AE103" i="12"/>
  <c r="AE99" i="12"/>
  <c r="AE95" i="12"/>
  <c r="AE91" i="12"/>
  <c r="AE87" i="12"/>
  <c r="AE83" i="12"/>
  <c r="AE79" i="12"/>
  <c r="AE75" i="12"/>
  <c r="AE71" i="12"/>
  <c r="AE67" i="12"/>
  <c r="AE84" i="12"/>
  <c r="AE80" i="12"/>
  <c r="AE76" i="12"/>
  <c r="AE72" i="12"/>
  <c r="AE68" i="12"/>
  <c r="AE64" i="12"/>
  <c r="AE88" i="12"/>
  <c r="AE85" i="12"/>
  <c r="AE81" i="12"/>
  <c r="AE77" i="12"/>
  <c r="AE73" i="12"/>
  <c r="AE69" i="12"/>
  <c r="AE65" i="12"/>
  <c r="AE92" i="12"/>
  <c r="AE89" i="12"/>
  <c r="AE86" i="12"/>
  <c r="AE82" i="12"/>
  <c r="AE78" i="12"/>
  <c r="AE74" i="12"/>
  <c r="AE70" i="12"/>
  <c r="AE66" i="12"/>
  <c r="AE62" i="12"/>
  <c r="AE60" i="12"/>
  <c r="AE56" i="12"/>
  <c r="AE52" i="12"/>
  <c r="AE48" i="12"/>
  <c r="AE44" i="12"/>
  <c r="AE40" i="12"/>
  <c r="AE36" i="12"/>
  <c r="AE32" i="12"/>
  <c r="AE28" i="12"/>
  <c r="AE24" i="12"/>
  <c r="AE20" i="12"/>
  <c r="AE16" i="12"/>
  <c r="AE63" i="12"/>
  <c r="AE61" i="12"/>
  <c r="AE57" i="12"/>
  <c r="AE53" i="12"/>
  <c r="AE49" i="12"/>
  <c r="AE45" i="12"/>
  <c r="AE41" i="12"/>
  <c r="AE37" i="12"/>
  <c r="AE33" i="12"/>
  <c r="AE29" i="12"/>
  <c r="AE25" i="12"/>
  <c r="AE21" i="12"/>
  <c r="AE17" i="12"/>
  <c r="AE58" i="12"/>
  <c r="AE54" i="12"/>
  <c r="AE50" i="12"/>
  <c r="AE46" i="12"/>
  <c r="AE42" i="12"/>
  <c r="AE38" i="12"/>
  <c r="AE34" i="12"/>
  <c r="AE30" i="12"/>
  <c r="AE26" i="12"/>
  <c r="AE22" i="12"/>
  <c r="AE18" i="12"/>
  <c r="AE14" i="12"/>
  <c r="AE59" i="12"/>
  <c r="AE55" i="12"/>
  <c r="AE51" i="12"/>
  <c r="AE47" i="12"/>
  <c r="AE43" i="12"/>
  <c r="AE39" i="12"/>
  <c r="AE35" i="12"/>
  <c r="AE31" i="12"/>
  <c r="AE27" i="12"/>
  <c r="AE23" i="12"/>
  <c r="AE19" i="12"/>
  <c r="AE15" i="12"/>
  <c r="AI251" i="12"/>
  <c r="AI249" i="12"/>
  <c r="AI250" i="12"/>
  <c r="AI247" i="12"/>
  <c r="AI244" i="12"/>
  <c r="AI248" i="12"/>
  <c r="AI246" i="12"/>
  <c r="AI240" i="12"/>
  <c r="AI241" i="12"/>
  <c r="AI245" i="12"/>
  <c r="AI242" i="12"/>
  <c r="AI239" i="12"/>
  <c r="AI243" i="12"/>
  <c r="AI238" i="12"/>
  <c r="AI235" i="12"/>
  <c r="AI231" i="12"/>
  <c r="AI236" i="12"/>
  <c r="AI232" i="12"/>
  <c r="AI233" i="12"/>
  <c r="AI237" i="12"/>
  <c r="AI234" i="12"/>
  <c r="AI228" i="12"/>
  <c r="AI229" i="12"/>
  <c r="AI225" i="12"/>
  <c r="AI230" i="12"/>
  <c r="AI226" i="12"/>
  <c r="AI227" i="12"/>
  <c r="AI222" i="12"/>
  <c r="AI218" i="12"/>
  <c r="AI223" i="12"/>
  <c r="AI219" i="12"/>
  <c r="AI224" i="12"/>
  <c r="AI220" i="12"/>
  <c r="AI221" i="12"/>
  <c r="AI215" i="12"/>
  <c r="AI211" i="12"/>
  <c r="AI207" i="12"/>
  <c r="AI216" i="12"/>
  <c r="AI212" i="12"/>
  <c r="AI208" i="12"/>
  <c r="AI217" i="12"/>
  <c r="AI213" i="12"/>
  <c r="AI209" i="12"/>
  <c r="AI214" i="12"/>
  <c r="AI210" i="12"/>
  <c r="AI206" i="12"/>
  <c r="AI204" i="12"/>
  <c r="AI200" i="12"/>
  <c r="AI196" i="12"/>
  <c r="AI205" i="12"/>
  <c r="AI201" i="12"/>
  <c r="AI197" i="12"/>
  <c r="AI193" i="12"/>
  <c r="AI202" i="12"/>
  <c r="AI198" i="12"/>
  <c r="AI194" i="12"/>
  <c r="AI203" i="12"/>
  <c r="AI199" i="12"/>
  <c r="AI195" i="12"/>
  <c r="AI189" i="12"/>
  <c r="AI185" i="12"/>
  <c r="AI181" i="12"/>
  <c r="AI190" i="12"/>
  <c r="AI186" i="12"/>
  <c r="AI182" i="12"/>
  <c r="AI191" i="12"/>
  <c r="AI187" i="12"/>
  <c r="AI183" i="12"/>
  <c r="AI192" i="12"/>
  <c r="AI188" i="12"/>
  <c r="AI184" i="12"/>
  <c r="AI180" i="12"/>
  <c r="AI178" i="12"/>
  <c r="AI174" i="12"/>
  <c r="AI170" i="12"/>
  <c r="AI179" i="12"/>
  <c r="AI175" i="12"/>
  <c r="AI171" i="12"/>
  <c r="AI167" i="12"/>
  <c r="AI176" i="12"/>
  <c r="AI172" i="12"/>
  <c r="AI168" i="12"/>
  <c r="AI177" i="12"/>
  <c r="AI173" i="12"/>
  <c r="AI169" i="12"/>
  <c r="AI164" i="12"/>
  <c r="AI160" i="12"/>
  <c r="AI156" i="12"/>
  <c r="AI152" i="12"/>
  <c r="AI148" i="12"/>
  <c r="AI144" i="12"/>
  <c r="AI165" i="12"/>
  <c r="AI161" i="12"/>
  <c r="AI157" i="12"/>
  <c r="AI153" i="12"/>
  <c r="AI149" i="12"/>
  <c r="AI145" i="12"/>
  <c r="AI166" i="12"/>
  <c r="AI162" i="12"/>
  <c r="AI158" i="12"/>
  <c r="AI154" i="12"/>
  <c r="AI150" i="12"/>
  <c r="AI146" i="12"/>
  <c r="AI142" i="12"/>
  <c r="AI163" i="12"/>
  <c r="AI159" i="12"/>
  <c r="AI155" i="12"/>
  <c r="AI151" i="12"/>
  <c r="AI147" i="12"/>
  <c r="AI143" i="12"/>
  <c r="AI139" i="12"/>
  <c r="AI135" i="12"/>
  <c r="AI131" i="12"/>
  <c r="AI127" i="12"/>
  <c r="AI123" i="12"/>
  <c r="AI119" i="12"/>
  <c r="AI140" i="12"/>
  <c r="AI136" i="12"/>
  <c r="AI132" i="12"/>
  <c r="AI128" i="12"/>
  <c r="AI124" i="12"/>
  <c r="AI120" i="12"/>
  <c r="AI141" i="12"/>
  <c r="AI137" i="12"/>
  <c r="AI133" i="12"/>
  <c r="AI129" i="12"/>
  <c r="AI125" i="12"/>
  <c r="AI121" i="12"/>
  <c r="AI117" i="12"/>
  <c r="AI138" i="12"/>
  <c r="AI134" i="12"/>
  <c r="AI130" i="12"/>
  <c r="AI126" i="12"/>
  <c r="AI122" i="12"/>
  <c r="AI118" i="12"/>
  <c r="AI112" i="12"/>
  <c r="AI108" i="12"/>
  <c r="AI104" i="12"/>
  <c r="AI100" i="12"/>
  <c r="AI96" i="12"/>
  <c r="AI113" i="12"/>
  <c r="AI109" i="12"/>
  <c r="AI105" i="12"/>
  <c r="AI101" i="12"/>
  <c r="AI97" i="12"/>
  <c r="AI93" i="12"/>
  <c r="AI116" i="12"/>
  <c r="AI114" i="12"/>
  <c r="AI110" i="12"/>
  <c r="AI106" i="12"/>
  <c r="AI102" i="12"/>
  <c r="AI98" i="12"/>
  <c r="AI94" i="12"/>
  <c r="AI90" i="12"/>
  <c r="AI115" i="12"/>
  <c r="AI111" i="12"/>
  <c r="AI107" i="12"/>
  <c r="AI103" i="12"/>
  <c r="AI99" i="12"/>
  <c r="AI95" i="12"/>
  <c r="AI91" i="12"/>
  <c r="AI88" i="12"/>
  <c r="AI87" i="12"/>
  <c r="AI83" i="12"/>
  <c r="AI79" i="12"/>
  <c r="AI75" i="12"/>
  <c r="AI71" i="12"/>
  <c r="AI67" i="12"/>
  <c r="AI89" i="12"/>
  <c r="AI84" i="12"/>
  <c r="AI80" i="12"/>
  <c r="AI76" i="12"/>
  <c r="AI72" i="12"/>
  <c r="AI68" i="12"/>
  <c r="AI64" i="12"/>
  <c r="AI92" i="12"/>
  <c r="AI85" i="12"/>
  <c r="AI81" i="12"/>
  <c r="AI77" i="12"/>
  <c r="AI73" i="12"/>
  <c r="AI69" i="12"/>
  <c r="AI65" i="12"/>
  <c r="AI86" i="12"/>
  <c r="AI82" i="12"/>
  <c r="AI78" i="12"/>
  <c r="AI74" i="12"/>
  <c r="AI70" i="12"/>
  <c r="AI66" i="12"/>
  <c r="AI62" i="12"/>
  <c r="AI60" i="12"/>
  <c r="AI56" i="12"/>
  <c r="AI52" i="12"/>
  <c r="AI48" i="12"/>
  <c r="AI44" i="12"/>
  <c r="AI40" i="12"/>
  <c r="AI36" i="12"/>
  <c r="AI32" i="12"/>
  <c r="AI28" i="12"/>
  <c r="AI24" i="12"/>
  <c r="AI20" i="12"/>
  <c r="AI16" i="12"/>
  <c r="AI57" i="12"/>
  <c r="AI53" i="12"/>
  <c r="AI49" i="12"/>
  <c r="AI45" i="12"/>
  <c r="AI41" i="12"/>
  <c r="AI37" i="12"/>
  <c r="AI33" i="12"/>
  <c r="AI29" i="12"/>
  <c r="AI25" i="12"/>
  <c r="AI21" i="12"/>
  <c r="AI17" i="12"/>
  <c r="AI58" i="12"/>
  <c r="AI54" i="12"/>
  <c r="AI50" i="12"/>
  <c r="AI46" i="12"/>
  <c r="AI42" i="12"/>
  <c r="AI38" i="12"/>
  <c r="AI34" i="12"/>
  <c r="AI30" i="12"/>
  <c r="AI26" i="12"/>
  <c r="AI22" i="12"/>
  <c r="AI18" i="12"/>
  <c r="AI14" i="12"/>
  <c r="AI63" i="12"/>
  <c r="AI61" i="12"/>
  <c r="AI59" i="12"/>
  <c r="AI55" i="12"/>
  <c r="AI51" i="12"/>
  <c r="AI47" i="12"/>
  <c r="AI43" i="12"/>
  <c r="AI39" i="12"/>
  <c r="AI35" i="12"/>
  <c r="AI31" i="12"/>
  <c r="AI27" i="12"/>
  <c r="AI23" i="12"/>
  <c r="AI19" i="12"/>
  <c r="AI15" i="12"/>
  <c r="AM251" i="12"/>
  <c r="AM249" i="12"/>
  <c r="AM250" i="12"/>
  <c r="AM247" i="12"/>
  <c r="AM248" i="12"/>
  <c r="AM244" i="12"/>
  <c r="AM245" i="12"/>
  <c r="AM240" i="12"/>
  <c r="AM246" i="12"/>
  <c r="AM241" i="12"/>
  <c r="AM242" i="12"/>
  <c r="AM243" i="12"/>
  <c r="AM239" i="12"/>
  <c r="AM238" i="12"/>
  <c r="AM237" i="12"/>
  <c r="AM235" i="12"/>
  <c r="AM231" i="12"/>
  <c r="AM236" i="12"/>
  <c r="AM232" i="12"/>
  <c r="AM233" i="12"/>
  <c r="AM234" i="12"/>
  <c r="AM228" i="12"/>
  <c r="AM229" i="12"/>
  <c r="AM225" i="12"/>
  <c r="AM230" i="12"/>
  <c r="AM226" i="12"/>
  <c r="AM227" i="12"/>
  <c r="AM222" i="12"/>
  <c r="AM218" i="12"/>
  <c r="AM223" i="12"/>
  <c r="AM219" i="12"/>
  <c r="AM224" i="12"/>
  <c r="AM220" i="12"/>
  <c r="AM221" i="12"/>
  <c r="AM215" i="12"/>
  <c r="AM211" i="12"/>
  <c r="AM207" i="12"/>
  <c r="AM216" i="12"/>
  <c r="AM212" i="12"/>
  <c r="AM208" i="12"/>
  <c r="AM217" i="12"/>
  <c r="AM213" i="12"/>
  <c r="AM209" i="12"/>
  <c r="AM214" i="12"/>
  <c r="AM210" i="12"/>
  <c r="AM206" i="12"/>
  <c r="AM204" i="12"/>
  <c r="AM200" i="12"/>
  <c r="AM196" i="12"/>
  <c r="AM205" i="12"/>
  <c r="AM201" i="12"/>
  <c r="AM197" i="12"/>
  <c r="AM193" i="12"/>
  <c r="AM202" i="12"/>
  <c r="AM198" i="12"/>
  <c r="AM194" i="12"/>
  <c r="AM203" i="12"/>
  <c r="AM199" i="12"/>
  <c r="AM195" i="12"/>
  <c r="AM189" i="12"/>
  <c r="AM185" i="12"/>
  <c r="AM181" i="12"/>
  <c r="AM190" i="12"/>
  <c r="AM186" i="12"/>
  <c r="AM182" i="12"/>
  <c r="AM191" i="12"/>
  <c r="AM187" i="12"/>
  <c r="AM183" i="12"/>
  <c r="AM192" i="12"/>
  <c r="AM188" i="12"/>
  <c r="AM184" i="12"/>
  <c r="AM180" i="12"/>
  <c r="AM178" i="12"/>
  <c r="AM174" i="12"/>
  <c r="AM170" i="12"/>
  <c r="AM179" i="12"/>
  <c r="AM175" i="12"/>
  <c r="AM171" i="12"/>
  <c r="AM167" i="12"/>
  <c r="AM176" i="12"/>
  <c r="AM172" i="12"/>
  <c r="AM168" i="12"/>
  <c r="AM177" i="12"/>
  <c r="AM173" i="12"/>
  <c r="AM169" i="12"/>
  <c r="AM164" i="12"/>
  <c r="AM160" i="12"/>
  <c r="AM156" i="12"/>
  <c r="AM152" i="12"/>
  <c r="AM148" i="12"/>
  <c r="AM144" i="12"/>
  <c r="AM165" i="12"/>
  <c r="AM161" i="12"/>
  <c r="AM157" i="12"/>
  <c r="AM153" i="12"/>
  <c r="AM149" i="12"/>
  <c r="AM145" i="12"/>
  <c r="AM166" i="12"/>
  <c r="AM162" i="12"/>
  <c r="AM158" i="12"/>
  <c r="AM154" i="12"/>
  <c r="AM150" i="12"/>
  <c r="AM146" i="12"/>
  <c r="AM142" i="12"/>
  <c r="AM163" i="12"/>
  <c r="AM159" i="12"/>
  <c r="AM155" i="12"/>
  <c r="AM151" i="12"/>
  <c r="AM147" i="12"/>
  <c r="AM143" i="12"/>
  <c r="AM139" i="12"/>
  <c r="AM135" i="12"/>
  <c r="AM131" i="12"/>
  <c r="AM127" i="12"/>
  <c r="AM123" i="12"/>
  <c r="AM119" i="12"/>
  <c r="AM140" i="12"/>
  <c r="AM136" i="12"/>
  <c r="AM132" i="12"/>
  <c r="AM128" i="12"/>
  <c r="AM124" i="12"/>
  <c r="AM120" i="12"/>
  <c r="AM141" i="12"/>
  <c r="AM137" i="12"/>
  <c r="AM133" i="12"/>
  <c r="AM129" i="12"/>
  <c r="AM125" i="12"/>
  <c r="AM121" i="12"/>
  <c r="AM117" i="12"/>
  <c r="AM138" i="12"/>
  <c r="AM134" i="12"/>
  <c r="AM130" i="12"/>
  <c r="AM126" i="12"/>
  <c r="AM122" i="12"/>
  <c r="AM118" i="12"/>
  <c r="AM116" i="12"/>
  <c r="AM112" i="12"/>
  <c r="AM108" i="12"/>
  <c r="AM104" i="12"/>
  <c r="AM100" i="12"/>
  <c r="AM96" i="12"/>
  <c r="AM113" i="12"/>
  <c r="AM109" i="12"/>
  <c r="AM105" i="12"/>
  <c r="AM101" i="12"/>
  <c r="AM97" i="12"/>
  <c r="AM93" i="12"/>
  <c r="AM114" i="12"/>
  <c r="AM110" i="12"/>
  <c r="AM106" i="12"/>
  <c r="AM102" i="12"/>
  <c r="AM98" i="12"/>
  <c r="AM94" i="12"/>
  <c r="AM90" i="12"/>
  <c r="AM115" i="12"/>
  <c r="AM111" i="12"/>
  <c r="AM107" i="12"/>
  <c r="AM103" i="12"/>
  <c r="AM99" i="12"/>
  <c r="AM95" i="12"/>
  <c r="AM91" i="12"/>
  <c r="AM87" i="12"/>
  <c r="AM83" i="12"/>
  <c r="AM79" i="12"/>
  <c r="AM75" i="12"/>
  <c r="AM71" i="12"/>
  <c r="AM67" i="12"/>
  <c r="AM92" i="12"/>
  <c r="AM84" i="12"/>
  <c r="AM80" i="12"/>
  <c r="AM76" i="12"/>
  <c r="AM72" i="12"/>
  <c r="AM68" i="12"/>
  <c r="AM64" i="12"/>
  <c r="AM88" i="12"/>
  <c r="AM85" i="12"/>
  <c r="AM81" i="12"/>
  <c r="AM77" i="12"/>
  <c r="AM73" i="12"/>
  <c r="AM69" i="12"/>
  <c r="AM65" i="12"/>
  <c r="AM89" i="12"/>
  <c r="AM86" i="12"/>
  <c r="AM82" i="12"/>
  <c r="AM78" i="12"/>
  <c r="AM74" i="12"/>
  <c r="AM70" i="12"/>
  <c r="AM66" i="12"/>
  <c r="AM62" i="12"/>
  <c r="AM60" i="12"/>
  <c r="AM56" i="12"/>
  <c r="AM52" i="12"/>
  <c r="AM48" i="12"/>
  <c r="AM44" i="12"/>
  <c r="AM40" i="12"/>
  <c r="AM36" i="12"/>
  <c r="AM32" i="12"/>
  <c r="AM28" i="12"/>
  <c r="AM24" i="12"/>
  <c r="AM20" i="12"/>
  <c r="AM16" i="12"/>
  <c r="AM63" i="12"/>
  <c r="AM61" i="12"/>
  <c r="AM57" i="12"/>
  <c r="AM53" i="12"/>
  <c r="AM49" i="12"/>
  <c r="AM45" i="12"/>
  <c r="AM41" i="12"/>
  <c r="AM37" i="12"/>
  <c r="AM33" i="12"/>
  <c r="AM29" i="12"/>
  <c r="AM25" i="12"/>
  <c r="AM21" i="12"/>
  <c r="AM17" i="12"/>
  <c r="AM58" i="12"/>
  <c r="AM54" i="12"/>
  <c r="AM50" i="12"/>
  <c r="AM46" i="12"/>
  <c r="AM42" i="12"/>
  <c r="AM38" i="12"/>
  <c r="AM34" i="12"/>
  <c r="AM30" i="12"/>
  <c r="AM26" i="12"/>
  <c r="AM22" i="12"/>
  <c r="AM18" i="12"/>
  <c r="AM14" i="12"/>
  <c r="AM59" i="12"/>
  <c r="AM55" i="12"/>
  <c r="AM51" i="12"/>
  <c r="AM47" i="12"/>
  <c r="AM43" i="12"/>
  <c r="AM39" i="12"/>
  <c r="AM35" i="12"/>
  <c r="AM31" i="12"/>
  <c r="AM27" i="12"/>
  <c r="AM23" i="12"/>
  <c r="AM19" i="12"/>
  <c r="AM15" i="12"/>
  <c r="AQ251" i="12"/>
  <c r="AQ249" i="12"/>
  <c r="AQ250" i="12"/>
  <c r="AQ247" i="12"/>
  <c r="AQ246" i="12"/>
  <c r="AQ244" i="12"/>
  <c r="AQ240" i="12"/>
  <c r="AQ248" i="12"/>
  <c r="AQ241" i="12"/>
  <c r="AQ245" i="12"/>
  <c r="AQ242" i="12"/>
  <c r="AQ243" i="12"/>
  <c r="AQ239" i="12"/>
  <c r="AQ238" i="12"/>
  <c r="AQ235" i="12"/>
  <c r="AQ231" i="12"/>
  <c r="AQ237" i="12"/>
  <c r="AQ236" i="12"/>
  <c r="AQ232" i="12"/>
  <c r="AQ233" i="12"/>
  <c r="AQ234" i="12"/>
  <c r="AQ228" i="12"/>
  <c r="AQ229" i="12"/>
  <c r="AQ225" i="12"/>
  <c r="AQ230" i="12"/>
  <c r="AQ226" i="12"/>
  <c r="AQ227" i="12"/>
  <c r="AQ222" i="12"/>
  <c r="AQ218" i="12"/>
  <c r="AQ223" i="12"/>
  <c r="AQ219" i="12"/>
  <c r="AQ224" i="12"/>
  <c r="AQ220" i="12"/>
  <c r="AQ221" i="12"/>
  <c r="AQ215" i="12"/>
  <c r="AQ211" i="12"/>
  <c r="AQ207" i="12"/>
  <c r="AQ216" i="12"/>
  <c r="AQ212" i="12"/>
  <c r="AQ208" i="12"/>
  <c r="AQ217" i="12"/>
  <c r="AQ213" i="12"/>
  <c r="AQ209" i="12"/>
  <c r="AQ214" i="12"/>
  <c r="AQ210" i="12"/>
  <c r="AQ206" i="12"/>
  <c r="AQ204" i="12"/>
  <c r="AQ200" i="12"/>
  <c r="AQ196" i="12"/>
  <c r="AQ205" i="12"/>
  <c r="AQ201" i="12"/>
  <c r="AQ197" i="12"/>
  <c r="AQ193" i="12"/>
  <c r="AQ202" i="12"/>
  <c r="AQ198" i="12"/>
  <c r="AQ194" i="12"/>
  <c r="AQ203" i="12"/>
  <c r="AQ199" i="12"/>
  <c r="AQ195" i="12"/>
  <c r="AQ189" i="12"/>
  <c r="AQ185" i="12"/>
  <c r="AQ181" i="12"/>
  <c r="AQ190" i="12"/>
  <c r="AQ186" i="12"/>
  <c r="AQ182" i="12"/>
  <c r="AQ191" i="12"/>
  <c r="AQ187" i="12"/>
  <c r="AQ183" i="12"/>
  <c r="AQ192" i="12"/>
  <c r="AQ188" i="12"/>
  <c r="AQ184" i="12"/>
  <c r="AQ180" i="12"/>
  <c r="AQ178" i="12"/>
  <c r="AQ174" i="12"/>
  <c r="AQ170" i="12"/>
  <c r="AQ179" i="12"/>
  <c r="AQ175" i="12"/>
  <c r="AQ171" i="12"/>
  <c r="AQ167" i="12"/>
  <c r="AQ176" i="12"/>
  <c r="AQ172" i="12"/>
  <c r="AQ168" i="12"/>
  <c r="AQ177" i="12"/>
  <c r="AQ173" i="12"/>
  <c r="AQ169" i="12"/>
  <c r="AQ164" i="12"/>
  <c r="AQ160" i="12"/>
  <c r="AQ156" i="12"/>
  <c r="AQ152" i="12"/>
  <c r="AQ148" i="12"/>
  <c r="AQ144" i="12"/>
  <c r="AQ165" i="12"/>
  <c r="AQ161" i="12"/>
  <c r="AQ157" i="12"/>
  <c r="AQ153" i="12"/>
  <c r="AQ149" i="12"/>
  <c r="AQ145" i="12"/>
  <c r="AQ166" i="12"/>
  <c r="AQ162" i="12"/>
  <c r="AQ158" i="12"/>
  <c r="AQ154" i="12"/>
  <c r="AQ150" i="12"/>
  <c r="AQ146" i="12"/>
  <c r="AQ142" i="12"/>
  <c r="AQ163" i="12"/>
  <c r="AQ159" i="12"/>
  <c r="AQ155" i="12"/>
  <c r="AQ151" i="12"/>
  <c r="AQ147" i="12"/>
  <c r="AQ143" i="12"/>
  <c r="AQ139" i="12"/>
  <c r="AQ135" i="12"/>
  <c r="AQ131" i="12"/>
  <c r="AQ127" i="12"/>
  <c r="AQ123" i="12"/>
  <c r="AQ119" i="12"/>
  <c r="AQ140" i="12"/>
  <c r="AQ136" i="12"/>
  <c r="AQ132" i="12"/>
  <c r="AQ128" i="12"/>
  <c r="AQ124" i="12"/>
  <c r="AQ120" i="12"/>
  <c r="AQ141" i="12"/>
  <c r="AQ137" i="12"/>
  <c r="AQ133" i="12"/>
  <c r="AQ129" i="12"/>
  <c r="AQ125" i="12"/>
  <c r="AQ121" i="12"/>
  <c r="AQ117" i="12"/>
  <c r="AQ138" i="12"/>
  <c r="AQ134" i="12"/>
  <c r="AQ130" i="12"/>
  <c r="AQ126" i="12"/>
  <c r="AQ122" i="12"/>
  <c r="AQ118" i="12"/>
  <c r="AQ112" i="12"/>
  <c r="AQ108" i="12"/>
  <c r="AQ104" i="12"/>
  <c r="AQ100" i="12"/>
  <c r="AQ96" i="12"/>
  <c r="AQ113" i="12"/>
  <c r="AQ109" i="12"/>
  <c r="AQ105" i="12"/>
  <c r="AQ101" i="12"/>
  <c r="AQ97" i="12"/>
  <c r="AQ93" i="12"/>
  <c r="AQ116" i="12"/>
  <c r="AQ114" i="12"/>
  <c r="AQ110" i="12"/>
  <c r="AQ106" i="12"/>
  <c r="AQ102" i="12"/>
  <c r="AQ98" i="12"/>
  <c r="AQ94" i="12"/>
  <c r="AQ90" i="12"/>
  <c r="AQ115" i="12"/>
  <c r="AQ111" i="12"/>
  <c r="AQ107" i="12"/>
  <c r="AQ103" i="12"/>
  <c r="AQ99" i="12"/>
  <c r="AQ95" i="12"/>
  <c r="AQ91" i="12"/>
  <c r="AQ92" i="12"/>
  <c r="AQ88" i="12"/>
  <c r="AQ87" i="12"/>
  <c r="AQ83" i="12"/>
  <c r="AQ79" i="12"/>
  <c r="AQ75" i="12"/>
  <c r="AQ71" i="12"/>
  <c r="AQ67" i="12"/>
  <c r="AQ89" i="12"/>
  <c r="AQ84" i="12"/>
  <c r="AQ80" i="12"/>
  <c r="AQ76" i="12"/>
  <c r="AQ72" i="12"/>
  <c r="AQ68" i="12"/>
  <c r="AQ64" i="12"/>
  <c r="AQ85" i="12"/>
  <c r="AQ81" i="12"/>
  <c r="AQ77" i="12"/>
  <c r="AQ73" i="12"/>
  <c r="AQ69" i="12"/>
  <c r="AQ65" i="12"/>
  <c r="AQ86" i="12"/>
  <c r="AQ82" i="12"/>
  <c r="AQ78" i="12"/>
  <c r="AQ74" i="12"/>
  <c r="AQ70" i="12"/>
  <c r="AQ66" i="12"/>
  <c r="AQ62" i="12"/>
  <c r="AQ60" i="12"/>
  <c r="AQ56" i="12"/>
  <c r="AQ52" i="12"/>
  <c r="AQ48" i="12"/>
  <c r="AQ44" i="12"/>
  <c r="AQ40" i="12"/>
  <c r="AQ36" i="12"/>
  <c r="AQ32" i="12"/>
  <c r="AQ28" i="12"/>
  <c r="AQ24" i="12"/>
  <c r="AQ20" i="12"/>
  <c r="AQ16" i="12"/>
  <c r="AQ57" i="12"/>
  <c r="AQ53" i="12"/>
  <c r="AQ49" i="12"/>
  <c r="AQ45" i="12"/>
  <c r="AQ41" i="12"/>
  <c r="AQ37" i="12"/>
  <c r="AQ33" i="12"/>
  <c r="AQ29" i="12"/>
  <c r="AQ25" i="12"/>
  <c r="AQ21" i="12"/>
  <c r="AQ17" i="12"/>
  <c r="AQ58" i="12"/>
  <c r="AQ54" i="12"/>
  <c r="AQ50" i="12"/>
  <c r="AQ46" i="12"/>
  <c r="AQ42" i="12"/>
  <c r="AQ38" i="12"/>
  <c r="AQ34" i="12"/>
  <c r="AQ30" i="12"/>
  <c r="AQ26" i="12"/>
  <c r="AQ22" i="12"/>
  <c r="AQ18" i="12"/>
  <c r="AQ14" i="12"/>
  <c r="AQ63" i="12"/>
  <c r="AQ61" i="12"/>
  <c r="AQ59" i="12"/>
  <c r="AQ55" i="12"/>
  <c r="AQ51" i="12"/>
  <c r="AQ47" i="12"/>
  <c r="AQ43" i="12"/>
  <c r="AQ39" i="12"/>
  <c r="AQ35" i="12"/>
  <c r="AQ31" i="12"/>
  <c r="AQ27" i="12"/>
  <c r="AQ23" i="12"/>
  <c r="AQ19" i="12"/>
  <c r="AQ15" i="12"/>
  <c r="AU251" i="12"/>
  <c r="AU249" i="12"/>
  <c r="AU250" i="12"/>
  <c r="AU247" i="12"/>
  <c r="AU244" i="12"/>
  <c r="AU246" i="12"/>
  <c r="AU248" i="12"/>
  <c r="AU245" i="12"/>
  <c r="AU240" i="12"/>
  <c r="AU241" i="12"/>
  <c r="AU242" i="12"/>
  <c r="AU239" i="12"/>
  <c r="AU238" i="12"/>
  <c r="AU243" i="12"/>
  <c r="AU235" i="12"/>
  <c r="AU231" i="12"/>
  <c r="AU236" i="12"/>
  <c r="AU232" i="12"/>
  <c r="AU237" i="12"/>
  <c r="AU233" i="12"/>
  <c r="AU234" i="12"/>
  <c r="AU228" i="12"/>
  <c r="AU229" i="12"/>
  <c r="AU225" i="12"/>
  <c r="AU230" i="12"/>
  <c r="AU226" i="12"/>
  <c r="AU227" i="12"/>
  <c r="AU222" i="12"/>
  <c r="AU218" i="12"/>
  <c r="AU223" i="12"/>
  <c r="AU219" i="12"/>
  <c r="AU224" i="12"/>
  <c r="AU220" i="12"/>
  <c r="AU221" i="12"/>
  <c r="AU215" i="12"/>
  <c r="AU211" i="12"/>
  <c r="AU207" i="12"/>
  <c r="AU216" i="12"/>
  <c r="AU212" i="12"/>
  <c r="AU208" i="12"/>
  <c r="AU217" i="12"/>
  <c r="AU213" i="12"/>
  <c r="AU209" i="12"/>
  <c r="AU214" i="12"/>
  <c r="AU210" i="12"/>
  <c r="AU206" i="12"/>
  <c r="AU204" i="12"/>
  <c r="AU200" i="12"/>
  <c r="AU196" i="12"/>
  <c r="AU205" i="12"/>
  <c r="AU201" i="12"/>
  <c r="AU197" i="12"/>
  <c r="AU193" i="12"/>
  <c r="AU202" i="12"/>
  <c r="AU198" i="12"/>
  <c r="AU194" i="12"/>
  <c r="AU203" i="12"/>
  <c r="AU199" i="12"/>
  <c r="AU195" i="12"/>
  <c r="AU189" i="12"/>
  <c r="AU185" i="12"/>
  <c r="AU181" i="12"/>
  <c r="AU190" i="12"/>
  <c r="AU186" i="12"/>
  <c r="AU182" i="12"/>
  <c r="AU191" i="12"/>
  <c r="AU187" i="12"/>
  <c r="AU183" i="12"/>
  <c r="AU192" i="12"/>
  <c r="AU188" i="12"/>
  <c r="AU184" i="12"/>
  <c r="AU180" i="12"/>
  <c r="AU178" i="12"/>
  <c r="AU174" i="12"/>
  <c r="AU170" i="12"/>
  <c r="AU179" i="12"/>
  <c r="AU175" i="12"/>
  <c r="AU171" i="12"/>
  <c r="AU167" i="12"/>
  <c r="AU176" i="12"/>
  <c r="AU172" i="12"/>
  <c r="AU168" i="12"/>
  <c r="AU177" i="12"/>
  <c r="AU173" i="12"/>
  <c r="AU169" i="12"/>
  <c r="AU164" i="12"/>
  <c r="AU160" i="12"/>
  <c r="AU156" i="12"/>
  <c r="AU152" i="12"/>
  <c r="AU148" i="12"/>
  <c r="AU144" i="12"/>
  <c r="AU165" i="12"/>
  <c r="AU161" i="12"/>
  <c r="AU157" i="12"/>
  <c r="AU153" i="12"/>
  <c r="AU149" i="12"/>
  <c r="AU145" i="12"/>
  <c r="AU166" i="12"/>
  <c r="AU162" i="12"/>
  <c r="AU158" i="12"/>
  <c r="AU154" i="12"/>
  <c r="AU150" i="12"/>
  <c r="AU146" i="12"/>
  <c r="AU142" i="12"/>
  <c r="AU163" i="12"/>
  <c r="AU159" i="12"/>
  <c r="AU155" i="12"/>
  <c r="AU151" i="12"/>
  <c r="AU147" i="12"/>
  <c r="AU143" i="12"/>
  <c r="AU139" i="12"/>
  <c r="AU135" i="12"/>
  <c r="AU131" i="12"/>
  <c r="AU127" i="12"/>
  <c r="AU123" i="12"/>
  <c r="AU119" i="12"/>
  <c r="AU140" i="12"/>
  <c r="AU136" i="12"/>
  <c r="AU132" i="12"/>
  <c r="AU128" i="12"/>
  <c r="AU124" i="12"/>
  <c r="AU120" i="12"/>
  <c r="AU141" i="12"/>
  <c r="AU137" i="12"/>
  <c r="AU133" i="12"/>
  <c r="AU129" i="12"/>
  <c r="AU125" i="12"/>
  <c r="AU121" i="12"/>
  <c r="AU117" i="12"/>
  <c r="AU138" i="12"/>
  <c r="AU134" i="12"/>
  <c r="AU130" i="12"/>
  <c r="AU126" i="12"/>
  <c r="AU122" i="12"/>
  <c r="AU118" i="12"/>
  <c r="AU116" i="12"/>
  <c r="AU112" i="12"/>
  <c r="AU108" i="12"/>
  <c r="AU104" i="12"/>
  <c r="AU100" i="12"/>
  <c r="AU96" i="12"/>
  <c r="AU113" i="12"/>
  <c r="AU109" i="12"/>
  <c r="AU105" i="12"/>
  <c r="AU101" i="12"/>
  <c r="AU97" i="12"/>
  <c r="AU93" i="12"/>
  <c r="AU114" i="12"/>
  <c r="AU110" i="12"/>
  <c r="AU106" i="12"/>
  <c r="AU102" i="12"/>
  <c r="AU98" i="12"/>
  <c r="AU94" i="12"/>
  <c r="AU90" i="12"/>
  <c r="AU115" i="12"/>
  <c r="AU111" i="12"/>
  <c r="AU107" i="12"/>
  <c r="AU103" i="12"/>
  <c r="AU99" i="12"/>
  <c r="AU95" i="12"/>
  <c r="AU91" i="12"/>
  <c r="AU87" i="12"/>
  <c r="AU83" i="12"/>
  <c r="AU79" i="12"/>
  <c r="AU75" i="12"/>
  <c r="AU71" i="12"/>
  <c r="AU67" i="12"/>
  <c r="AU84" i="12"/>
  <c r="AU80" i="12"/>
  <c r="AU76" i="12"/>
  <c r="AU72" i="12"/>
  <c r="AU68" i="12"/>
  <c r="AU64" i="12"/>
  <c r="AU88" i="12"/>
  <c r="AU85" i="12"/>
  <c r="AU81" i="12"/>
  <c r="AU77" i="12"/>
  <c r="AU73" i="12"/>
  <c r="AU69" i="12"/>
  <c r="AU65" i="12"/>
  <c r="AU92" i="12"/>
  <c r="AU89" i="12"/>
  <c r="AU86" i="12"/>
  <c r="AU82" i="12"/>
  <c r="AU78" i="12"/>
  <c r="AU74" i="12"/>
  <c r="AU70" i="12"/>
  <c r="AU66" i="12"/>
  <c r="AU62" i="12"/>
  <c r="AU60" i="12"/>
  <c r="AU56" i="12"/>
  <c r="AU52" i="12"/>
  <c r="AU48" i="12"/>
  <c r="AU44" i="12"/>
  <c r="AU40" i="12"/>
  <c r="AU36" i="12"/>
  <c r="AU32" i="12"/>
  <c r="AU28" i="12"/>
  <c r="AU24" i="12"/>
  <c r="AU20" i="12"/>
  <c r="AU16" i="12"/>
  <c r="AU63" i="12"/>
  <c r="AU61" i="12"/>
  <c r="AU57" i="12"/>
  <c r="AU53" i="12"/>
  <c r="AU49" i="12"/>
  <c r="AU45" i="12"/>
  <c r="AU41" i="12"/>
  <c r="AU37" i="12"/>
  <c r="AU33" i="12"/>
  <c r="AU29" i="12"/>
  <c r="AU25" i="12"/>
  <c r="AU21" i="12"/>
  <c r="AU17" i="12"/>
  <c r="AU58" i="12"/>
  <c r="AU54" i="12"/>
  <c r="AU50" i="12"/>
  <c r="AU46" i="12"/>
  <c r="AU42" i="12"/>
  <c r="AU38" i="12"/>
  <c r="AU34" i="12"/>
  <c r="AU30" i="12"/>
  <c r="AU26" i="12"/>
  <c r="AU22" i="12"/>
  <c r="AU18" i="12"/>
  <c r="AU14" i="12"/>
  <c r="AU59" i="12"/>
  <c r="AU55" i="12"/>
  <c r="AU51" i="12"/>
  <c r="AU47" i="12"/>
  <c r="AU43" i="12"/>
  <c r="AU39" i="12"/>
  <c r="AU35" i="12"/>
  <c r="AU31" i="12"/>
  <c r="AU27" i="12"/>
  <c r="AU23" i="12"/>
  <c r="AU19" i="12"/>
  <c r="AU15" i="12"/>
  <c r="AY251" i="12"/>
  <c r="AY249" i="12"/>
  <c r="AY250" i="12"/>
  <c r="AY247" i="12"/>
  <c r="AY244" i="12"/>
  <c r="AY248" i="12"/>
  <c r="AY246" i="12"/>
  <c r="AY240" i="12"/>
  <c r="AY241" i="12"/>
  <c r="AY245" i="12"/>
  <c r="AY242" i="12"/>
  <c r="AY239" i="12"/>
  <c r="AY243" i="12"/>
  <c r="AY238" i="12"/>
  <c r="AY235" i="12"/>
  <c r="AY231" i="12"/>
  <c r="AY236" i="12"/>
  <c r="AY232" i="12"/>
  <c r="AY233" i="12"/>
  <c r="AY237" i="12"/>
  <c r="AY234" i="12"/>
  <c r="AY228" i="12"/>
  <c r="AY229" i="12"/>
  <c r="AY225" i="12"/>
  <c r="AY230" i="12"/>
  <c r="AY226" i="12"/>
  <c r="AY227" i="12"/>
  <c r="AY222" i="12"/>
  <c r="AY218" i="12"/>
  <c r="AY223" i="12"/>
  <c r="AY219" i="12"/>
  <c r="AY224" i="12"/>
  <c r="AY220" i="12"/>
  <c r="AY221" i="12"/>
  <c r="AY215" i="12"/>
  <c r="AY211" i="12"/>
  <c r="AY207" i="12"/>
  <c r="AY216" i="12"/>
  <c r="AY212" i="12"/>
  <c r="AY208" i="12"/>
  <c r="AY217" i="12"/>
  <c r="AY213" i="12"/>
  <c r="AY209" i="12"/>
  <c r="AY214" i="12"/>
  <c r="AY210" i="12"/>
  <c r="AY206" i="12"/>
  <c r="AY204" i="12"/>
  <c r="AY200" i="12"/>
  <c r="AY196" i="12"/>
  <c r="AY205" i="12"/>
  <c r="AY201" i="12"/>
  <c r="AY197" i="12"/>
  <c r="AY193" i="12"/>
  <c r="AY202" i="12"/>
  <c r="AY198" i="12"/>
  <c r="AY194" i="12"/>
  <c r="AY203" i="12"/>
  <c r="AY199" i="12"/>
  <c r="AY195" i="12"/>
  <c r="AY189" i="12"/>
  <c r="AY185" i="12"/>
  <c r="AY181" i="12"/>
  <c r="AY190" i="12"/>
  <c r="AY186" i="12"/>
  <c r="AY182" i="12"/>
  <c r="AY191" i="12"/>
  <c r="AY187" i="12"/>
  <c r="AY183" i="12"/>
  <c r="AY192" i="12"/>
  <c r="AY188" i="12"/>
  <c r="AY184" i="12"/>
  <c r="AY180" i="12"/>
  <c r="AY178" i="12"/>
  <c r="AY174" i="12"/>
  <c r="AY170" i="12"/>
  <c r="AY179" i="12"/>
  <c r="AY175" i="12"/>
  <c r="AY171" i="12"/>
  <c r="AY167" i="12"/>
  <c r="AY176" i="12"/>
  <c r="AY172" i="12"/>
  <c r="AY168" i="12"/>
  <c r="AY177" i="12"/>
  <c r="AY173" i="12"/>
  <c r="AY169" i="12"/>
  <c r="AY164" i="12"/>
  <c r="AY160" i="12"/>
  <c r="AY156" i="12"/>
  <c r="AY152" i="12"/>
  <c r="AY148" i="12"/>
  <c r="AY144" i="12"/>
  <c r="AY165" i="12"/>
  <c r="AY161" i="12"/>
  <c r="AY157" i="12"/>
  <c r="AY153" i="12"/>
  <c r="AY149" i="12"/>
  <c r="AY145" i="12"/>
  <c r="AY166" i="12"/>
  <c r="AY162" i="12"/>
  <c r="AY158" i="12"/>
  <c r="AY154" i="12"/>
  <c r="AY150" i="12"/>
  <c r="AY146" i="12"/>
  <c r="AY142" i="12"/>
  <c r="AY163" i="12"/>
  <c r="AY159" i="12"/>
  <c r="AY155" i="12"/>
  <c r="AY151" i="12"/>
  <c r="AY147" i="12"/>
  <c r="AY143" i="12"/>
  <c r="AY139" i="12"/>
  <c r="AY135" i="12"/>
  <c r="AY131" i="12"/>
  <c r="AY127" i="12"/>
  <c r="AY123" i="12"/>
  <c r="AY119" i="12"/>
  <c r="AY140" i="12"/>
  <c r="AY136" i="12"/>
  <c r="AY132" i="12"/>
  <c r="AY128" i="12"/>
  <c r="AY124" i="12"/>
  <c r="AY120" i="12"/>
  <c r="AY137" i="12"/>
  <c r="AY133" i="12"/>
  <c r="AY129" i="12"/>
  <c r="AY125" i="12"/>
  <c r="AY121" i="12"/>
  <c r="AY117" i="12"/>
  <c r="AY141" i="12"/>
  <c r="AY138" i="12"/>
  <c r="AY134" i="12"/>
  <c r="AY130" i="12"/>
  <c r="AY126" i="12"/>
  <c r="AY122" i="12"/>
  <c r="AY118" i="12"/>
  <c r="AY112" i="12"/>
  <c r="AY108" i="12"/>
  <c r="AY104" i="12"/>
  <c r="AY100" i="12"/>
  <c r="AY96" i="12"/>
  <c r="AY113" i="12"/>
  <c r="AY109" i="12"/>
  <c r="AY105" i="12"/>
  <c r="AY101" i="12"/>
  <c r="AY97" i="12"/>
  <c r="AY93" i="12"/>
  <c r="AY116" i="12"/>
  <c r="AY114" i="12"/>
  <c r="AY110" i="12"/>
  <c r="AY106" i="12"/>
  <c r="AY102" i="12"/>
  <c r="AY98" i="12"/>
  <c r="AY94" i="12"/>
  <c r="AY90" i="12"/>
  <c r="AY115" i="12"/>
  <c r="AY111" i="12"/>
  <c r="AY107" i="12"/>
  <c r="AY103" i="12"/>
  <c r="AY99" i="12"/>
  <c r="AY95" i="12"/>
  <c r="AY91" i="12"/>
  <c r="AY88" i="12"/>
  <c r="AY87" i="12"/>
  <c r="AY83" i="12"/>
  <c r="AY79" i="12"/>
  <c r="AY75" i="12"/>
  <c r="AY71" i="12"/>
  <c r="AY67" i="12"/>
  <c r="AY89" i="12"/>
  <c r="AY84" i="12"/>
  <c r="AY80" i="12"/>
  <c r="AY76" i="12"/>
  <c r="AY72" i="12"/>
  <c r="AY68" i="12"/>
  <c r="AY64" i="12"/>
  <c r="AY92" i="12"/>
  <c r="AY85" i="12"/>
  <c r="AY81" i="12"/>
  <c r="AY77" i="12"/>
  <c r="AY73" i="12"/>
  <c r="AY69" i="12"/>
  <c r="AY65" i="12"/>
  <c r="AY86" i="12"/>
  <c r="AY82" i="12"/>
  <c r="AY78" i="12"/>
  <c r="AY74" i="12"/>
  <c r="AY70" i="12"/>
  <c r="AY66" i="12"/>
  <c r="AY62" i="12"/>
  <c r="AY60" i="12"/>
  <c r="AY56" i="12"/>
  <c r="AY52" i="12"/>
  <c r="AY48" i="12"/>
  <c r="AY44" i="12"/>
  <c r="AY40" i="12"/>
  <c r="AY36" i="12"/>
  <c r="AY32" i="12"/>
  <c r="AY28" i="12"/>
  <c r="AY24" i="12"/>
  <c r="AY20" i="12"/>
  <c r="AY16" i="12"/>
  <c r="AY57" i="12"/>
  <c r="AY53" i="12"/>
  <c r="AY49" i="12"/>
  <c r="AY45" i="12"/>
  <c r="AY41" i="12"/>
  <c r="AY37" i="12"/>
  <c r="AY33" i="12"/>
  <c r="AY29" i="12"/>
  <c r="AY25" i="12"/>
  <c r="AY21" i="12"/>
  <c r="AY17" i="12"/>
  <c r="AY58" i="12"/>
  <c r="AY54" i="12"/>
  <c r="AY50" i="12"/>
  <c r="AY46" i="12"/>
  <c r="AY42" i="12"/>
  <c r="AY38" i="12"/>
  <c r="AY34" i="12"/>
  <c r="AY30" i="12"/>
  <c r="AY26" i="12"/>
  <c r="AY22" i="12"/>
  <c r="AY18" i="12"/>
  <c r="AY14" i="12"/>
  <c r="AY63" i="12"/>
  <c r="AY61" i="12"/>
  <c r="AY59" i="12"/>
  <c r="AY55" i="12"/>
  <c r="AY51" i="12"/>
  <c r="AY47" i="12"/>
  <c r="AY43" i="12"/>
  <c r="AY39" i="12"/>
  <c r="AY35" i="12"/>
  <c r="AY31" i="12"/>
  <c r="AY27" i="12"/>
  <c r="AY23" i="12"/>
  <c r="AY19" i="12"/>
  <c r="AY15" i="12"/>
  <c r="BC251" i="12"/>
  <c r="BC249" i="12"/>
  <c r="BC250" i="12"/>
  <c r="BC247" i="12"/>
  <c r="BC248" i="12"/>
  <c r="BC244" i="12"/>
  <c r="BC245" i="12"/>
  <c r="BC240" i="12"/>
  <c r="BC241" i="12"/>
  <c r="BC246" i="12"/>
  <c r="BC242" i="12"/>
  <c r="BC243" i="12"/>
  <c r="BC239" i="12"/>
  <c r="BC238" i="12"/>
  <c r="BC237" i="12"/>
  <c r="BC235" i="12"/>
  <c r="BC231" i="12"/>
  <c r="BC236" i="12"/>
  <c r="BC232" i="12"/>
  <c r="BC233" i="12"/>
  <c r="BC234" i="12"/>
  <c r="BC228" i="12"/>
  <c r="BC229" i="12"/>
  <c r="BC225" i="12"/>
  <c r="BC230" i="12"/>
  <c r="BC226" i="12"/>
  <c r="BC227" i="12"/>
  <c r="BC222" i="12"/>
  <c r="BC218" i="12"/>
  <c r="BC223" i="12"/>
  <c r="BC219" i="12"/>
  <c r="BC224" i="12"/>
  <c r="BC220" i="12"/>
  <c r="BC221" i="12"/>
  <c r="BC215" i="12"/>
  <c r="BC211" i="12"/>
  <c r="BC207" i="12"/>
  <c r="BC216" i="12"/>
  <c r="BC212" i="12"/>
  <c r="BC208" i="12"/>
  <c r="BC217" i="12"/>
  <c r="BC213" i="12"/>
  <c r="BC209" i="12"/>
  <c r="BC214" i="12"/>
  <c r="BC210" i="12"/>
  <c r="BC206" i="12"/>
  <c r="BC204" i="12"/>
  <c r="BC200" i="12"/>
  <c r="BC196" i="12"/>
  <c r="BC205" i="12"/>
  <c r="BC201" i="12"/>
  <c r="BC197" i="12"/>
  <c r="BC193" i="12"/>
  <c r="BC202" i="12"/>
  <c r="BC198" i="12"/>
  <c r="BC194" i="12"/>
  <c r="BC203" i="12"/>
  <c r="BC199" i="12"/>
  <c r="BC195" i="12"/>
  <c r="BC189" i="12"/>
  <c r="BC185" i="12"/>
  <c r="BC181" i="12"/>
  <c r="BC190" i="12"/>
  <c r="BC186" i="12"/>
  <c r="BC182" i="12"/>
  <c r="BC191" i="12"/>
  <c r="BC187" i="12"/>
  <c r="BC183" i="12"/>
  <c r="BC192" i="12"/>
  <c r="BC188" i="12"/>
  <c r="BC184" i="12"/>
  <c r="BC180" i="12"/>
  <c r="BC178" i="12"/>
  <c r="BC174" i="12"/>
  <c r="BC170" i="12"/>
  <c r="BC179" i="12"/>
  <c r="BC175" i="12"/>
  <c r="BC171" i="12"/>
  <c r="BC167" i="12"/>
  <c r="BC176" i="12"/>
  <c r="BC172" i="12"/>
  <c r="BC168" i="12"/>
  <c r="BC177" i="12"/>
  <c r="BC173" i="12"/>
  <c r="BC169" i="12"/>
  <c r="BC164" i="12"/>
  <c r="BC160" i="12"/>
  <c r="BC156" i="12"/>
  <c r="BC152" i="12"/>
  <c r="BC148" i="12"/>
  <c r="BC144" i="12"/>
  <c r="BC165" i="12"/>
  <c r="BC161" i="12"/>
  <c r="BC157" i="12"/>
  <c r="BC153" i="12"/>
  <c r="BC149" i="12"/>
  <c r="BC145" i="12"/>
  <c r="BC166" i="12"/>
  <c r="BC162" i="12"/>
  <c r="BC158" i="12"/>
  <c r="BC154" i="12"/>
  <c r="BC150" i="12"/>
  <c r="BC146" i="12"/>
  <c r="BC142" i="12"/>
  <c r="BC163" i="12"/>
  <c r="BC159" i="12"/>
  <c r="BC155" i="12"/>
  <c r="BC151" i="12"/>
  <c r="BC147" i="12"/>
  <c r="BC143" i="12"/>
  <c r="BC141" i="12"/>
  <c r="BC139" i="12"/>
  <c r="BC135" i="12"/>
  <c r="BC131" i="12"/>
  <c r="BC127" i="12"/>
  <c r="BC123" i="12"/>
  <c r="BC119" i="12"/>
  <c r="BC140" i="12"/>
  <c r="BC136" i="12"/>
  <c r="BC132" i="12"/>
  <c r="BC128" i="12"/>
  <c r="BC124" i="12"/>
  <c r="BC120" i="12"/>
  <c r="BC137" i="12"/>
  <c r="BC133" i="12"/>
  <c r="BC129" i="12"/>
  <c r="BC125" i="12"/>
  <c r="BC121" i="12"/>
  <c r="BC117" i="12"/>
  <c r="BC138" i="12"/>
  <c r="BC134" i="12"/>
  <c r="BC130" i="12"/>
  <c r="BC126" i="12"/>
  <c r="BC122" i="12"/>
  <c r="BC118" i="12"/>
  <c r="BC116" i="12"/>
  <c r="BC112" i="12"/>
  <c r="BC108" i="12"/>
  <c r="BC104" i="12"/>
  <c r="BC100" i="12"/>
  <c r="BC96" i="12"/>
  <c r="BC113" i="12"/>
  <c r="BC109" i="12"/>
  <c r="BC105" i="12"/>
  <c r="BC101" i="12"/>
  <c r="BC97" i="12"/>
  <c r="BC93" i="12"/>
  <c r="BC114" i="12"/>
  <c r="BC110" i="12"/>
  <c r="BC106" i="12"/>
  <c r="BC102" i="12"/>
  <c r="BC98" i="12"/>
  <c r="BC94" i="12"/>
  <c r="BC90" i="12"/>
  <c r="BC115" i="12"/>
  <c r="BC111" i="12"/>
  <c r="BC107" i="12"/>
  <c r="BC103" i="12"/>
  <c r="BC99" i="12"/>
  <c r="BC95" i="12"/>
  <c r="BC91" i="12"/>
  <c r="BC83" i="12"/>
  <c r="BC79" i="12"/>
  <c r="BC75" i="12"/>
  <c r="BC71" i="12"/>
  <c r="BC67" i="12"/>
  <c r="BC92" i="12"/>
  <c r="BC87" i="12"/>
  <c r="BC84" i="12"/>
  <c r="BC80" i="12"/>
  <c r="BC76" i="12"/>
  <c r="BC72" i="12"/>
  <c r="BC68" i="12"/>
  <c r="BC64" i="12"/>
  <c r="BC88" i="12"/>
  <c r="BC85" i="12"/>
  <c r="BC81" i="12"/>
  <c r="BC77" i="12"/>
  <c r="BC73" i="12"/>
  <c r="BC69" i="12"/>
  <c r="BC65" i="12"/>
  <c r="BC89" i="12"/>
  <c r="BC86" i="12"/>
  <c r="BC82" i="12"/>
  <c r="BC78" i="12"/>
  <c r="BC74" i="12"/>
  <c r="BC70" i="12"/>
  <c r="BC66" i="12"/>
  <c r="BC62" i="12"/>
  <c r="BC60" i="12"/>
  <c r="BC56" i="12"/>
  <c r="BC52" i="12"/>
  <c r="BC48" i="12"/>
  <c r="BC44" i="12"/>
  <c r="BC40" i="12"/>
  <c r="BC36" i="12"/>
  <c r="BC32" i="12"/>
  <c r="BC28" i="12"/>
  <c r="BC24" i="12"/>
  <c r="BC20" i="12"/>
  <c r="BC16" i="12"/>
  <c r="BC63" i="12"/>
  <c r="BC61" i="12"/>
  <c r="BC57" i="12"/>
  <c r="BC53" i="12"/>
  <c r="BC49" i="12"/>
  <c r="BC45" i="12"/>
  <c r="BC41" i="12"/>
  <c r="BC37" i="12"/>
  <c r="BC33" i="12"/>
  <c r="BC29" i="12"/>
  <c r="BC25" i="12"/>
  <c r="BC21" i="12"/>
  <c r="BC17" i="12"/>
  <c r="BC58" i="12"/>
  <c r="BC54" i="12"/>
  <c r="BC50" i="12"/>
  <c r="BC46" i="12"/>
  <c r="BC42" i="12"/>
  <c r="BC38" i="12"/>
  <c r="BC34" i="12"/>
  <c r="BC30" i="12"/>
  <c r="BC26" i="12"/>
  <c r="BC22" i="12"/>
  <c r="BC18" i="12"/>
  <c r="BC14" i="12"/>
  <c r="BC59" i="12"/>
  <c r="BC55" i="12"/>
  <c r="BC51" i="12"/>
  <c r="BC47" i="12"/>
  <c r="BC43" i="12"/>
  <c r="BC39" i="12"/>
  <c r="BC35" i="12"/>
  <c r="BC31" i="12"/>
  <c r="BC27" i="12"/>
  <c r="BC23" i="12"/>
  <c r="BC19" i="12"/>
  <c r="BC15" i="12"/>
  <c r="BC11" i="12"/>
  <c r="BG251" i="12"/>
  <c r="BG249" i="12"/>
  <c r="BG250" i="12"/>
  <c r="BG247" i="12"/>
  <c r="BG246" i="12"/>
  <c r="BG244" i="12"/>
  <c r="BG248" i="12"/>
  <c r="BG240" i="12"/>
  <c r="BG241" i="12"/>
  <c r="BG245" i="12"/>
  <c r="BG242" i="12"/>
  <c r="BG243" i="12"/>
  <c r="BG239" i="12"/>
  <c r="BG238" i="12"/>
  <c r="BG235" i="12"/>
  <c r="BG231" i="12"/>
  <c r="BG237" i="12"/>
  <c r="BG236" i="12"/>
  <c r="BG232" i="12"/>
  <c r="BG233" i="12"/>
  <c r="BG234" i="12"/>
  <c r="BG228" i="12"/>
  <c r="BG229" i="12"/>
  <c r="BG225" i="12"/>
  <c r="BG230" i="12"/>
  <c r="BG226" i="12"/>
  <c r="BG227" i="12"/>
  <c r="BG222" i="12"/>
  <c r="BG218" i="12"/>
  <c r="BG223" i="12"/>
  <c r="BG219" i="12"/>
  <c r="BG224" i="12"/>
  <c r="BG220" i="12"/>
  <c r="BG221" i="12"/>
  <c r="BG215" i="12"/>
  <c r="BG211" i="12"/>
  <c r="BG207" i="12"/>
  <c r="BG216" i="12"/>
  <c r="BG212" i="12"/>
  <c r="BG208" i="12"/>
  <c r="BG217" i="12"/>
  <c r="BG213" i="12"/>
  <c r="BG209" i="12"/>
  <c r="BG214" i="12"/>
  <c r="BG210" i="12"/>
  <c r="BG206" i="12"/>
  <c r="BG204" i="12"/>
  <c r="BG200" i="12"/>
  <c r="BG196" i="12"/>
  <c r="BG201" i="12"/>
  <c r="BG197" i="12"/>
  <c r="BG193" i="12"/>
  <c r="BG205" i="12"/>
  <c r="BG202" i="12"/>
  <c r="BG198" i="12"/>
  <c r="BG194" i="12"/>
  <c r="BG203" i="12"/>
  <c r="BG199" i="12"/>
  <c r="BG195" i="12"/>
  <c r="BG189" i="12"/>
  <c r="BG185" i="12"/>
  <c r="BG181" i="12"/>
  <c r="BG190" i="12"/>
  <c r="BG186" i="12"/>
  <c r="BG182" i="12"/>
  <c r="BG191" i="12"/>
  <c r="BG187" i="12"/>
  <c r="BG183" i="12"/>
  <c r="BG192" i="12"/>
  <c r="BG188" i="12"/>
  <c r="BG184" i="12"/>
  <c r="BG180" i="12"/>
  <c r="BG178" i="12"/>
  <c r="BG174" i="12"/>
  <c r="BG170" i="12"/>
  <c r="BG179" i="12"/>
  <c r="BG175" i="12"/>
  <c r="BG171" i="12"/>
  <c r="BG167" i="12"/>
  <c r="BG176" i="12"/>
  <c r="BG172" i="12"/>
  <c r="BG168" i="12"/>
  <c r="BG177" i="12"/>
  <c r="BG173" i="12"/>
  <c r="BG169" i="12"/>
  <c r="BG164" i="12"/>
  <c r="BG160" i="12"/>
  <c r="BG156" i="12"/>
  <c r="BG152" i="12"/>
  <c r="BG148" i="12"/>
  <c r="BG144" i="12"/>
  <c r="BG165" i="12"/>
  <c r="BG161" i="12"/>
  <c r="BG157" i="12"/>
  <c r="BG153" i="12"/>
  <c r="BG149" i="12"/>
  <c r="BG145" i="12"/>
  <c r="BG166" i="12"/>
  <c r="BG162" i="12"/>
  <c r="BG158" i="12"/>
  <c r="BG154" i="12"/>
  <c r="BG150" i="12"/>
  <c r="BG146" i="12"/>
  <c r="BG142" i="12"/>
  <c r="BG163" i="12"/>
  <c r="BG159" i="12"/>
  <c r="BG155" i="12"/>
  <c r="BG151" i="12"/>
  <c r="BG147" i="12"/>
  <c r="BG143" i="12"/>
  <c r="BG139" i="12"/>
  <c r="BG135" i="12"/>
  <c r="BG131" i="12"/>
  <c r="BG127" i="12"/>
  <c r="BG123" i="12"/>
  <c r="BG119" i="12"/>
  <c r="BG141" i="12"/>
  <c r="BG140" i="12"/>
  <c r="BG136" i="12"/>
  <c r="BG132" i="12"/>
  <c r="BG128" i="12"/>
  <c r="BG124" i="12"/>
  <c r="BG120" i="12"/>
  <c r="BG137" i="12"/>
  <c r="BG133" i="12"/>
  <c r="BG129" i="12"/>
  <c r="BG125" i="12"/>
  <c r="BG121" i="12"/>
  <c r="BG117" i="12"/>
  <c r="BG138" i="12"/>
  <c r="BG134" i="12"/>
  <c r="BG130" i="12"/>
  <c r="BG126" i="12"/>
  <c r="BG122" i="12"/>
  <c r="BG118" i="12"/>
  <c r="BG112" i="12"/>
  <c r="BG108" i="12"/>
  <c r="BG104" i="12"/>
  <c r="BG100" i="12"/>
  <c r="BG96" i="12"/>
  <c r="BG113" i="12"/>
  <c r="BG109" i="12"/>
  <c r="BG105" i="12"/>
  <c r="BG101" i="12"/>
  <c r="BG97" i="12"/>
  <c r="BG93" i="12"/>
  <c r="BG116" i="12"/>
  <c r="BG114" i="12"/>
  <c r="BG110" i="12"/>
  <c r="BG106" i="12"/>
  <c r="BG102" i="12"/>
  <c r="BG98" i="12"/>
  <c r="BG94" i="12"/>
  <c r="BG90" i="12"/>
  <c r="BG115" i="12"/>
  <c r="BG111" i="12"/>
  <c r="BG107" i="12"/>
  <c r="BG103" i="12"/>
  <c r="BG99" i="12"/>
  <c r="BG95" i="12"/>
  <c r="BG91" i="12"/>
  <c r="BG92" i="12"/>
  <c r="BG88" i="12"/>
  <c r="BG83" i="12"/>
  <c r="BG79" i="12"/>
  <c r="BG75" i="12"/>
  <c r="BG71" i="12"/>
  <c r="BG67" i="12"/>
  <c r="BG89" i="12"/>
  <c r="BG84" i="12"/>
  <c r="BG80" i="12"/>
  <c r="BG76" i="12"/>
  <c r="BG72" i="12"/>
  <c r="BG68" i="12"/>
  <c r="BG64" i="12"/>
  <c r="BG87" i="12"/>
  <c r="BG85" i="12"/>
  <c r="BG81" i="12"/>
  <c r="BG77" i="12"/>
  <c r="BG73" i="12"/>
  <c r="BG69" i="12"/>
  <c r="BG65" i="12"/>
  <c r="BG86" i="12"/>
  <c r="BG82" i="12"/>
  <c r="BG78" i="12"/>
  <c r="BG74" i="12"/>
  <c r="BG70" i="12"/>
  <c r="BG66" i="12"/>
  <c r="BG62" i="12"/>
  <c r="BG60" i="12"/>
  <c r="BG56" i="12"/>
  <c r="BG52" i="12"/>
  <c r="BG48" i="12"/>
  <c r="BG44" i="12"/>
  <c r="BG40" i="12"/>
  <c r="BG36" i="12"/>
  <c r="BG32" i="12"/>
  <c r="BG28" i="12"/>
  <c r="BG24" i="12"/>
  <c r="BG20" i="12"/>
  <c r="BG16" i="12"/>
  <c r="BG57" i="12"/>
  <c r="BG53" i="12"/>
  <c r="BG49" i="12"/>
  <c r="BG45" i="12"/>
  <c r="BG41" i="12"/>
  <c r="BG37" i="12"/>
  <c r="BG33" i="12"/>
  <c r="BG29" i="12"/>
  <c r="BG25" i="12"/>
  <c r="BG21" i="12"/>
  <c r="BG17" i="12"/>
  <c r="BG58" i="12"/>
  <c r="BG54" i="12"/>
  <c r="BG50" i="12"/>
  <c r="BG46" i="12"/>
  <c r="BG42" i="12"/>
  <c r="BG38" i="12"/>
  <c r="BG34" i="12"/>
  <c r="BG30" i="12"/>
  <c r="BG26" i="12"/>
  <c r="BG22" i="12"/>
  <c r="BG18" i="12"/>
  <c r="BG14" i="12"/>
  <c r="BG63" i="12"/>
  <c r="BG61" i="12"/>
  <c r="BG59" i="12"/>
  <c r="BG55" i="12"/>
  <c r="BG51" i="12"/>
  <c r="BG47" i="12"/>
  <c r="BG43" i="12"/>
  <c r="BG39" i="12"/>
  <c r="BG35" i="12"/>
  <c r="BG31" i="12"/>
  <c r="BG27" i="12"/>
  <c r="BG23" i="12"/>
  <c r="BG19" i="12"/>
  <c r="BG15" i="12"/>
  <c r="BG11" i="12"/>
  <c r="BK251" i="12"/>
  <c r="BK249" i="12"/>
  <c r="BK250" i="12"/>
  <c r="BK247" i="12"/>
  <c r="BK244" i="12"/>
  <c r="BK246" i="12"/>
  <c r="BK245" i="12"/>
  <c r="BK248" i="12"/>
  <c r="BK240" i="12"/>
  <c r="BK241" i="12"/>
  <c r="BK242" i="12"/>
  <c r="BK239" i="12"/>
  <c r="BK238" i="12"/>
  <c r="BK243" i="12"/>
  <c r="BK235" i="12"/>
  <c r="BK231" i="12"/>
  <c r="BK236" i="12"/>
  <c r="BK232" i="12"/>
  <c r="BK237" i="12"/>
  <c r="BK233" i="12"/>
  <c r="BK234" i="12"/>
  <c r="BK228" i="12"/>
  <c r="BK229" i="12"/>
  <c r="BK225" i="12"/>
  <c r="BK230" i="12"/>
  <c r="BK226" i="12"/>
  <c r="BK227" i="12"/>
  <c r="BK222" i="12"/>
  <c r="BK218" i="12"/>
  <c r="BK223" i="12"/>
  <c r="BK219" i="12"/>
  <c r="BK224" i="12"/>
  <c r="BK220" i="12"/>
  <c r="BK221" i="12"/>
  <c r="BK215" i="12"/>
  <c r="BK211" i="12"/>
  <c r="BK207" i="12"/>
  <c r="BK216" i="12"/>
  <c r="BK212" i="12"/>
  <c r="BK208" i="12"/>
  <c r="BK217" i="12"/>
  <c r="BK213" i="12"/>
  <c r="BK209" i="12"/>
  <c r="BK214" i="12"/>
  <c r="BK210" i="12"/>
  <c r="BK206" i="12"/>
  <c r="BK204" i="12"/>
  <c r="BK200" i="12"/>
  <c r="BK196" i="12"/>
  <c r="BK201" i="12"/>
  <c r="BK197" i="12"/>
  <c r="BK193" i="12"/>
  <c r="BK202" i="12"/>
  <c r="BK198" i="12"/>
  <c r="BK194" i="12"/>
  <c r="BK205" i="12"/>
  <c r="BK203" i="12"/>
  <c r="BK199" i="12"/>
  <c r="BK195" i="12"/>
  <c r="BK189" i="12"/>
  <c r="BK185" i="12"/>
  <c r="BK181" i="12"/>
  <c r="BK190" i="12"/>
  <c r="BK186" i="12"/>
  <c r="BK182" i="12"/>
  <c r="BK191" i="12"/>
  <c r="BK187" i="12"/>
  <c r="BK183" i="12"/>
  <c r="BK192" i="12"/>
  <c r="BK188" i="12"/>
  <c r="BK184" i="12"/>
  <c r="BK180" i="12"/>
  <c r="BK178" i="12"/>
  <c r="BK174" i="12"/>
  <c r="BK170" i="12"/>
  <c r="BK179" i="12"/>
  <c r="BK175" i="12"/>
  <c r="BK171" i="12"/>
  <c r="BK167" i="12"/>
  <c r="BK176" i="12"/>
  <c r="BK172" i="12"/>
  <c r="BK168" i="12"/>
  <c r="BK177" i="12"/>
  <c r="BK173" i="12"/>
  <c r="BK169" i="12"/>
  <c r="BK164" i="12"/>
  <c r="BK160" i="12"/>
  <c r="BK156" i="12"/>
  <c r="BK152" i="12"/>
  <c r="BK148" i="12"/>
  <c r="BK144" i="12"/>
  <c r="BK165" i="12"/>
  <c r="BK161" i="12"/>
  <c r="BK157" i="12"/>
  <c r="BK153" i="12"/>
  <c r="BK149" i="12"/>
  <c r="BK145" i="12"/>
  <c r="BK166" i="12"/>
  <c r="BK162" i="12"/>
  <c r="BK158" i="12"/>
  <c r="BK154" i="12"/>
  <c r="BK150" i="12"/>
  <c r="BK146" i="12"/>
  <c r="BK142" i="12"/>
  <c r="BK163" i="12"/>
  <c r="BK159" i="12"/>
  <c r="BK155" i="12"/>
  <c r="BK151" i="12"/>
  <c r="BK147" i="12"/>
  <c r="BK143" i="12"/>
  <c r="BK139" i="12"/>
  <c r="BK135" i="12"/>
  <c r="BK131" i="12"/>
  <c r="BK127" i="12"/>
  <c r="BK123" i="12"/>
  <c r="BK119" i="12"/>
  <c r="BK140" i="12"/>
  <c r="BK136" i="12"/>
  <c r="BK132" i="12"/>
  <c r="BK128" i="12"/>
  <c r="BK124" i="12"/>
  <c r="BK120" i="12"/>
  <c r="BK141" i="12"/>
  <c r="BK137" i="12"/>
  <c r="BK133" i="12"/>
  <c r="BK129" i="12"/>
  <c r="BK125" i="12"/>
  <c r="BK121" i="12"/>
  <c r="BK117" i="12"/>
  <c r="BK138" i="12"/>
  <c r="BK134" i="12"/>
  <c r="BK130" i="12"/>
  <c r="BK126" i="12"/>
  <c r="BK122" i="12"/>
  <c r="BK118" i="12"/>
  <c r="BK116" i="12"/>
  <c r="BK112" i="12"/>
  <c r="BK108" i="12"/>
  <c r="BK104" i="12"/>
  <c r="BK100" i="12"/>
  <c r="BK96" i="12"/>
  <c r="BK113" i="12"/>
  <c r="BK109" i="12"/>
  <c r="BK105" i="12"/>
  <c r="BK101" i="12"/>
  <c r="BK97" i="12"/>
  <c r="BK93" i="12"/>
  <c r="BK114" i="12"/>
  <c r="BK110" i="12"/>
  <c r="BK106" i="12"/>
  <c r="BK102" i="12"/>
  <c r="BK98" i="12"/>
  <c r="BK94" i="12"/>
  <c r="BK90" i="12"/>
  <c r="BK115" i="12"/>
  <c r="BK111" i="12"/>
  <c r="BK107" i="12"/>
  <c r="BK103" i="12"/>
  <c r="BK99" i="12"/>
  <c r="BK95" i="12"/>
  <c r="BK91" i="12"/>
  <c r="BK83" i="12"/>
  <c r="BK79" i="12"/>
  <c r="BK75" i="12"/>
  <c r="BK71" i="12"/>
  <c r="BK67" i="12"/>
  <c r="BK84" i="12"/>
  <c r="BK80" i="12"/>
  <c r="BK76" i="12"/>
  <c r="BK72" i="12"/>
  <c r="BK68" i="12"/>
  <c r="BK64" i="12"/>
  <c r="BK88" i="12"/>
  <c r="BK85" i="12"/>
  <c r="BK81" i="12"/>
  <c r="BK77" i="12"/>
  <c r="BK73" i="12"/>
  <c r="BK69" i="12"/>
  <c r="BK65" i="12"/>
  <c r="BK92" i="12"/>
  <c r="BK89" i="12"/>
  <c r="BK87" i="12"/>
  <c r="BK86" i="12"/>
  <c r="BK82" i="12"/>
  <c r="BK78" i="12"/>
  <c r="BK74" i="12"/>
  <c r="BK70" i="12"/>
  <c r="BK66" i="12"/>
  <c r="BK62" i="12"/>
  <c r="BK60" i="12"/>
  <c r="BK56" i="12"/>
  <c r="BK52" i="12"/>
  <c r="BK48" i="12"/>
  <c r="BK44" i="12"/>
  <c r="BK40" i="12"/>
  <c r="BK36" i="12"/>
  <c r="BK32" i="12"/>
  <c r="BK28" i="12"/>
  <c r="BK24" i="12"/>
  <c r="BK20" i="12"/>
  <c r="BK16" i="12"/>
  <c r="BK63" i="12"/>
  <c r="BK61" i="12"/>
  <c r="BK57" i="12"/>
  <c r="BK53" i="12"/>
  <c r="BK49" i="12"/>
  <c r="BK45" i="12"/>
  <c r="BK41" i="12"/>
  <c r="BK37" i="12"/>
  <c r="BK33" i="12"/>
  <c r="BK29" i="12"/>
  <c r="BK25" i="12"/>
  <c r="BK21" i="12"/>
  <c r="BK17" i="12"/>
  <c r="BK58" i="12"/>
  <c r="BK54" i="12"/>
  <c r="BK50" i="12"/>
  <c r="BK46" i="12"/>
  <c r="BK42" i="12"/>
  <c r="BK38" i="12"/>
  <c r="BK34" i="12"/>
  <c r="BK30" i="12"/>
  <c r="BK26" i="12"/>
  <c r="BK22" i="12"/>
  <c r="BK18" i="12"/>
  <c r="BK14" i="12"/>
  <c r="BK59" i="12"/>
  <c r="BK55" i="12"/>
  <c r="BK51" i="12"/>
  <c r="BK47" i="12"/>
  <c r="BK43" i="12"/>
  <c r="BK39" i="12"/>
  <c r="BK35" i="12"/>
  <c r="BK31" i="12"/>
  <c r="BK27" i="12"/>
  <c r="BK23" i="12"/>
  <c r="BK19" i="12"/>
  <c r="BK15" i="12"/>
  <c r="BK11" i="12"/>
  <c r="BO251" i="12"/>
  <c r="BO249" i="12"/>
  <c r="BO250" i="12"/>
  <c r="BO247" i="12"/>
  <c r="BO244" i="12"/>
  <c r="BO248" i="12"/>
  <c r="BO245" i="12"/>
  <c r="BO246" i="12"/>
  <c r="BO240" i="12"/>
  <c r="BO241" i="12"/>
  <c r="BO242" i="12"/>
  <c r="BO239" i="12"/>
  <c r="BO243" i="12"/>
  <c r="BO238" i="12"/>
  <c r="BO235" i="12"/>
  <c r="BO231" i="12"/>
  <c r="BO237" i="12"/>
  <c r="BO236" i="12"/>
  <c r="BO232" i="12"/>
  <c r="BO233" i="12"/>
  <c r="BO234" i="12"/>
  <c r="BO228" i="12"/>
  <c r="BO229" i="12"/>
  <c r="BO225" i="12"/>
  <c r="BO230" i="12"/>
  <c r="BO226" i="12"/>
  <c r="BO227" i="12"/>
  <c r="BO222" i="12"/>
  <c r="BO218" i="12"/>
  <c r="BO223" i="12"/>
  <c r="BO219" i="12"/>
  <c r="BO224" i="12"/>
  <c r="BO220" i="12"/>
  <c r="BO221" i="12"/>
  <c r="BO215" i="12"/>
  <c r="BO211" i="12"/>
  <c r="BO207" i="12"/>
  <c r="BO216" i="12"/>
  <c r="BO212" i="12"/>
  <c r="BO208" i="12"/>
  <c r="BO217" i="12"/>
  <c r="BO213" i="12"/>
  <c r="BO209" i="12"/>
  <c r="BO214" i="12"/>
  <c r="BO210" i="12"/>
  <c r="BO206" i="12"/>
  <c r="BO204" i="12"/>
  <c r="BO200" i="12"/>
  <c r="BO196" i="12"/>
  <c r="BO205" i="12"/>
  <c r="BO201" i="12"/>
  <c r="BO197" i="12"/>
  <c r="BO193" i="12"/>
  <c r="BO202" i="12"/>
  <c r="BO198" i="12"/>
  <c r="BO194" i="12"/>
  <c r="BO203" i="12"/>
  <c r="BO199" i="12"/>
  <c r="BO195" i="12"/>
  <c r="BO189" i="12"/>
  <c r="BO185" i="12"/>
  <c r="BO181" i="12"/>
  <c r="BO190" i="12"/>
  <c r="BO186" i="12"/>
  <c r="BO182" i="12"/>
  <c r="BO191" i="12"/>
  <c r="BO187" i="12"/>
  <c r="BO183" i="12"/>
  <c r="BO192" i="12"/>
  <c r="BO188" i="12"/>
  <c r="BO184" i="12"/>
  <c r="BO180" i="12"/>
  <c r="BO178" i="12"/>
  <c r="BO174" i="12"/>
  <c r="BO170" i="12"/>
  <c r="BO179" i="12"/>
  <c r="BO175" i="12"/>
  <c r="BO171" i="12"/>
  <c r="BO167" i="12"/>
  <c r="BO176" i="12"/>
  <c r="BO172" i="12"/>
  <c r="BO168" i="12"/>
  <c r="BO177" i="12"/>
  <c r="BO173" i="12"/>
  <c r="BO169" i="12"/>
  <c r="BO164" i="12"/>
  <c r="BO160" i="12"/>
  <c r="BO156" i="12"/>
  <c r="BO152" i="12"/>
  <c r="BO148" i="12"/>
  <c r="BO144" i="12"/>
  <c r="BO165" i="12"/>
  <c r="BO161" i="12"/>
  <c r="BO157" i="12"/>
  <c r="BO153" i="12"/>
  <c r="BO149" i="12"/>
  <c r="BO145" i="12"/>
  <c r="BO166" i="12"/>
  <c r="BO162" i="12"/>
  <c r="BO158" i="12"/>
  <c r="BO154" i="12"/>
  <c r="BO150" i="12"/>
  <c r="BO146" i="12"/>
  <c r="BO142" i="12"/>
  <c r="BO163" i="12"/>
  <c r="BO159" i="12"/>
  <c r="BO155" i="12"/>
  <c r="BO151" i="12"/>
  <c r="BO147" i="12"/>
  <c r="BO143" i="12"/>
  <c r="BO139" i="12"/>
  <c r="BO135" i="12"/>
  <c r="BO131" i="12"/>
  <c r="BO127" i="12"/>
  <c r="BO123" i="12"/>
  <c r="BO119" i="12"/>
  <c r="BO140" i="12"/>
  <c r="BO136" i="12"/>
  <c r="BO132" i="12"/>
  <c r="BO128" i="12"/>
  <c r="BO124" i="12"/>
  <c r="BO120" i="12"/>
  <c r="BO137" i="12"/>
  <c r="BO133" i="12"/>
  <c r="BO129" i="12"/>
  <c r="BO125" i="12"/>
  <c r="BO121" i="12"/>
  <c r="BO117" i="12"/>
  <c r="BO141" i="12"/>
  <c r="BO138" i="12"/>
  <c r="BO134" i="12"/>
  <c r="BO130" i="12"/>
  <c r="BO126" i="12"/>
  <c r="BO122" i="12"/>
  <c r="BO118" i="12"/>
  <c r="BO112" i="12"/>
  <c r="BO108" i="12"/>
  <c r="BO104" i="12"/>
  <c r="BO100" i="12"/>
  <c r="BO96" i="12"/>
  <c r="BO113" i="12"/>
  <c r="BO109" i="12"/>
  <c r="BO105" i="12"/>
  <c r="BO101" i="12"/>
  <c r="BO97" i="12"/>
  <c r="BO93" i="12"/>
  <c r="BO116" i="12"/>
  <c r="BO114" i="12"/>
  <c r="BO110" i="12"/>
  <c r="BO106" i="12"/>
  <c r="BO102" i="12"/>
  <c r="BO98" i="12"/>
  <c r="BO94" i="12"/>
  <c r="BO90" i="12"/>
  <c r="BO115" i="12"/>
  <c r="BO111" i="12"/>
  <c r="BO107" i="12"/>
  <c r="BO103" i="12"/>
  <c r="BO99" i="12"/>
  <c r="BO95" i="12"/>
  <c r="BO91" i="12"/>
  <c r="BO88" i="12"/>
  <c r="BO87" i="12"/>
  <c r="BO83" i="12"/>
  <c r="BO79" i="12"/>
  <c r="BO75" i="12"/>
  <c r="BO71" i="12"/>
  <c r="BO67" i="12"/>
  <c r="BO89" i="12"/>
  <c r="BO84" i="12"/>
  <c r="BO80" i="12"/>
  <c r="BO76" i="12"/>
  <c r="BO72" i="12"/>
  <c r="BO68" i="12"/>
  <c r="BO64" i="12"/>
  <c r="BO92" i="12"/>
  <c r="BO85" i="12"/>
  <c r="BO81" i="12"/>
  <c r="BO77" i="12"/>
  <c r="BO73" i="12"/>
  <c r="BO69" i="12"/>
  <c r="BO65" i="12"/>
  <c r="BO86" i="12"/>
  <c r="BO82" i="12"/>
  <c r="BO78" i="12"/>
  <c r="BO74" i="12"/>
  <c r="BO70" i="12"/>
  <c r="BO66" i="12"/>
  <c r="BO62" i="12"/>
  <c r="BO60" i="12"/>
  <c r="BO56" i="12"/>
  <c r="BO52" i="12"/>
  <c r="BO48" i="12"/>
  <c r="BO44" i="12"/>
  <c r="BO40" i="12"/>
  <c r="BO36" i="12"/>
  <c r="BO32" i="12"/>
  <c r="BO28" i="12"/>
  <c r="BO24" i="12"/>
  <c r="BO20" i="12"/>
  <c r="BO16" i="12"/>
  <c r="BO57" i="12"/>
  <c r="BO53" i="12"/>
  <c r="BO49" i="12"/>
  <c r="BO45" i="12"/>
  <c r="BO41" i="12"/>
  <c r="BO37" i="12"/>
  <c r="BO33" i="12"/>
  <c r="BO29" i="12"/>
  <c r="BO25" i="12"/>
  <c r="BO21" i="12"/>
  <c r="BO17" i="12"/>
  <c r="BO58" i="12"/>
  <c r="BO54" i="12"/>
  <c r="BO50" i="12"/>
  <c r="BO46" i="12"/>
  <c r="BO42" i="12"/>
  <c r="BO38" i="12"/>
  <c r="BO34" i="12"/>
  <c r="BO30" i="12"/>
  <c r="BO26" i="12"/>
  <c r="BO22" i="12"/>
  <c r="BO18" i="12"/>
  <c r="BO14" i="12"/>
  <c r="BO63" i="12"/>
  <c r="BO61" i="12"/>
  <c r="BO59" i="12"/>
  <c r="BO55" i="12"/>
  <c r="BO51" i="12"/>
  <c r="BO47" i="12"/>
  <c r="BO43" i="12"/>
  <c r="BO39" i="12"/>
  <c r="BO35" i="12"/>
  <c r="BO31" i="12"/>
  <c r="BO27" i="12"/>
  <c r="BO23" i="12"/>
  <c r="BO19" i="12"/>
  <c r="BO15" i="12"/>
  <c r="BO11" i="12"/>
  <c r="BS251" i="12"/>
  <c r="BS249" i="12"/>
  <c r="BS250" i="12"/>
  <c r="BS247" i="12"/>
  <c r="BS248" i="12"/>
  <c r="BS244" i="12"/>
  <c r="BS245" i="12"/>
  <c r="BS240" i="12"/>
  <c r="BS241" i="12"/>
  <c r="BS242" i="12"/>
  <c r="BS246" i="12"/>
  <c r="BS243" i="12"/>
  <c r="BS239" i="12"/>
  <c r="BS238" i="12"/>
  <c r="BS237" i="12"/>
  <c r="BS235" i="12"/>
  <c r="BS231" i="12"/>
  <c r="BS236" i="12"/>
  <c r="BS232" i="12"/>
  <c r="BS233" i="12"/>
  <c r="BS234" i="12"/>
  <c r="BS228" i="12"/>
  <c r="BS229" i="12"/>
  <c r="BS225" i="12"/>
  <c r="BS230" i="12"/>
  <c r="BS226" i="12"/>
  <c r="BS227" i="12"/>
  <c r="BS222" i="12"/>
  <c r="BS218" i="12"/>
  <c r="BS223" i="12"/>
  <c r="BS219" i="12"/>
  <c r="BS224" i="12"/>
  <c r="BS220" i="12"/>
  <c r="BS221" i="12"/>
  <c r="BS215" i="12"/>
  <c r="BS211" i="12"/>
  <c r="BS207" i="12"/>
  <c r="BS216" i="12"/>
  <c r="BS212" i="12"/>
  <c r="BS208" i="12"/>
  <c r="BS217" i="12"/>
  <c r="BS213" i="12"/>
  <c r="BS209" i="12"/>
  <c r="BS214" i="12"/>
  <c r="BS210" i="12"/>
  <c r="BS206" i="12"/>
  <c r="BS204" i="12"/>
  <c r="BS200" i="12"/>
  <c r="BS196" i="12"/>
  <c r="BS201" i="12"/>
  <c r="BS197" i="12"/>
  <c r="BS193" i="12"/>
  <c r="BS202" i="12"/>
  <c r="BS198" i="12"/>
  <c r="BS194" i="12"/>
  <c r="BS205" i="12"/>
  <c r="BS203" i="12"/>
  <c r="BS199" i="12"/>
  <c r="BS195" i="12"/>
  <c r="BS189" i="12"/>
  <c r="BS185" i="12"/>
  <c r="BS181" i="12"/>
  <c r="BS190" i="12"/>
  <c r="BS186" i="12"/>
  <c r="BS182" i="12"/>
  <c r="BS191" i="12"/>
  <c r="BS187" i="12"/>
  <c r="BS183" i="12"/>
  <c r="BS192" i="12"/>
  <c r="BS188" i="12"/>
  <c r="BS184" i="12"/>
  <c r="BS180" i="12"/>
  <c r="BS178" i="12"/>
  <c r="BS174" i="12"/>
  <c r="BS170" i="12"/>
  <c r="BS179" i="12"/>
  <c r="BS175" i="12"/>
  <c r="BS171" i="12"/>
  <c r="BS167" i="12"/>
  <c r="BS176" i="12"/>
  <c r="BS172" i="12"/>
  <c r="BS168" i="12"/>
  <c r="BS177" i="12"/>
  <c r="BS173" i="12"/>
  <c r="BS169" i="12"/>
  <c r="BS164" i="12"/>
  <c r="BS160" i="12"/>
  <c r="BS156" i="12"/>
  <c r="BS152" i="12"/>
  <c r="BS148" i="12"/>
  <c r="BS144" i="12"/>
  <c r="BS165" i="12"/>
  <c r="BS161" i="12"/>
  <c r="BS157" i="12"/>
  <c r="BS153" i="12"/>
  <c r="BS149" i="12"/>
  <c r="BS145" i="12"/>
  <c r="BS166" i="12"/>
  <c r="BS162" i="12"/>
  <c r="BS158" i="12"/>
  <c r="BS154" i="12"/>
  <c r="BS150" i="12"/>
  <c r="BS146" i="12"/>
  <c r="BS142" i="12"/>
  <c r="BS163" i="12"/>
  <c r="BS159" i="12"/>
  <c r="BS155" i="12"/>
  <c r="BS151" i="12"/>
  <c r="BS147" i="12"/>
  <c r="BS143" i="12"/>
  <c r="BS141" i="12"/>
  <c r="BS139" i="12"/>
  <c r="BS135" i="12"/>
  <c r="BS131" i="12"/>
  <c r="BS127" i="12"/>
  <c r="BS123" i="12"/>
  <c r="BS119" i="12"/>
  <c r="BS140" i="12"/>
  <c r="BS136" i="12"/>
  <c r="BS132" i="12"/>
  <c r="BS128" i="12"/>
  <c r="BS124" i="12"/>
  <c r="BS120" i="12"/>
  <c r="BS137" i="12"/>
  <c r="BS133" i="12"/>
  <c r="BS129" i="12"/>
  <c r="BS125" i="12"/>
  <c r="BS121" i="12"/>
  <c r="BS117" i="12"/>
  <c r="BS138" i="12"/>
  <c r="BS134" i="12"/>
  <c r="BS130" i="12"/>
  <c r="BS126" i="12"/>
  <c r="BS122" i="12"/>
  <c r="BS118" i="12"/>
  <c r="BS116" i="12"/>
  <c r="BS112" i="12"/>
  <c r="BS108" i="12"/>
  <c r="BS104" i="12"/>
  <c r="BS100" i="12"/>
  <c r="BS96" i="12"/>
  <c r="BS113" i="12"/>
  <c r="BS109" i="12"/>
  <c r="BS105" i="12"/>
  <c r="BS101" i="12"/>
  <c r="BS97" i="12"/>
  <c r="BS93" i="12"/>
  <c r="BS114" i="12"/>
  <c r="BS110" i="12"/>
  <c r="BS106" i="12"/>
  <c r="BS102" i="12"/>
  <c r="BS98" i="12"/>
  <c r="BS94" i="12"/>
  <c r="BS90" i="12"/>
  <c r="BS115" i="12"/>
  <c r="BS111" i="12"/>
  <c r="BS107" i="12"/>
  <c r="BS103" i="12"/>
  <c r="BS99" i="12"/>
  <c r="BS95" i="12"/>
  <c r="BS91" i="12"/>
  <c r="BS83" i="12"/>
  <c r="BS79" i="12"/>
  <c r="BS75" i="12"/>
  <c r="BS71" i="12"/>
  <c r="BS67" i="12"/>
  <c r="BS92" i="12"/>
  <c r="BS87" i="12"/>
  <c r="BS84" i="12"/>
  <c r="BS80" i="12"/>
  <c r="BS76" i="12"/>
  <c r="BS72" i="12"/>
  <c r="BS68" i="12"/>
  <c r="BS64" i="12"/>
  <c r="BS88" i="12"/>
  <c r="BS85" i="12"/>
  <c r="BS81" i="12"/>
  <c r="BS77" i="12"/>
  <c r="BS73" i="12"/>
  <c r="BS69" i="12"/>
  <c r="BS65" i="12"/>
  <c r="BS89" i="12"/>
  <c r="BS86" i="12"/>
  <c r="BS82" i="12"/>
  <c r="BS78" i="12"/>
  <c r="BS74" i="12"/>
  <c r="BS70" i="12"/>
  <c r="BS66" i="12"/>
  <c r="BS62" i="12"/>
  <c r="BS60" i="12"/>
  <c r="BS56" i="12"/>
  <c r="BS52" i="12"/>
  <c r="BS48" i="12"/>
  <c r="BS44" i="12"/>
  <c r="BS40" i="12"/>
  <c r="BS36" i="12"/>
  <c r="BS32" i="12"/>
  <c r="BS28" i="12"/>
  <c r="BS24" i="12"/>
  <c r="BS20" i="12"/>
  <c r="BS16" i="12"/>
  <c r="BS63" i="12"/>
  <c r="BS61" i="12"/>
  <c r="BS57" i="12"/>
  <c r="BS53" i="12"/>
  <c r="BS49" i="12"/>
  <c r="BS45" i="12"/>
  <c r="BS41" i="12"/>
  <c r="BS37" i="12"/>
  <c r="BS33" i="12"/>
  <c r="BS29" i="12"/>
  <c r="BS25" i="12"/>
  <c r="BS21" i="12"/>
  <c r="BS17" i="12"/>
  <c r="BS58" i="12"/>
  <c r="BS54" i="12"/>
  <c r="BS50" i="12"/>
  <c r="BS46" i="12"/>
  <c r="BS42" i="12"/>
  <c r="BS38" i="12"/>
  <c r="BS34" i="12"/>
  <c r="BS30" i="12"/>
  <c r="BS26" i="12"/>
  <c r="BS22" i="12"/>
  <c r="BS18" i="12"/>
  <c r="BS14" i="12"/>
  <c r="BS59" i="12"/>
  <c r="BS55" i="12"/>
  <c r="BS51" i="12"/>
  <c r="BS47" i="12"/>
  <c r="BS43" i="12"/>
  <c r="BS39" i="12"/>
  <c r="BS35" i="12"/>
  <c r="BS31" i="12"/>
  <c r="BS27" i="12"/>
  <c r="BS23" i="12"/>
  <c r="BS19" i="12"/>
  <c r="BS15" i="12"/>
  <c r="BS11" i="12"/>
  <c r="BW251" i="12"/>
  <c r="BW249" i="12"/>
  <c r="BW250" i="12"/>
  <c r="BW247" i="12"/>
  <c r="BW246" i="12"/>
  <c r="BW244" i="12"/>
  <c r="BW245" i="12"/>
  <c r="BW240" i="12"/>
  <c r="BW241" i="12"/>
  <c r="BW242" i="12"/>
  <c r="BW243" i="12"/>
  <c r="BW239" i="12"/>
  <c r="BW248" i="12"/>
  <c r="BW238" i="12"/>
  <c r="BW235" i="12"/>
  <c r="BW231" i="12"/>
  <c r="BW236" i="12"/>
  <c r="BW232" i="12"/>
  <c r="BW233" i="12"/>
  <c r="BW237" i="12"/>
  <c r="BW234" i="12"/>
  <c r="BW228" i="12"/>
  <c r="BW224" i="12"/>
  <c r="BW229" i="12"/>
  <c r="BW225" i="12"/>
  <c r="BW230" i="12"/>
  <c r="BW226" i="12"/>
  <c r="BW227" i="12"/>
  <c r="BW222" i="12"/>
  <c r="BW218" i="12"/>
  <c r="BW223" i="12"/>
  <c r="BW219" i="12"/>
  <c r="BW220" i="12"/>
  <c r="BW221" i="12"/>
  <c r="BW215" i="12"/>
  <c r="BW211" i="12"/>
  <c r="BW207" i="12"/>
  <c r="BW216" i="12"/>
  <c r="BW212" i="12"/>
  <c r="BW208" i="12"/>
  <c r="BW217" i="12"/>
  <c r="BW213" i="12"/>
  <c r="BW209" i="12"/>
  <c r="BW214" i="12"/>
  <c r="BW210" i="12"/>
  <c r="BW206" i="12"/>
  <c r="BW204" i="12"/>
  <c r="BW200" i="12"/>
  <c r="BW196" i="12"/>
  <c r="BW205" i="12"/>
  <c r="BW201" i="12"/>
  <c r="BW197" i="12"/>
  <c r="BW193" i="12"/>
  <c r="BW202" i="12"/>
  <c r="BW198" i="12"/>
  <c r="BW194" i="12"/>
  <c r="BW203" i="12"/>
  <c r="BW199" i="12"/>
  <c r="BW195" i="12"/>
  <c r="BW189" i="12"/>
  <c r="BW185" i="12"/>
  <c r="BW181" i="12"/>
  <c r="BW190" i="12"/>
  <c r="BW186" i="12"/>
  <c r="BW182" i="12"/>
  <c r="BW191" i="12"/>
  <c r="BW187" i="12"/>
  <c r="BW183" i="12"/>
  <c r="BW192" i="12"/>
  <c r="BW188" i="12"/>
  <c r="BW184" i="12"/>
  <c r="BW180" i="12"/>
  <c r="BW178" i="12"/>
  <c r="BW174" i="12"/>
  <c r="BW170" i="12"/>
  <c r="BW179" i="12"/>
  <c r="BW175" i="12"/>
  <c r="BW171" i="12"/>
  <c r="BW167" i="12"/>
  <c r="BW176" i="12"/>
  <c r="BW172" i="12"/>
  <c r="BW168" i="12"/>
  <c r="BW177" i="12"/>
  <c r="BW173" i="12"/>
  <c r="BW169" i="12"/>
  <c r="BW164" i="12"/>
  <c r="BW160" i="12"/>
  <c r="BW156" i="12"/>
  <c r="BW152" i="12"/>
  <c r="BW148" i="12"/>
  <c r="BW144" i="12"/>
  <c r="BW165" i="12"/>
  <c r="BW161" i="12"/>
  <c r="BW157" i="12"/>
  <c r="BW153" i="12"/>
  <c r="BW149" i="12"/>
  <c r="BW145" i="12"/>
  <c r="BW166" i="12"/>
  <c r="BW162" i="12"/>
  <c r="BW158" i="12"/>
  <c r="BW154" i="12"/>
  <c r="BW150" i="12"/>
  <c r="BW146" i="12"/>
  <c r="BW142" i="12"/>
  <c r="BW163" i="12"/>
  <c r="BW159" i="12"/>
  <c r="BW155" i="12"/>
  <c r="BW151" i="12"/>
  <c r="BW147" i="12"/>
  <c r="BW143" i="12"/>
  <c r="BW139" i="12"/>
  <c r="BW135" i="12"/>
  <c r="BW131" i="12"/>
  <c r="BW127" i="12"/>
  <c r="BW123" i="12"/>
  <c r="BW119" i="12"/>
  <c r="BW141" i="12"/>
  <c r="BW140" i="12"/>
  <c r="BW136" i="12"/>
  <c r="BW132" i="12"/>
  <c r="BW128" i="12"/>
  <c r="BW124" i="12"/>
  <c r="BW120" i="12"/>
  <c r="BW137" i="12"/>
  <c r="BW133" i="12"/>
  <c r="BW129" i="12"/>
  <c r="BW125" i="12"/>
  <c r="BW121" i="12"/>
  <c r="BW117" i="12"/>
  <c r="BW138" i="12"/>
  <c r="BW134" i="12"/>
  <c r="BW130" i="12"/>
  <c r="BW126" i="12"/>
  <c r="BW122" i="12"/>
  <c r="BW118" i="12"/>
  <c r="BW112" i="12"/>
  <c r="BW108" i="12"/>
  <c r="BW104" i="12"/>
  <c r="BW100" i="12"/>
  <c r="BW96" i="12"/>
  <c r="BW113" i="12"/>
  <c r="BW109" i="12"/>
  <c r="BW105" i="12"/>
  <c r="BW101" i="12"/>
  <c r="BW97" i="12"/>
  <c r="BW93" i="12"/>
  <c r="BW116" i="12"/>
  <c r="BW114" i="12"/>
  <c r="BW110" i="12"/>
  <c r="BW106" i="12"/>
  <c r="BW102" i="12"/>
  <c r="BW98" i="12"/>
  <c r="BW94" i="12"/>
  <c r="BW90" i="12"/>
  <c r="BW115" i="12"/>
  <c r="BW111" i="12"/>
  <c r="BW107" i="12"/>
  <c r="BW103" i="12"/>
  <c r="BW99" i="12"/>
  <c r="BW95" i="12"/>
  <c r="BW91" i="12"/>
  <c r="BW92" i="12"/>
  <c r="BW88" i="12"/>
  <c r="BW83" i="12"/>
  <c r="BW79" i="12"/>
  <c r="BW75" i="12"/>
  <c r="BW71" i="12"/>
  <c r="BW67" i="12"/>
  <c r="BW89" i="12"/>
  <c r="BW84" i="12"/>
  <c r="BW80" i="12"/>
  <c r="BW76" i="12"/>
  <c r="BW72" i="12"/>
  <c r="BW68" i="12"/>
  <c r="BW64" i="12"/>
  <c r="BW87" i="12"/>
  <c r="BW85" i="12"/>
  <c r="BW81" i="12"/>
  <c r="BW77" i="12"/>
  <c r="BW73" i="12"/>
  <c r="BW69" i="12"/>
  <c r="BW65" i="12"/>
  <c r="BW86" i="12"/>
  <c r="BW82" i="12"/>
  <c r="BW78" i="12"/>
  <c r="BW74" i="12"/>
  <c r="BW70" i="12"/>
  <c r="BW66" i="12"/>
  <c r="BW62" i="12"/>
  <c r="BW60" i="12"/>
  <c r="BW56" i="12"/>
  <c r="BW52" i="12"/>
  <c r="BW48" i="12"/>
  <c r="BW44" i="12"/>
  <c r="BW40" i="12"/>
  <c r="BW36" i="12"/>
  <c r="BW32" i="12"/>
  <c r="BW28" i="12"/>
  <c r="BW24" i="12"/>
  <c r="BW20" i="12"/>
  <c r="BW16" i="12"/>
  <c r="BW57" i="12"/>
  <c r="BW53" i="12"/>
  <c r="BW49" i="12"/>
  <c r="BW45" i="12"/>
  <c r="BW41" i="12"/>
  <c r="BW37" i="12"/>
  <c r="BW33" i="12"/>
  <c r="BW29" i="12"/>
  <c r="BW25" i="12"/>
  <c r="BW21" i="12"/>
  <c r="BW17" i="12"/>
  <c r="BW58" i="12"/>
  <c r="BW54" i="12"/>
  <c r="BW50" i="12"/>
  <c r="BW46" i="12"/>
  <c r="BW42" i="12"/>
  <c r="BW38" i="12"/>
  <c r="BW34" i="12"/>
  <c r="BW30" i="12"/>
  <c r="BW26" i="12"/>
  <c r="BW22" i="12"/>
  <c r="BW18" i="12"/>
  <c r="BW14" i="12"/>
  <c r="BW63" i="12"/>
  <c r="BW61" i="12"/>
  <c r="BW59" i="12"/>
  <c r="BW55" i="12"/>
  <c r="BW51" i="12"/>
  <c r="BW47" i="12"/>
  <c r="BW43" i="12"/>
  <c r="BW39" i="12"/>
  <c r="BW35" i="12"/>
  <c r="BW31" i="12"/>
  <c r="BW27" i="12"/>
  <c r="BW23" i="12"/>
  <c r="BW19" i="12"/>
  <c r="BW15" i="12"/>
  <c r="BW11" i="12"/>
  <c r="CA251" i="12"/>
  <c r="CA249" i="12"/>
  <c r="CA250" i="12"/>
  <c r="CA247" i="12"/>
  <c r="CA244" i="12"/>
  <c r="CA246" i="12"/>
  <c r="CA245" i="12"/>
  <c r="CA248" i="12"/>
  <c r="CA240" i="12"/>
  <c r="CA241" i="12"/>
  <c r="CA242" i="12"/>
  <c r="CA239" i="12"/>
  <c r="CA238" i="12"/>
  <c r="CA243" i="12"/>
  <c r="CA235" i="12"/>
  <c r="CA231" i="12"/>
  <c r="CA236" i="12"/>
  <c r="CA232" i="12"/>
  <c r="CA237" i="12"/>
  <c r="CA233" i="12"/>
  <c r="CA234" i="12"/>
  <c r="CA228" i="12"/>
  <c r="CA224" i="12"/>
  <c r="CA229" i="12"/>
  <c r="CA225" i="12"/>
  <c r="CA230" i="12"/>
  <c r="CA226" i="12"/>
  <c r="CA227" i="12"/>
  <c r="CA222" i="12"/>
  <c r="CA218" i="12"/>
  <c r="CA223" i="12"/>
  <c r="CA219" i="12"/>
  <c r="CA220" i="12"/>
  <c r="CA221" i="12"/>
  <c r="CA215" i="12"/>
  <c r="CA211" i="12"/>
  <c r="CA207" i="12"/>
  <c r="CA216" i="12"/>
  <c r="CA212" i="12"/>
  <c r="CA208" i="12"/>
  <c r="CA217" i="12"/>
  <c r="CA213" i="12"/>
  <c r="CA209" i="12"/>
  <c r="CA214" i="12"/>
  <c r="CA210" i="12"/>
  <c r="CA206" i="12"/>
  <c r="CA204" i="12"/>
  <c r="CA200" i="12"/>
  <c r="CA196" i="12"/>
  <c r="CA201" i="12"/>
  <c r="CA197" i="12"/>
  <c r="CA193" i="12"/>
  <c r="CA202" i="12"/>
  <c r="CA198" i="12"/>
  <c r="CA194" i="12"/>
  <c r="CA205" i="12"/>
  <c r="CA203" i="12"/>
  <c r="CA199" i="12"/>
  <c r="CA195" i="12"/>
  <c r="CA189" i="12"/>
  <c r="CA185" i="12"/>
  <c r="CA181" i="12"/>
  <c r="CA190" i="12"/>
  <c r="CA186" i="12"/>
  <c r="CA182" i="12"/>
  <c r="CA191" i="12"/>
  <c r="CA187" i="12"/>
  <c r="CA183" i="12"/>
  <c r="CA192" i="12"/>
  <c r="CA188" i="12"/>
  <c r="CA184" i="12"/>
  <c r="CA180" i="12"/>
  <c r="CA178" i="12"/>
  <c r="CA174" i="12"/>
  <c r="CA170" i="12"/>
  <c r="CA179" i="12"/>
  <c r="CA175" i="12"/>
  <c r="CA171" i="12"/>
  <c r="CA167" i="12"/>
  <c r="CA176" i="12"/>
  <c r="CA172" i="12"/>
  <c r="CA168" i="12"/>
  <c r="CA177" i="12"/>
  <c r="CA173" i="12"/>
  <c r="CA169" i="12"/>
  <c r="CA164" i="12"/>
  <c r="CA160" i="12"/>
  <c r="CA156" i="12"/>
  <c r="CA152" i="12"/>
  <c r="CA148" i="12"/>
  <c r="CA144" i="12"/>
  <c r="CA165" i="12"/>
  <c r="CA161" i="12"/>
  <c r="CA157" i="12"/>
  <c r="CA153" i="12"/>
  <c r="CA149" i="12"/>
  <c r="CA145" i="12"/>
  <c r="CA166" i="12"/>
  <c r="CA162" i="12"/>
  <c r="CA158" i="12"/>
  <c r="CA154" i="12"/>
  <c r="CA150" i="12"/>
  <c r="CA146" i="12"/>
  <c r="CA142" i="12"/>
  <c r="CA163" i="12"/>
  <c r="CA159" i="12"/>
  <c r="CA155" i="12"/>
  <c r="CA151" i="12"/>
  <c r="CA147" i="12"/>
  <c r="CA143" i="12"/>
  <c r="CA139" i="12"/>
  <c r="CA135" i="12"/>
  <c r="CA131" i="12"/>
  <c r="CA127" i="12"/>
  <c r="CA123" i="12"/>
  <c r="CA119" i="12"/>
  <c r="CA140" i="12"/>
  <c r="CA136" i="12"/>
  <c r="CA132" i="12"/>
  <c r="CA128" i="12"/>
  <c r="CA124" i="12"/>
  <c r="CA120" i="12"/>
  <c r="CA137" i="12"/>
  <c r="CA133" i="12"/>
  <c r="CA129" i="12"/>
  <c r="CA125" i="12"/>
  <c r="CA121" i="12"/>
  <c r="CA117" i="12"/>
  <c r="CA141" i="12"/>
  <c r="CA138" i="12"/>
  <c r="CA134" i="12"/>
  <c r="CA130" i="12"/>
  <c r="CA126" i="12"/>
  <c r="CA122" i="12"/>
  <c r="CA118" i="12"/>
  <c r="CA116" i="12"/>
  <c r="CA112" i="12"/>
  <c r="CA108" i="12"/>
  <c r="CA104" i="12"/>
  <c r="CA100" i="12"/>
  <c r="CA96" i="12"/>
  <c r="CA113" i="12"/>
  <c r="CA109" i="12"/>
  <c r="CA105" i="12"/>
  <c r="CA101" i="12"/>
  <c r="CA97" i="12"/>
  <c r="CA93" i="12"/>
  <c r="CA114" i="12"/>
  <c r="CA110" i="12"/>
  <c r="CA106" i="12"/>
  <c r="CA102" i="12"/>
  <c r="CA98" i="12"/>
  <c r="CA94" i="12"/>
  <c r="CA90" i="12"/>
  <c r="CA115" i="12"/>
  <c r="CA111" i="12"/>
  <c r="CA107" i="12"/>
  <c r="CA103" i="12"/>
  <c r="CA99" i="12"/>
  <c r="CA95" i="12"/>
  <c r="CA91" i="12"/>
  <c r="CA87" i="12"/>
  <c r="CA83" i="12"/>
  <c r="CA79" i="12"/>
  <c r="CA75" i="12"/>
  <c r="CA71" i="12"/>
  <c r="CA67" i="12"/>
  <c r="CA84" i="12"/>
  <c r="CA80" i="12"/>
  <c r="CA76" i="12"/>
  <c r="CA72" i="12"/>
  <c r="CA68" i="12"/>
  <c r="CA64" i="12"/>
  <c r="CA88" i="12"/>
  <c r="CA85" i="12"/>
  <c r="CA81" i="12"/>
  <c r="CA77" i="12"/>
  <c r="CA73" i="12"/>
  <c r="CA69" i="12"/>
  <c r="CA65" i="12"/>
  <c r="CA92" i="12"/>
  <c r="CA89" i="12"/>
  <c r="CA86" i="12"/>
  <c r="CA82" i="12"/>
  <c r="CA78" i="12"/>
  <c r="CA74" i="12"/>
  <c r="CA70" i="12"/>
  <c r="CA66" i="12"/>
  <c r="CA62" i="12"/>
  <c r="CA60" i="12"/>
  <c r="CA56" i="12"/>
  <c r="CA52" i="12"/>
  <c r="CA48" i="12"/>
  <c r="CA44" i="12"/>
  <c r="CA40" i="12"/>
  <c r="CA36" i="12"/>
  <c r="CA32" i="12"/>
  <c r="CA28" i="12"/>
  <c r="CA24" i="12"/>
  <c r="CA20" i="12"/>
  <c r="CA16" i="12"/>
  <c r="CA63" i="12"/>
  <c r="CA61" i="12"/>
  <c r="CA57" i="12"/>
  <c r="CA53" i="12"/>
  <c r="CA49" i="12"/>
  <c r="CA45" i="12"/>
  <c r="CA41" i="12"/>
  <c r="CA37" i="12"/>
  <c r="CA33" i="12"/>
  <c r="CA29" i="12"/>
  <c r="CA25" i="12"/>
  <c r="CA21" i="12"/>
  <c r="CA17" i="12"/>
  <c r="CA58" i="12"/>
  <c r="CA54" i="12"/>
  <c r="CA50" i="12"/>
  <c r="CA46" i="12"/>
  <c r="CA42" i="12"/>
  <c r="CA38" i="12"/>
  <c r="CA34" i="12"/>
  <c r="CA30" i="12"/>
  <c r="CA26" i="12"/>
  <c r="CA22" i="12"/>
  <c r="CA18" i="12"/>
  <c r="CA14" i="12"/>
  <c r="CA59" i="12"/>
  <c r="CA55" i="12"/>
  <c r="CA51" i="12"/>
  <c r="CA47" i="12"/>
  <c r="CA43" i="12"/>
  <c r="CA39" i="12"/>
  <c r="CA35" i="12"/>
  <c r="CA31" i="12"/>
  <c r="CA27" i="12"/>
  <c r="CA23" i="12"/>
  <c r="CA19" i="12"/>
  <c r="CA15" i="12"/>
  <c r="CA11" i="12"/>
  <c r="CE251" i="12"/>
  <c r="CE249" i="12"/>
  <c r="CE250" i="12"/>
  <c r="CE246" i="12"/>
  <c r="CE247" i="12"/>
  <c r="CE244" i="12"/>
  <c r="CE248" i="12"/>
  <c r="CE245" i="12"/>
  <c r="CE240" i="12"/>
  <c r="CE241" i="12"/>
  <c r="CE242" i="12"/>
  <c r="CE239" i="12"/>
  <c r="CE243" i="12"/>
  <c r="CE238" i="12"/>
  <c r="CE235" i="12"/>
  <c r="CE231" i="12"/>
  <c r="CE237" i="12"/>
  <c r="CE236" i="12"/>
  <c r="CE232" i="12"/>
  <c r="CE233" i="12"/>
  <c r="CE234" i="12"/>
  <c r="CE228" i="12"/>
  <c r="CE224" i="12"/>
  <c r="CE229" i="12"/>
  <c r="CE225" i="12"/>
  <c r="CE230" i="12"/>
  <c r="CE226" i="12"/>
  <c r="CE227" i="12"/>
  <c r="CE222" i="12"/>
  <c r="CE218" i="12"/>
  <c r="CE223" i="12"/>
  <c r="CE219" i="12"/>
  <c r="CE220" i="12"/>
  <c r="CE221" i="12"/>
  <c r="CE215" i="12"/>
  <c r="CE211" i="12"/>
  <c r="CE207" i="12"/>
  <c r="CE216" i="12"/>
  <c r="CE212" i="12"/>
  <c r="CE208" i="12"/>
  <c r="CE217" i="12"/>
  <c r="CE213" i="12"/>
  <c r="CE209" i="12"/>
  <c r="CE214" i="12"/>
  <c r="CE210" i="12"/>
  <c r="CE206" i="12"/>
  <c r="CE204" i="12"/>
  <c r="CE200" i="12"/>
  <c r="CE196" i="12"/>
  <c r="CE205" i="12"/>
  <c r="CE201" i="12"/>
  <c r="CE197" i="12"/>
  <c r="CE193" i="12"/>
  <c r="CE202" i="12"/>
  <c r="CE198" i="12"/>
  <c r="CE194" i="12"/>
  <c r="CE203" i="12"/>
  <c r="CE199" i="12"/>
  <c r="CE195" i="12"/>
  <c r="CE189" i="12"/>
  <c r="CE185" i="12"/>
  <c r="CE181" i="12"/>
  <c r="CE190" i="12"/>
  <c r="CE186" i="12"/>
  <c r="CE182" i="12"/>
  <c r="CE191" i="12"/>
  <c r="CE187" i="12"/>
  <c r="CE183" i="12"/>
  <c r="CE192" i="12"/>
  <c r="CE188" i="12"/>
  <c r="CE184" i="12"/>
  <c r="CE180" i="12"/>
  <c r="CE178" i="12"/>
  <c r="CE174" i="12"/>
  <c r="CE170" i="12"/>
  <c r="CE179" i="12"/>
  <c r="CE175" i="12"/>
  <c r="CE171" i="12"/>
  <c r="CE167" i="12"/>
  <c r="CE176" i="12"/>
  <c r="CE172" i="12"/>
  <c r="CE168" i="12"/>
  <c r="CE177" i="12"/>
  <c r="CE173" i="12"/>
  <c r="CE169" i="12"/>
  <c r="CE164" i="12"/>
  <c r="CE160" i="12"/>
  <c r="CE156" i="12"/>
  <c r="CE152" i="12"/>
  <c r="CE148" i="12"/>
  <c r="CE144" i="12"/>
  <c r="CE165" i="12"/>
  <c r="CE161" i="12"/>
  <c r="CE157" i="12"/>
  <c r="CE153" i="12"/>
  <c r="CE149" i="12"/>
  <c r="CE145" i="12"/>
  <c r="CE166" i="12"/>
  <c r="CE162" i="12"/>
  <c r="CE158" i="12"/>
  <c r="CE154" i="12"/>
  <c r="CE150" i="12"/>
  <c r="CE146" i="12"/>
  <c r="CE142" i="12"/>
  <c r="CE163" i="12"/>
  <c r="CE159" i="12"/>
  <c r="CE155" i="12"/>
  <c r="CE151" i="12"/>
  <c r="CE147" i="12"/>
  <c r="CE143" i="12"/>
  <c r="CE139" i="12"/>
  <c r="CE135" i="12"/>
  <c r="CE131" i="12"/>
  <c r="CE127" i="12"/>
  <c r="CE123" i="12"/>
  <c r="CE119" i="12"/>
  <c r="CE140" i="12"/>
  <c r="CE136" i="12"/>
  <c r="CE132" i="12"/>
  <c r="CE128" i="12"/>
  <c r="CE124" i="12"/>
  <c r="CE120" i="12"/>
  <c r="CE141" i="12"/>
  <c r="CE137" i="12"/>
  <c r="CE133" i="12"/>
  <c r="CE129" i="12"/>
  <c r="CE125" i="12"/>
  <c r="CE121" i="12"/>
  <c r="CE117" i="12"/>
  <c r="CE138" i="12"/>
  <c r="CE134" i="12"/>
  <c r="CE130" i="12"/>
  <c r="CE126" i="12"/>
  <c r="CE122" i="12"/>
  <c r="CE118" i="12"/>
  <c r="CE112" i="12"/>
  <c r="CE108" i="12"/>
  <c r="CE104" i="12"/>
  <c r="CE100" i="12"/>
  <c r="CE96" i="12"/>
  <c r="CE113" i="12"/>
  <c r="CE109" i="12"/>
  <c r="CE105" i="12"/>
  <c r="CE101" i="12"/>
  <c r="CE97" i="12"/>
  <c r="CE93" i="12"/>
  <c r="CE116" i="12"/>
  <c r="CE114" i="12"/>
  <c r="CE110" i="12"/>
  <c r="CE106" i="12"/>
  <c r="CE102" i="12"/>
  <c r="CE98" i="12"/>
  <c r="CE94" i="12"/>
  <c r="CE90" i="12"/>
  <c r="CE115" i="12"/>
  <c r="CE111" i="12"/>
  <c r="CE107" i="12"/>
  <c r="CE103" i="12"/>
  <c r="CE99" i="12"/>
  <c r="CE95" i="12"/>
  <c r="CE91" i="12"/>
  <c r="CE87" i="12"/>
  <c r="CE88" i="12"/>
  <c r="CE83" i="12"/>
  <c r="CE79" i="12"/>
  <c r="CE75" i="12"/>
  <c r="CE71" i="12"/>
  <c r="CE67" i="12"/>
  <c r="CE89" i="12"/>
  <c r="CE84" i="12"/>
  <c r="CE80" i="12"/>
  <c r="CE76" i="12"/>
  <c r="CE72" i="12"/>
  <c r="CE68" i="12"/>
  <c r="CE64" i="12"/>
  <c r="CE92" i="12"/>
  <c r="CE85" i="12"/>
  <c r="CE81" i="12"/>
  <c r="CE77" i="12"/>
  <c r="CE73" i="12"/>
  <c r="CE69" i="12"/>
  <c r="CE65" i="12"/>
  <c r="CE86" i="12"/>
  <c r="CE82" i="12"/>
  <c r="CE78" i="12"/>
  <c r="CE74" i="12"/>
  <c r="CE70" i="12"/>
  <c r="CE66" i="12"/>
  <c r="CE62" i="12"/>
  <c r="CE60" i="12"/>
  <c r="CE56" i="12"/>
  <c r="CE52" i="12"/>
  <c r="CE48" i="12"/>
  <c r="CE44" i="12"/>
  <c r="CE40" i="12"/>
  <c r="CE36" i="12"/>
  <c r="CE32" i="12"/>
  <c r="CE28" i="12"/>
  <c r="CE24" i="12"/>
  <c r="CE20" i="12"/>
  <c r="CE16" i="12"/>
  <c r="CE57" i="12"/>
  <c r="CE53" i="12"/>
  <c r="CE49" i="12"/>
  <c r="CE45" i="12"/>
  <c r="CE41" i="12"/>
  <c r="CE37" i="12"/>
  <c r="CE33" i="12"/>
  <c r="CE29" i="12"/>
  <c r="CE25" i="12"/>
  <c r="CE21" i="12"/>
  <c r="CE17" i="12"/>
  <c r="CE58" i="12"/>
  <c r="CE54" i="12"/>
  <c r="CE50" i="12"/>
  <c r="CE46" i="12"/>
  <c r="CE42" i="12"/>
  <c r="CE38" i="12"/>
  <c r="CE34" i="12"/>
  <c r="CE30" i="12"/>
  <c r="CE26" i="12"/>
  <c r="CE22" i="12"/>
  <c r="CE18" i="12"/>
  <c r="CE14" i="12"/>
  <c r="CE63" i="12"/>
  <c r="CE61" i="12"/>
  <c r="CE59" i="12"/>
  <c r="CE55" i="12"/>
  <c r="CE51" i="12"/>
  <c r="CE47" i="12"/>
  <c r="CE43" i="12"/>
  <c r="CE39" i="12"/>
  <c r="CE35" i="12"/>
  <c r="CE31" i="12"/>
  <c r="CE27" i="12"/>
  <c r="CE23" i="12"/>
  <c r="CE19" i="12"/>
  <c r="CE15" i="12"/>
  <c r="CE11" i="12"/>
  <c r="CI251" i="12"/>
  <c r="CI249" i="12"/>
  <c r="CI250" i="12"/>
  <c r="CI246" i="12"/>
  <c r="CI247" i="12"/>
  <c r="CI248" i="12"/>
  <c r="CI244" i="12"/>
  <c r="CI245" i="12"/>
  <c r="CI240" i="12"/>
  <c r="CI241" i="12"/>
  <c r="CI242" i="12"/>
  <c r="CI243" i="12"/>
  <c r="CI239" i="12"/>
  <c r="CI238" i="12"/>
  <c r="CI237" i="12"/>
  <c r="CI235" i="12"/>
  <c r="CI231" i="12"/>
  <c r="CI236" i="12"/>
  <c r="CI232" i="12"/>
  <c r="CI233" i="12"/>
  <c r="CI234" i="12"/>
  <c r="CI228" i="12"/>
  <c r="CI224" i="12"/>
  <c r="CI229" i="12"/>
  <c r="CI225" i="12"/>
  <c r="CI230" i="12"/>
  <c r="CI226" i="12"/>
  <c r="CI227" i="12"/>
  <c r="CI222" i="12"/>
  <c r="CI218" i="12"/>
  <c r="CI223" i="12"/>
  <c r="CI219" i="12"/>
  <c r="CI220" i="12"/>
  <c r="CI221" i="12"/>
  <c r="CI215" i="12"/>
  <c r="CI211" i="12"/>
  <c r="CI207" i="12"/>
  <c r="CI216" i="12"/>
  <c r="CI212" i="12"/>
  <c r="CI208" i="12"/>
  <c r="CI217" i="12"/>
  <c r="CI213" i="12"/>
  <c r="CI209" i="12"/>
  <c r="CI205" i="12"/>
  <c r="CI214" i="12"/>
  <c r="CI210" i="12"/>
  <c r="CI206" i="12"/>
  <c r="CI204" i="12"/>
  <c r="CI200" i="12"/>
  <c r="CI196" i="12"/>
  <c r="CI201" i="12"/>
  <c r="CI197" i="12"/>
  <c r="CI193" i="12"/>
  <c r="CI202" i="12"/>
  <c r="CI198" i="12"/>
  <c r="CI194" i="12"/>
  <c r="CI203" i="12"/>
  <c r="CI199" i="12"/>
  <c r="CI195" i="12"/>
  <c r="CI189" i="12"/>
  <c r="CI185" i="12"/>
  <c r="CI181" i="12"/>
  <c r="CI190" i="12"/>
  <c r="CI186" i="12"/>
  <c r="CI182" i="12"/>
  <c r="CI191" i="12"/>
  <c r="CI187" i="12"/>
  <c r="CI183" i="12"/>
  <c r="CI192" i="12"/>
  <c r="CI188" i="12"/>
  <c r="CI184" i="12"/>
  <c r="CI180" i="12"/>
  <c r="CI178" i="12"/>
  <c r="CI174" i="12"/>
  <c r="CI170" i="12"/>
  <c r="CI179" i="12"/>
  <c r="CI175" i="12"/>
  <c r="CI171" i="12"/>
  <c r="CI167" i="12"/>
  <c r="CI176" i="12"/>
  <c r="CI172" i="12"/>
  <c r="CI168" i="12"/>
  <c r="CI177" i="12"/>
  <c r="CI173" i="12"/>
  <c r="CI169" i="12"/>
  <c r="CI164" i="12"/>
  <c r="CI160" i="12"/>
  <c r="CI156" i="12"/>
  <c r="CI152" i="12"/>
  <c r="CI148" i="12"/>
  <c r="CI144" i="12"/>
  <c r="CI165" i="12"/>
  <c r="CI161" i="12"/>
  <c r="CI157" i="12"/>
  <c r="CI153" i="12"/>
  <c r="CI149" i="12"/>
  <c r="CI145" i="12"/>
  <c r="CI166" i="12"/>
  <c r="CI162" i="12"/>
  <c r="CI158" i="12"/>
  <c r="CI154" i="12"/>
  <c r="CI150" i="12"/>
  <c r="CI146" i="12"/>
  <c r="CI142" i="12"/>
  <c r="CI163" i="12"/>
  <c r="CI159" i="12"/>
  <c r="CI155" i="12"/>
  <c r="CI151" i="12"/>
  <c r="CI147" i="12"/>
  <c r="CI143" i="12"/>
  <c r="CI139" i="12"/>
  <c r="CI135" i="12"/>
  <c r="CI131" i="12"/>
  <c r="CI127" i="12"/>
  <c r="CI123" i="12"/>
  <c r="CI119" i="12"/>
  <c r="CI141" i="12"/>
  <c r="CI140" i="12"/>
  <c r="CI136" i="12"/>
  <c r="CI132" i="12"/>
  <c r="CI128" i="12"/>
  <c r="CI124" i="12"/>
  <c r="CI120" i="12"/>
  <c r="CI137" i="12"/>
  <c r="CI133" i="12"/>
  <c r="CI129" i="12"/>
  <c r="CI125" i="12"/>
  <c r="CI121" i="12"/>
  <c r="CI117" i="12"/>
  <c r="CI138" i="12"/>
  <c r="CI134" i="12"/>
  <c r="CI130" i="12"/>
  <c r="CI126" i="12"/>
  <c r="CI122" i="12"/>
  <c r="CI118" i="12"/>
  <c r="CI116" i="12"/>
  <c r="CI112" i="12"/>
  <c r="CI108" i="12"/>
  <c r="CI104" i="12"/>
  <c r="CI100" i="12"/>
  <c r="CI96" i="12"/>
  <c r="CI113" i="12"/>
  <c r="CI109" i="12"/>
  <c r="CI105" i="12"/>
  <c r="CI101" i="12"/>
  <c r="CI97" i="12"/>
  <c r="CI93" i="12"/>
  <c r="CI114" i="12"/>
  <c r="CI110" i="12"/>
  <c r="CI106" i="12"/>
  <c r="CI102" i="12"/>
  <c r="CI98" i="12"/>
  <c r="CI94" i="12"/>
  <c r="CI90" i="12"/>
  <c r="CI115" i="12"/>
  <c r="CI111" i="12"/>
  <c r="CI107" i="12"/>
  <c r="CI103" i="12"/>
  <c r="CI99" i="12"/>
  <c r="CI95" i="12"/>
  <c r="CI91" i="12"/>
  <c r="CI87" i="12"/>
  <c r="CI83" i="12"/>
  <c r="CI79" i="12"/>
  <c r="CI75" i="12"/>
  <c r="CI71" i="12"/>
  <c r="CI67" i="12"/>
  <c r="CI92" i="12"/>
  <c r="CI84" i="12"/>
  <c r="CI80" i="12"/>
  <c r="CI76" i="12"/>
  <c r="CI72" i="12"/>
  <c r="CI68" i="12"/>
  <c r="CI64" i="12"/>
  <c r="CI88" i="12"/>
  <c r="CI85" i="12"/>
  <c r="CI81" i="12"/>
  <c r="CI77" i="12"/>
  <c r="CI73" i="12"/>
  <c r="CI69" i="12"/>
  <c r="CI65" i="12"/>
  <c r="CI89" i="12"/>
  <c r="CI86" i="12"/>
  <c r="CI82" i="12"/>
  <c r="CI78" i="12"/>
  <c r="CI74" i="12"/>
  <c r="CI70" i="12"/>
  <c r="CI66" i="12"/>
  <c r="CI62" i="12"/>
  <c r="CI60" i="12"/>
  <c r="CI56" i="12"/>
  <c r="CI52" i="12"/>
  <c r="CI48" i="12"/>
  <c r="CI44" i="12"/>
  <c r="CI40" i="12"/>
  <c r="CI36" i="12"/>
  <c r="CI32" i="12"/>
  <c r="CI28" i="12"/>
  <c r="CI24" i="12"/>
  <c r="CI20" i="12"/>
  <c r="CI16" i="12"/>
  <c r="CI63" i="12"/>
  <c r="CI61" i="12"/>
  <c r="CI57" i="12"/>
  <c r="CI53" i="12"/>
  <c r="CI49" i="12"/>
  <c r="CI45" i="12"/>
  <c r="CI41" i="12"/>
  <c r="CI37" i="12"/>
  <c r="CI33" i="12"/>
  <c r="CI29" i="12"/>
  <c r="CI25" i="12"/>
  <c r="CI21" i="12"/>
  <c r="CI17" i="12"/>
  <c r="CI58" i="12"/>
  <c r="CI54" i="12"/>
  <c r="CI50" i="12"/>
  <c r="CI46" i="12"/>
  <c r="CI42" i="12"/>
  <c r="CI38" i="12"/>
  <c r="CI34" i="12"/>
  <c r="CI30" i="12"/>
  <c r="CI26" i="12"/>
  <c r="CI22" i="12"/>
  <c r="CI18" i="12"/>
  <c r="CI14" i="12"/>
  <c r="CI59" i="12"/>
  <c r="CI55" i="12"/>
  <c r="CI51" i="12"/>
  <c r="CI47" i="12"/>
  <c r="CI43" i="12"/>
  <c r="CI39" i="12"/>
  <c r="CI35" i="12"/>
  <c r="CI31" i="12"/>
  <c r="CI27" i="12"/>
  <c r="CI23" i="12"/>
  <c r="CI19" i="12"/>
  <c r="CI15" i="12"/>
  <c r="CI11" i="12"/>
  <c r="CM251" i="12"/>
  <c r="CM249" i="12"/>
  <c r="CM250" i="12"/>
  <c r="CM248" i="12"/>
  <c r="CM246" i="12"/>
  <c r="CM247" i="12"/>
  <c r="CM244" i="12"/>
  <c r="CM245" i="12"/>
  <c r="CM240" i="12"/>
  <c r="CM241" i="12"/>
  <c r="CM242" i="12"/>
  <c r="CM243" i="12"/>
  <c r="CM239" i="12"/>
  <c r="CM236" i="12"/>
  <c r="CM238" i="12"/>
  <c r="CM235" i="12"/>
  <c r="CM231" i="12"/>
  <c r="CM232" i="12"/>
  <c r="CM233" i="12"/>
  <c r="CM237" i="12"/>
  <c r="CM234" i="12"/>
  <c r="CM228" i="12"/>
  <c r="CM224" i="12"/>
  <c r="CM229" i="12"/>
  <c r="CM225" i="12"/>
  <c r="CM230" i="12"/>
  <c r="CM226" i="12"/>
  <c r="CM227" i="12"/>
  <c r="CM222" i="12"/>
  <c r="CM218" i="12"/>
  <c r="CM223" i="12"/>
  <c r="CM219" i="12"/>
  <c r="CM220" i="12"/>
  <c r="CM221" i="12"/>
  <c r="CM215" i="12"/>
  <c r="CM211" i="12"/>
  <c r="CM207" i="12"/>
  <c r="CM216" i="12"/>
  <c r="CM212" i="12"/>
  <c r="CM208" i="12"/>
  <c r="CM217" i="12"/>
  <c r="CM213" i="12"/>
  <c r="CM209" i="12"/>
  <c r="CM205" i="12"/>
  <c r="CM214" i="12"/>
  <c r="CM210" i="12"/>
  <c r="CM206" i="12"/>
  <c r="CM204" i="12"/>
  <c r="CM200" i="12"/>
  <c r="CM196" i="12"/>
  <c r="CM201" i="12"/>
  <c r="CM197" i="12"/>
  <c r="CM193" i="12"/>
  <c r="CM202" i="12"/>
  <c r="CM198" i="12"/>
  <c r="CM194" i="12"/>
  <c r="CM203" i="12"/>
  <c r="CM199" i="12"/>
  <c r="CM195" i="12"/>
  <c r="CM192" i="12"/>
  <c r="CM189" i="12"/>
  <c r="CM185" i="12"/>
  <c r="CM181" i="12"/>
  <c r="CM190" i="12"/>
  <c r="CM186" i="12"/>
  <c r="CM182" i="12"/>
  <c r="CM191" i="12"/>
  <c r="CM187" i="12"/>
  <c r="CM183" i="12"/>
  <c r="CM188" i="12"/>
  <c r="CM184" i="12"/>
  <c r="CM180" i="12"/>
  <c r="CM178" i="12"/>
  <c r="CM174" i="12"/>
  <c r="CM170" i="12"/>
  <c r="CM179" i="12"/>
  <c r="CM175" i="12"/>
  <c r="CM171" i="12"/>
  <c r="CM167" i="12"/>
  <c r="CM176" i="12"/>
  <c r="CM172" i="12"/>
  <c r="CM168" i="12"/>
  <c r="CM177" i="12"/>
  <c r="CM173" i="12"/>
  <c r="CM169" i="12"/>
  <c r="CM164" i="12"/>
  <c r="CM160" i="12"/>
  <c r="CM156" i="12"/>
  <c r="CM152" i="12"/>
  <c r="CM148" i="12"/>
  <c r="CM144" i="12"/>
  <c r="CM165" i="12"/>
  <c r="CM161" i="12"/>
  <c r="CM157" i="12"/>
  <c r="CM153" i="12"/>
  <c r="CM149" i="12"/>
  <c r="CM145" i="12"/>
  <c r="CM166" i="12"/>
  <c r="CM162" i="12"/>
  <c r="CM158" i="12"/>
  <c r="CM154" i="12"/>
  <c r="CM150" i="12"/>
  <c r="CM146" i="12"/>
  <c r="CM142" i="12"/>
  <c r="CM163" i="12"/>
  <c r="CM159" i="12"/>
  <c r="CM155" i="12"/>
  <c r="CM151" i="12"/>
  <c r="CM147" i="12"/>
  <c r="CM143" i="12"/>
  <c r="CM141" i="12"/>
  <c r="CM139" i="12"/>
  <c r="CM135" i="12"/>
  <c r="CM131" i="12"/>
  <c r="CM127" i="12"/>
  <c r="CM123" i="12"/>
  <c r="CM119" i="12"/>
  <c r="CM140" i="12"/>
  <c r="CM136" i="12"/>
  <c r="CM132" i="12"/>
  <c r="CM128" i="12"/>
  <c r="CM124" i="12"/>
  <c r="CM120" i="12"/>
  <c r="CM137" i="12"/>
  <c r="CM133" i="12"/>
  <c r="CM129" i="12"/>
  <c r="CM125" i="12"/>
  <c r="CM121" i="12"/>
  <c r="CM117" i="12"/>
  <c r="CM138" i="12"/>
  <c r="CM134" i="12"/>
  <c r="CM130" i="12"/>
  <c r="CM126" i="12"/>
  <c r="CM122" i="12"/>
  <c r="CM118" i="12"/>
  <c r="CM112" i="12"/>
  <c r="CM108" i="12"/>
  <c r="CM104" i="12"/>
  <c r="CM100" i="12"/>
  <c r="CM96" i="12"/>
  <c r="CM113" i="12"/>
  <c r="CM109" i="12"/>
  <c r="CM105" i="12"/>
  <c r="CM101" i="12"/>
  <c r="CM97" i="12"/>
  <c r="CM93" i="12"/>
  <c r="CM116" i="12"/>
  <c r="CM114" i="12"/>
  <c r="CM110" i="12"/>
  <c r="CM106" i="12"/>
  <c r="CM102" i="12"/>
  <c r="CM98" i="12"/>
  <c r="CM94" i="12"/>
  <c r="CM90" i="12"/>
  <c r="CM115" i="12"/>
  <c r="CM111" i="12"/>
  <c r="CM107" i="12"/>
  <c r="CM103" i="12"/>
  <c r="CM99" i="12"/>
  <c r="CM95" i="12"/>
  <c r="CM91" i="12"/>
  <c r="CM87" i="12"/>
  <c r="CM92" i="12"/>
  <c r="CM88" i="12"/>
  <c r="CM83" i="12"/>
  <c r="CM79" i="12"/>
  <c r="CM75" i="12"/>
  <c r="CM71" i="12"/>
  <c r="CM67" i="12"/>
  <c r="CM89" i="12"/>
  <c r="CM84" i="12"/>
  <c r="CM80" i="12"/>
  <c r="CM76" i="12"/>
  <c r="CM72" i="12"/>
  <c r="CM68" i="12"/>
  <c r="CM64" i="12"/>
  <c r="CM85" i="12"/>
  <c r="CM81" i="12"/>
  <c r="CM77" i="12"/>
  <c r="CM73" i="12"/>
  <c r="CM69" i="12"/>
  <c r="CM65" i="12"/>
  <c r="CM86" i="12"/>
  <c r="CM82" i="12"/>
  <c r="CM78" i="12"/>
  <c r="CM74" i="12"/>
  <c r="CM70" i="12"/>
  <c r="CM66" i="12"/>
  <c r="CM62" i="12"/>
  <c r="CM60" i="12"/>
  <c r="CM56" i="12"/>
  <c r="CM52" i="12"/>
  <c r="CM48" i="12"/>
  <c r="CM44" i="12"/>
  <c r="CM40" i="12"/>
  <c r="CM36" i="12"/>
  <c r="CM32" i="12"/>
  <c r="CM28" i="12"/>
  <c r="CM24" i="12"/>
  <c r="CM20" i="12"/>
  <c r="CM16" i="12"/>
  <c r="CM57" i="12"/>
  <c r="CM53" i="12"/>
  <c r="CM49" i="12"/>
  <c r="CM45" i="12"/>
  <c r="CM41" i="12"/>
  <c r="CM37" i="12"/>
  <c r="CM33" i="12"/>
  <c r="CM29" i="12"/>
  <c r="CM25" i="12"/>
  <c r="CM21" i="12"/>
  <c r="CM17" i="12"/>
  <c r="CM58" i="12"/>
  <c r="CM54" i="12"/>
  <c r="CM50" i="12"/>
  <c r="CM46" i="12"/>
  <c r="CM42" i="12"/>
  <c r="CM38" i="12"/>
  <c r="CM34" i="12"/>
  <c r="CM30" i="12"/>
  <c r="CM26" i="12"/>
  <c r="CM22" i="12"/>
  <c r="CM18" i="12"/>
  <c r="CM14" i="12"/>
  <c r="CM63" i="12"/>
  <c r="CM61" i="12"/>
  <c r="CM59" i="12"/>
  <c r="CM55" i="12"/>
  <c r="CM51" i="12"/>
  <c r="CM47" i="12"/>
  <c r="CM43" i="12"/>
  <c r="CM39" i="12"/>
  <c r="CM35" i="12"/>
  <c r="CM31" i="12"/>
  <c r="CM27" i="12"/>
  <c r="CM23" i="12"/>
  <c r="CM19" i="12"/>
  <c r="CM15" i="12"/>
  <c r="CM11" i="12"/>
  <c r="CQ251" i="12"/>
  <c r="CQ249" i="12"/>
  <c r="CQ250" i="12"/>
  <c r="CQ248" i="12"/>
  <c r="CQ246" i="12"/>
  <c r="CQ247" i="12"/>
  <c r="CQ244" i="12"/>
  <c r="CQ245" i="12"/>
  <c r="CQ240" i="12"/>
  <c r="CQ241" i="12"/>
  <c r="CQ242" i="12"/>
  <c r="CQ236" i="12"/>
  <c r="CQ237" i="12"/>
  <c r="CQ239" i="12"/>
  <c r="CQ238" i="12"/>
  <c r="CQ243" i="12"/>
  <c r="CQ235" i="12"/>
  <c r="CQ231" i="12"/>
  <c r="CQ232" i="12"/>
  <c r="CQ233" i="12"/>
  <c r="CQ234" i="12"/>
  <c r="CQ228" i="12"/>
  <c r="CQ224" i="12"/>
  <c r="CQ229" i="12"/>
  <c r="CQ225" i="12"/>
  <c r="CQ230" i="12"/>
  <c r="CQ226" i="12"/>
  <c r="CQ227" i="12"/>
  <c r="CQ222" i="12"/>
  <c r="CQ218" i="12"/>
  <c r="CQ223" i="12"/>
  <c r="CQ219" i="12"/>
  <c r="CQ220" i="12"/>
  <c r="CQ221" i="12"/>
  <c r="CQ215" i="12"/>
  <c r="CQ211" i="12"/>
  <c r="CQ207" i="12"/>
  <c r="CQ216" i="12"/>
  <c r="CQ212" i="12"/>
  <c r="CQ208" i="12"/>
  <c r="CQ217" i="12"/>
  <c r="CQ213" i="12"/>
  <c r="CQ209" i="12"/>
  <c r="CQ205" i="12"/>
  <c r="CQ214" i="12"/>
  <c r="CQ210" i="12"/>
  <c r="CQ206" i="12"/>
  <c r="CQ204" i="12"/>
  <c r="CQ200" i="12"/>
  <c r="CQ196" i="12"/>
  <c r="CQ192" i="12"/>
  <c r="CQ201" i="12"/>
  <c r="CQ197" i="12"/>
  <c r="CQ193" i="12"/>
  <c r="CQ202" i="12"/>
  <c r="CQ198" i="12"/>
  <c r="CQ194" i="12"/>
  <c r="CQ203" i="12"/>
  <c r="CQ199" i="12"/>
  <c r="CQ195" i="12"/>
  <c r="CQ189" i="12"/>
  <c r="CQ185" i="12"/>
  <c r="CQ181" i="12"/>
  <c r="CQ190" i="12"/>
  <c r="CQ186" i="12"/>
  <c r="CQ182" i="12"/>
  <c r="CQ191" i="12"/>
  <c r="CQ187" i="12"/>
  <c r="CQ183" i="12"/>
  <c r="CQ188" i="12"/>
  <c r="CQ184" i="12"/>
  <c r="CQ180" i="12"/>
  <c r="CQ178" i="12"/>
  <c r="CQ174" i="12"/>
  <c r="CQ170" i="12"/>
  <c r="CQ175" i="12"/>
  <c r="CQ171" i="12"/>
  <c r="CQ167" i="12"/>
  <c r="CQ179" i="12"/>
  <c r="CQ176" i="12"/>
  <c r="CQ172" i="12"/>
  <c r="CQ168" i="12"/>
  <c r="CQ177" i="12"/>
  <c r="CQ173" i="12"/>
  <c r="CQ169" i="12"/>
  <c r="CQ164" i="12"/>
  <c r="CQ160" i="12"/>
  <c r="CQ156" i="12"/>
  <c r="CQ152" i="12"/>
  <c r="CQ148" i="12"/>
  <c r="CQ144" i="12"/>
  <c r="CQ165" i="12"/>
  <c r="CQ161" i="12"/>
  <c r="CQ157" i="12"/>
  <c r="CQ153" i="12"/>
  <c r="CQ149" i="12"/>
  <c r="CQ145" i="12"/>
  <c r="CQ166" i="12"/>
  <c r="CQ162" i="12"/>
  <c r="CQ158" i="12"/>
  <c r="CQ154" i="12"/>
  <c r="CQ150" i="12"/>
  <c r="CQ146" i="12"/>
  <c r="CQ142" i="12"/>
  <c r="CQ163" i="12"/>
  <c r="CQ159" i="12"/>
  <c r="CQ155" i="12"/>
  <c r="CQ151" i="12"/>
  <c r="CQ147" i="12"/>
  <c r="CQ143" i="12"/>
  <c r="CQ139" i="12"/>
  <c r="CQ135" i="12"/>
  <c r="CQ131" i="12"/>
  <c r="CQ127" i="12"/>
  <c r="CQ123" i="12"/>
  <c r="CQ119" i="12"/>
  <c r="CQ140" i="12"/>
  <c r="CQ136" i="12"/>
  <c r="CQ132" i="12"/>
  <c r="CQ128" i="12"/>
  <c r="CQ124" i="12"/>
  <c r="CQ120" i="12"/>
  <c r="CQ137" i="12"/>
  <c r="CQ133" i="12"/>
  <c r="CQ129" i="12"/>
  <c r="CQ125" i="12"/>
  <c r="CQ121" i="12"/>
  <c r="CQ117" i="12"/>
  <c r="CQ141" i="12"/>
  <c r="CQ138" i="12"/>
  <c r="CQ134" i="12"/>
  <c r="CQ130" i="12"/>
  <c r="CQ126" i="12"/>
  <c r="CQ122" i="12"/>
  <c r="CQ118" i="12"/>
  <c r="CQ116" i="12"/>
  <c r="CQ112" i="12"/>
  <c r="CQ108" i="12"/>
  <c r="CQ104" i="12"/>
  <c r="CQ100" i="12"/>
  <c r="CQ96" i="12"/>
  <c r="CQ113" i="12"/>
  <c r="CQ109" i="12"/>
  <c r="CQ105" i="12"/>
  <c r="CQ101" i="12"/>
  <c r="CQ97" i="12"/>
  <c r="CQ93" i="12"/>
  <c r="CQ114" i="12"/>
  <c r="CQ110" i="12"/>
  <c r="CQ106" i="12"/>
  <c r="CQ102" i="12"/>
  <c r="CQ98" i="12"/>
  <c r="CQ94" i="12"/>
  <c r="CQ90" i="12"/>
  <c r="CQ115" i="12"/>
  <c r="CQ111" i="12"/>
  <c r="CQ107" i="12"/>
  <c r="CQ103" i="12"/>
  <c r="CQ99" i="12"/>
  <c r="CQ95" i="12"/>
  <c r="CQ91" i="12"/>
  <c r="CQ87" i="12"/>
  <c r="CQ83" i="12"/>
  <c r="CQ79" i="12"/>
  <c r="CQ75" i="12"/>
  <c r="CQ71" i="12"/>
  <c r="CQ67" i="12"/>
  <c r="CQ84" i="12"/>
  <c r="CQ80" i="12"/>
  <c r="CQ76" i="12"/>
  <c r="CQ72" i="12"/>
  <c r="CQ68" i="12"/>
  <c r="CQ64" i="12"/>
  <c r="CQ88" i="12"/>
  <c r="CQ85" i="12"/>
  <c r="CQ81" i="12"/>
  <c r="CQ77" i="12"/>
  <c r="CQ73" i="12"/>
  <c r="CQ69" i="12"/>
  <c r="CQ65" i="12"/>
  <c r="CQ92" i="12"/>
  <c r="CQ89" i="12"/>
  <c r="CQ86" i="12"/>
  <c r="CQ82" i="12"/>
  <c r="CQ78" i="12"/>
  <c r="CQ74" i="12"/>
  <c r="CQ70" i="12"/>
  <c r="CQ66" i="12"/>
  <c r="CQ62" i="12"/>
  <c r="CQ56" i="12"/>
  <c r="CQ52" i="12"/>
  <c r="CQ48" i="12"/>
  <c r="CQ44" i="12"/>
  <c r="CQ40" i="12"/>
  <c r="CQ36" i="12"/>
  <c r="CQ32" i="12"/>
  <c r="CQ28" i="12"/>
  <c r="CQ24" i="12"/>
  <c r="CQ20" i="12"/>
  <c r="CQ16" i="12"/>
  <c r="CQ63" i="12"/>
  <c r="CQ61" i="12"/>
  <c r="CQ60" i="12"/>
  <c r="CQ57" i="12"/>
  <c r="CQ53" i="12"/>
  <c r="CQ49" i="12"/>
  <c r="CQ45" i="12"/>
  <c r="CQ41" i="12"/>
  <c r="CQ37" i="12"/>
  <c r="CQ33" i="12"/>
  <c r="CQ29" i="12"/>
  <c r="CQ25" i="12"/>
  <c r="CQ21" i="12"/>
  <c r="CQ17" i="12"/>
  <c r="CQ58" i="12"/>
  <c r="CQ54" i="12"/>
  <c r="CQ50" i="12"/>
  <c r="CQ46" i="12"/>
  <c r="CQ42" i="12"/>
  <c r="CQ38" i="12"/>
  <c r="CQ34" i="12"/>
  <c r="CQ30" i="12"/>
  <c r="CQ26" i="12"/>
  <c r="CQ22" i="12"/>
  <c r="CQ18" i="12"/>
  <c r="CQ14" i="12"/>
  <c r="CQ59" i="12"/>
  <c r="CQ55" i="12"/>
  <c r="CQ51" i="12"/>
  <c r="CQ47" i="12"/>
  <c r="CQ43" i="12"/>
  <c r="CQ39" i="12"/>
  <c r="CQ35" i="12"/>
  <c r="CQ31" i="12"/>
  <c r="CQ27" i="12"/>
  <c r="CQ23" i="12"/>
  <c r="CQ19" i="12"/>
  <c r="CQ15" i="12"/>
  <c r="CQ11" i="12"/>
  <c r="CU251" i="12"/>
  <c r="CU249" i="12"/>
  <c r="CU250" i="12"/>
  <c r="CU246" i="12"/>
  <c r="CU248" i="12"/>
  <c r="CU247" i="12"/>
  <c r="CU244" i="12"/>
  <c r="CU245" i="12"/>
  <c r="CU240" i="12"/>
  <c r="CU241" i="12"/>
  <c r="CU242" i="12"/>
  <c r="CU239" i="12"/>
  <c r="CU236" i="12"/>
  <c r="CU237" i="12"/>
  <c r="CU243" i="12"/>
  <c r="CU238" i="12"/>
  <c r="CU235" i="12"/>
  <c r="CU231" i="12"/>
  <c r="CU232" i="12"/>
  <c r="CU233" i="12"/>
  <c r="CU234" i="12"/>
  <c r="CU228" i="12"/>
  <c r="CU224" i="12"/>
  <c r="CU229" i="12"/>
  <c r="CU225" i="12"/>
  <c r="CU230" i="12"/>
  <c r="CU226" i="12"/>
  <c r="CU227" i="12"/>
  <c r="CU222" i="12"/>
  <c r="CU218" i="12"/>
  <c r="CU223" i="12"/>
  <c r="CU219" i="12"/>
  <c r="CU220" i="12"/>
  <c r="CU221" i="12"/>
  <c r="CU215" i="12"/>
  <c r="CU211" i="12"/>
  <c r="CU207" i="12"/>
  <c r="CU216" i="12"/>
  <c r="CU212" i="12"/>
  <c r="CU208" i="12"/>
  <c r="CU217" i="12"/>
  <c r="CU213" i="12"/>
  <c r="CU209" i="12"/>
  <c r="CU205" i="12"/>
  <c r="CU214" i="12"/>
  <c r="CU210" i="12"/>
  <c r="CU206" i="12"/>
  <c r="CU204" i="12"/>
  <c r="CU200" i="12"/>
  <c r="CU196" i="12"/>
  <c r="CU192" i="12"/>
  <c r="CU201" i="12"/>
  <c r="CU197" i="12"/>
  <c r="CU193" i="12"/>
  <c r="CU202" i="12"/>
  <c r="CU198" i="12"/>
  <c r="CU194" i="12"/>
  <c r="CU203" i="12"/>
  <c r="CU199" i="12"/>
  <c r="CU195" i="12"/>
  <c r="CU189" i="12"/>
  <c r="CU185" i="12"/>
  <c r="CU181" i="12"/>
  <c r="CU190" i="12"/>
  <c r="CU186" i="12"/>
  <c r="CU182" i="12"/>
  <c r="CU191" i="12"/>
  <c r="CU187" i="12"/>
  <c r="CU183" i="12"/>
  <c r="CU188" i="12"/>
  <c r="CU184" i="12"/>
  <c r="CU180" i="12"/>
  <c r="CU178" i="12"/>
  <c r="CU174" i="12"/>
  <c r="CU170" i="12"/>
  <c r="CU175" i="12"/>
  <c r="CU171" i="12"/>
  <c r="CU167" i="12"/>
  <c r="CU176" i="12"/>
  <c r="CU172" i="12"/>
  <c r="CU168" i="12"/>
  <c r="CU179" i="12"/>
  <c r="CU177" i="12"/>
  <c r="CU173" i="12"/>
  <c r="CU169" i="12"/>
  <c r="CU164" i="12"/>
  <c r="CU160" i="12"/>
  <c r="CU156" i="12"/>
  <c r="CU152" i="12"/>
  <c r="CU148" i="12"/>
  <c r="CU144" i="12"/>
  <c r="CU165" i="12"/>
  <c r="CU161" i="12"/>
  <c r="CU157" i="12"/>
  <c r="CU153" i="12"/>
  <c r="CU149" i="12"/>
  <c r="CU145" i="12"/>
  <c r="CU141" i="12"/>
  <c r="CU166" i="12"/>
  <c r="CU162" i="12"/>
  <c r="CU158" i="12"/>
  <c r="CU154" i="12"/>
  <c r="CU150" i="12"/>
  <c r="CU146" i="12"/>
  <c r="CU142" i="12"/>
  <c r="CU163" i="12"/>
  <c r="CU159" i="12"/>
  <c r="CU155" i="12"/>
  <c r="CU151" i="12"/>
  <c r="CU147" i="12"/>
  <c r="CU143" i="12"/>
  <c r="CU139" i="12"/>
  <c r="CU135" i="12"/>
  <c r="CU131" i="12"/>
  <c r="CU127" i="12"/>
  <c r="CU123" i="12"/>
  <c r="CU119" i="12"/>
  <c r="CU140" i="12"/>
  <c r="CU136" i="12"/>
  <c r="CU132" i="12"/>
  <c r="CU128" i="12"/>
  <c r="CU124" i="12"/>
  <c r="CU120" i="12"/>
  <c r="CU137" i="12"/>
  <c r="CU133" i="12"/>
  <c r="CU129" i="12"/>
  <c r="CU125" i="12"/>
  <c r="CU121" i="12"/>
  <c r="CU117" i="12"/>
  <c r="CU138" i="12"/>
  <c r="CU134" i="12"/>
  <c r="CU130" i="12"/>
  <c r="CU126" i="12"/>
  <c r="CU122" i="12"/>
  <c r="CU118" i="12"/>
  <c r="CU112" i="12"/>
  <c r="CU108" i="12"/>
  <c r="CU104" i="12"/>
  <c r="CU100" i="12"/>
  <c r="CU96" i="12"/>
  <c r="CU113" i="12"/>
  <c r="CU109" i="12"/>
  <c r="CU105" i="12"/>
  <c r="CU101" i="12"/>
  <c r="CU97" i="12"/>
  <c r="CU93" i="12"/>
  <c r="CU116" i="12"/>
  <c r="CU114" i="12"/>
  <c r="CU110" i="12"/>
  <c r="CU106" i="12"/>
  <c r="CU102" i="12"/>
  <c r="CU98" i="12"/>
  <c r="CU94" i="12"/>
  <c r="CU90" i="12"/>
  <c r="CU115" i="12"/>
  <c r="CU111" i="12"/>
  <c r="CU107" i="12"/>
  <c r="CU103" i="12"/>
  <c r="CU99" i="12"/>
  <c r="CU95" i="12"/>
  <c r="CU91" i="12"/>
  <c r="CU87" i="12"/>
  <c r="CU88" i="12"/>
  <c r="CU83" i="12"/>
  <c r="CU79" i="12"/>
  <c r="CU75" i="12"/>
  <c r="CU71" i="12"/>
  <c r="CU67" i="12"/>
  <c r="CU89" i="12"/>
  <c r="CU84" i="12"/>
  <c r="CU80" i="12"/>
  <c r="CU76" i="12"/>
  <c r="CU72" i="12"/>
  <c r="CU68" i="12"/>
  <c r="CU64" i="12"/>
  <c r="CU92" i="12"/>
  <c r="CU85" i="12"/>
  <c r="CU81" i="12"/>
  <c r="CU77" i="12"/>
  <c r="CU73" i="12"/>
  <c r="CU69" i="12"/>
  <c r="CU65" i="12"/>
  <c r="CU86" i="12"/>
  <c r="CU82" i="12"/>
  <c r="CU78" i="12"/>
  <c r="CU74" i="12"/>
  <c r="CU70" i="12"/>
  <c r="CU66" i="12"/>
  <c r="CU62" i="12"/>
  <c r="CU56" i="12"/>
  <c r="CU52" i="12"/>
  <c r="CU48" i="12"/>
  <c r="CU44" i="12"/>
  <c r="CU40" i="12"/>
  <c r="CU36" i="12"/>
  <c r="CU32" i="12"/>
  <c r="CU28" i="12"/>
  <c r="CU24" i="12"/>
  <c r="CU20" i="12"/>
  <c r="CU16" i="12"/>
  <c r="CU57" i="12"/>
  <c r="CU53" i="12"/>
  <c r="CU49" i="12"/>
  <c r="CU45" i="12"/>
  <c r="CU41" i="12"/>
  <c r="CU37" i="12"/>
  <c r="CU33" i="12"/>
  <c r="CU29" i="12"/>
  <c r="CU25" i="12"/>
  <c r="CU21" i="12"/>
  <c r="CU17" i="12"/>
  <c r="CU60" i="12"/>
  <c r="CU58" i="12"/>
  <c r="CU54" i="12"/>
  <c r="CU50" i="12"/>
  <c r="CU46" i="12"/>
  <c r="CU42" i="12"/>
  <c r="CU38" i="12"/>
  <c r="CU34" i="12"/>
  <c r="CU30" i="12"/>
  <c r="CU26" i="12"/>
  <c r="CU22" i="12"/>
  <c r="CU18" i="12"/>
  <c r="CU14" i="12"/>
  <c r="CU63" i="12"/>
  <c r="CU61" i="12"/>
  <c r="CU59" i="12"/>
  <c r="CU55" i="12"/>
  <c r="CU51" i="12"/>
  <c r="CU47" i="12"/>
  <c r="CU43" i="12"/>
  <c r="CU39" i="12"/>
  <c r="CU35" i="12"/>
  <c r="CU31" i="12"/>
  <c r="CU27" i="12"/>
  <c r="CU23" i="12"/>
  <c r="CU19" i="12"/>
  <c r="CU15" i="12"/>
  <c r="CU11" i="12"/>
  <c r="CY251" i="12"/>
  <c r="CY249" i="12"/>
  <c r="CY250" i="12"/>
  <c r="CY246" i="12"/>
  <c r="CY247" i="12"/>
  <c r="CY244" i="12"/>
  <c r="CY248" i="12"/>
  <c r="CY245" i="12"/>
  <c r="CY240" i="12"/>
  <c r="CY241" i="12"/>
  <c r="CY242" i="12"/>
  <c r="CY236" i="12"/>
  <c r="CY243" i="12"/>
  <c r="CY237" i="12"/>
  <c r="CY239" i="12"/>
  <c r="CY238" i="12"/>
  <c r="CY235" i="12"/>
  <c r="CY231" i="12"/>
  <c r="CY232" i="12"/>
  <c r="CY233" i="12"/>
  <c r="CY234" i="12"/>
  <c r="CY228" i="12"/>
  <c r="CY224" i="12"/>
  <c r="CY229" i="12"/>
  <c r="CY225" i="12"/>
  <c r="CY230" i="12"/>
  <c r="CY226" i="12"/>
  <c r="CY227" i="12"/>
  <c r="CY222" i="12"/>
  <c r="CY218" i="12"/>
  <c r="CY223" i="12"/>
  <c r="CY219" i="12"/>
  <c r="CY220" i="12"/>
  <c r="CY221" i="12"/>
  <c r="CY215" i="12"/>
  <c r="CY211" i="12"/>
  <c r="CY207" i="12"/>
  <c r="CY216" i="12"/>
  <c r="CY212" i="12"/>
  <c r="CY208" i="12"/>
  <c r="CY217" i="12"/>
  <c r="CY213" i="12"/>
  <c r="CY209" i="12"/>
  <c r="CY205" i="12"/>
  <c r="CY214" i="12"/>
  <c r="CY210" i="12"/>
  <c r="CY206" i="12"/>
  <c r="CY204" i="12"/>
  <c r="CY200" i="12"/>
  <c r="CY196" i="12"/>
  <c r="CY192" i="12"/>
  <c r="CY201" i="12"/>
  <c r="CY197" i="12"/>
  <c r="CY193" i="12"/>
  <c r="CY202" i="12"/>
  <c r="CY198" i="12"/>
  <c r="CY194" i="12"/>
  <c r="CY203" i="12"/>
  <c r="CY199" i="12"/>
  <c r="CY195" i="12"/>
  <c r="CY189" i="12"/>
  <c r="CY185" i="12"/>
  <c r="CY181" i="12"/>
  <c r="CY190" i="12"/>
  <c r="CY186" i="12"/>
  <c r="CY182" i="12"/>
  <c r="CY191" i="12"/>
  <c r="CY187" i="12"/>
  <c r="CY183" i="12"/>
  <c r="CY188" i="12"/>
  <c r="CY184" i="12"/>
  <c r="CY180" i="12"/>
  <c r="CY179" i="12"/>
  <c r="CY178" i="12"/>
  <c r="CY174" i="12"/>
  <c r="CY170" i="12"/>
  <c r="CY175" i="12"/>
  <c r="CY171" i="12"/>
  <c r="CY167" i="12"/>
  <c r="CY176" i="12"/>
  <c r="CY172" i="12"/>
  <c r="CY168" i="12"/>
  <c r="CY177" i="12"/>
  <c r="CY173" i="12"/>
  <c r="CY169" i="12"/>
  <c r="CY164" i="12"/>
  <c r="CY160" i="12"/>
  <c r="CY156" i="12"/>
  <c r="CY152" i="12"/>
  <c r="CY148" i="12"/>
  <c r="CY144" i="12"/>
  <c r="CY165" i="12"/>
  <c r="CY161" i="12"/>
  <c r="CY157" i="12"/>
  <c r="CY153" i="12"/>
  <c r="CY149" i="12"/>
  <c r="CY145" i="12"/>
  <c r="CY141" i="12"/>
  <c r="CY166" i="12"/>
  <c r="CY162" i="12"/>
  <c r="CY158" i="12"/>
  <c r="CY154" i="12"/>
  <c r="CY150" i="12"/>
  <c r="CY146" i="12"/>
  <c r="CY142" i="12"/>
  <c r="CY163" i="12"/>
  <c r="CY159" i="12"/>
  <c r="CY155" i="12"/>
  <c r="CY151" i="12"/>
  <c r="CY147" i="12"/>
  <c r="CY143" i="12"/>
  <c r="CY139" i="12"/>
  <c r="CY135" i="12"/>
  <c r="CY131" i="12"/>
  <c r="CY127" i="12"/>
  <c r="CY123" i="12"/>
  <c r="CY119" i="12"/>
  <c r="CY140" i="12"/>
  <c r="CY136" i="12"/>
  <c r="CY132" i="12"/>
  <c r="CY128" i="12"/>
  <c r="CY124" i="12"/>
  <c r="CY120" i="12"/>
  <c r="CY137" i="12"/>
  <c r="CY133" i="12"/>
  <c r="CY129" i="12"/>
  <c r="CY125" i="12"/>
  <c r="CY121" i="12"/>
  <c r="CY117" i="12"/>
  <c r="CY138" i="12"/>
  <c r="CY134" i="12"/>
  <c r="CY130" i="12"/>
  <c r="CY126" i="12"/>
  <c r="CY122" i="12"/>
  <c r="CY118" i="12"/>
  <c r="CY116" i="12"/>
  <c r="CY115" i="12"/>
  <c r="CY112" i="12"/>
  <c r="CY108" i="12"/>
  <c r="CY104" i="12"/>
  <c r="CY100" i="12"/>
  <c r="CY96" i="12"/>
  <c r="CY113" i="12"/>
  <c r="CY109" i="12"/>
  <c r="CY105" i="12"/>
  <c r="CY101" i="12"/>
  <c r="CY97" i="12"/>
  <c r="CY93" i="12"/>
  <c r="CY114" i="12"/>
  <c r="CY110" i="12"/>
  <c r="CY106" i="12"/>
  <c r="CY102" i="12"/>
  <c r="CY98" i="12"/>
  <c r="CY94" i="12"/>
  <c r="CY90" i="12"/>
  <c r="CY111" i="12"/>
  <c r="CY107" i="12"/>
  <c r="CY103" i="12"/>
  <c r="CY99" i="12"/>
  <c r="CY95" i="12"/>
  <c r="CY91" i="12"/>
  <c r="CY87" i="12"/>
  <c r="CY83" i="12"/>
  <c r="CY79" i="12"/>
  <c r="CY75" i="12"/>
  <c r="CY71" i="12"/>
  <c r="CY67" i="12"/>
  <c r="CY92" i="12"/>
  <c r="CY84" i="12"/>
  <c r="CY80" i="12"/>
  <c r="CY76" i="12"/>
  <c r="CY72" i="12"/>
  <c r="CY68" i="12"/>
  <c r="CY64" i="12"/>
  <c r="CY60" i="12"/>
  <c r="CY88" i="12"/>
  <c r="CY85" i="12"/>
  <c r="CY81" i="12"/>
  <c r="CY77" i="12"/>
  <c r="CY73" i="12"/>
  <c r="CY69" i="12"/>
  <c r="CY65" i="12"/>
  <c r="CY89" i="12"/>
  <c r="CY86" i="12"/>
  <c r="CY82" i="12"/>
  <c r="CY78" i="12"/>
  <c r="CY74" i="12"/>
  <c r="CY70" i="12"/>
  <c r="CY66" i="12"/>
  <c r="CY62" i="12"/>
  <c r="CY56" i="12"/>
  <c r="CY52" i="12"/>
  <c r="CY48" i="12"/>
  <c r="CY44" i="12"/>
  <c r="CY40" i="12"/>
  <c r="CY36" i="12"/>
  <c r="CY32" i="12"/>
  <c r="CY28" i="12"/>
  <c r="CY24" i="12"/>
  <c r="CY20" i="12"/>
  <c r="CY16" i="12"/>
  <c r="CY63" i="12"/>
  <c r="CY61" i="12"/>
  <c r="CY57" i="12"/>
  <c r="CY53" i="12"/>
  <c r="CY49" i="12"/>
  <c r="CY45" i="12"/>
  <c r="CY41" i="12"/>
  <c r="CY37" i="12"/>
  <c r="CY33" i="12"/>
  <c r="CY29" i="12"/>
  <c r="CY25" i="12"/>
  <c r="CY21" i="12"/>
  <c r="CY17" i="12"/>
  <c r="CY58" i="12"/>
  <c r="CY54" i="12"/>
  <c r="CY50" i="12"/>
  <c r="CY46" i="12"/>
  <c r="CY42" i="12"/>
  <c r="CY38" i="12"/>
  <c r="CY34" i="12"/>
  <c r="CY30" i="12"/>
  <c r="CY26" i="12"/>
  <c r="CY22" i="12"/>
  <c r="CY18" i="12"/>
  <c r="CY14" i="12"/>
  <c r="CY10" i="12"/>
  <c r="CY59" i="12"/>
  <c r="CY55" i="12"/>
  <c r="CY51" i="12"/>
  <c r="CY47" i="12"/>
  <c r="CY43" i="12"/>
  <c r="CY39" i="12"/>
  <c r="CY35" i="12"/>
  <c r="CY31" i="12"/>
  <c r="CY27" i="12"/>
  <c r="CY23" i="12"/>
  <c r="CY19" i="12"/>
  <c r="CY15" i="12"/>
  <c r="CY11" i="12"/>
  <c r="DC251" i="12"/>
  <c r="DC249" i="12"/>
  <c r="DC250" i="12"/>
  <c r="DC248" i="12"/>
  <c r="DC246" i="12"/>
  <c r="DC247" i="12"/>
  <c r="DC244" i="12"/>
  <c r="DC245" i="12"/>
  <c r="DC240" i="12"/>
  <c r="DC241" i="12"/>
  <c r="DC242" i="12"/>
  <c r="DC243" i="12"/>
  <c r="DC239" i="12"/>
  <c r="DC236" i="12"/>
  <c r="DC237" i="12"/>
  <c r="DC238" i="12"/>
  <c r="DC235" i="12"/>
  <c r="DC231" i="12"/>
  <c r="DC232" i="12"/>
  <c r="DC233" i="12"/>
  <c r="DC234" i="12"/>
  <c r="DC228" i="12"/>
  <c r="DC224" i="12"/>
  <c r="DC229" i="12"/>
  <c r="DC225" i="12"/>
  <c r="DC230" i="12"/>
  <c r="DC226" i="12"/>
  <c r="DC227" i="12"/>
  <c r="DC222" i="12"/>
  <c r="DC218" i="12"/>
  <c r="DC223" i="12"/>
  <c r="DC219" i="12"/>
  <c r="DC220" i="12"/>
  <c r="DC221" i="12"/>
  <c r="DC215" i="12"/>
  <c r="DC211" i="12"/>
  <c r="DC207" i="12"/>
  <c r="DC216" i="12"/>
  <c r="DC212" i="12"/>
  <c r="DC208" i="12"/>
  <c r="DC217" i="12"/>
  <c r="DC213" i="12"/>
  <c r="DC209" i="12"/>
  <c r="DC205" i="12"/>
  <c r="DC214" i="12"/>
  <c r="DC210" i="12"/>
  <c r="DC206" i="12"/>
  <c r="DC204" i="12"/>
  <c r="DC200" i="12"/>
  <c r="DC196" i="12"/>
  <c r="DC192" i="12"/>
  <c r="DC201" i="12"/>
  <c r="DC197" i="12"/>
  <c r="DC193" i="12"/>
  <c r="DC202" i="12"/>
  <c r="DC198" i="12"/>
  <c r="DC194" i="12"/>
  <c r="DC203" i="12"/>
  <c r="DC199" i="12"/>
  <c r="DC195" i="12"/>
  <c r="DC189" i="12"/>
  <c r="DC185" i="12"/>
  <c r="DC181" i="12"/>
  <c r="DC190" i="12"/>
  <c r="DC186" i="12"/>
  <c r="DC182" i="12"/>
  <c r="DC191" i="12"/>
  <c r="DC187" i="12"/>
  <c r="DC183" i="12"/>
  <c r="DC188" i="12"/>
  <c r="DC184" i="12"/>
  <c r="DC180" i="12"/>
  <c r="DC178" i="12"/>
  <c r="DC174" i="12"/>
  <c r="DC170" i="12"/>
  <c r="DC175" i="12"/>
  <c r="DC171" i="12"/>
  <c r="DC167" i="12"/>
  <c r="DC179" i="12"/>
  <c r="DC176" i="12"/>
  <c r="DC172" i="12"/>
  <c r="DC168" i="12"/>
  <c r="DC177" i="12"/>
  <c r="DC173" i="12"/>
  <c r="DC169" i="12"/>
  <c r="DC164" i="12"/>
  <c r="DC160" i="12"/>
  <c r="DC156" i="12"/>
  <c r="DC152" i="12"/>
  <c r="DC148" i="12"/>
  <c r="DC144" i="12"/>
  <c r="DC165" i="12"/>
  <c r="DC161" i="12"/>
  <c r="DC157" i="12"/>
  <c r="DC153" i="12"/>
  <c r="DC149" i="12"/>
  <c r="DC145" i="12"/>
  <c r="DC141" i="12"/>
  <c r="DC166" i="12"/>
  <c r="DC162" i="12"/>
  <c r="DC158" i="12"/>
  <c r="DC154" i="12"/>
  <c r="DC150" i="12"/>
  <c r="DC146" i="12"/>
  <c r="DC142" i="12"/>
  <c r="DC163" i="12"/>
  <c r="DC159" i="12"/>
  <c r="DC155" i="12"/>
  <c r="DC151" i="12"/>
  <c r="DC147" i="12"/>
  <c r="DC143" i="12"/>
  <c r="DC139" i="12"/>
  <c r="DC135" i="12"/>
  <c r="DC131" i="12"/>
  <c r="DC127" i="12"/>
  <c r="DC123" i="12"/>
  <c r="DC119" i="12"/>
  <c r="DC140" i="12"/>
  <c r="DC136" i="12"/>
  <c r="DC132" i="12"/>
  <c r="DC128" i="12"/>
  <c r="DC124" i="12"/>
  <c r="DC120" i="12"/>
  <c r="DC137" i="12"/>
  <c r="DC133" i="12"/>
  <c r="DC129" i="12"/>
  <c r="DC125" i="12"/>
  <c r="DC121" i="12"/>
  <c r="DC117" i="12"/>
  <c r="DC138" i="12"/>
  <c r="DC134" i="12"/>
  <c r="DC130" i="12"/>
  <c r="DC126" i="12"/>
  <c r="DC122" i="12"/>
  <c r="DC118" i="12"/>
  <c r="DC112" i="12"/>
  <c r="DC108" i="12"/>
  <c r="DC104" i="12"/>
  <c r="DC100" i="12"/>
  <c r="DC96" i="12"/>
  <c r="DC115" i="12"/>
  <c r="DC113" i="12"/>
  <c r="DC109" i="12"/>
  <c r="DC105" i="12"/>
  <c r="DC101" i="12"/>
  <c r="DC97" i="12"/>
  <c r="DC93" i="12"/>
  <c r="DC116" i="12"/>
  <c r="DC114" i="12"/>
  <c r="DC110" i="12"/>
  <c r="DC106" i="12"/>
  <c r="DC102" i="12"/>
  <c r="DC98" i="12"/>
  <c r="DC94" i="12"/>
  <c r="DC90" i="12"/>
  <c r="DC111" i="12"/>
  <c r="DC107" i="12"/>
  <c r="DC103" i="12"/>
  <c r="DC99" i="12"/>
  <c r="DC95" i="12"/>
  <c r="DC91" i="12"/>
  <c r="DC87" i="12"/>
  <c r="DC92" i="12"/>
  <c r="DC88" i="12"/>
  <c r="DC83" i="12"/>
  <c r="DC79" i="12"/>
  <c r="DC75" i="12"/>
  <c r="DC71" i="12"/>
  <c r="DC67" i="12"/>
  <c r="DC89" i="12"/>
  <c r="DC84" i="12"/>
  <c r="DC80" i="12"/>
  <c r="DC76" i="12"/>
  <c r="DC72" i="12"/>
  <c r="DC68" i="12"/>
  <c r="DC64" i="12"/>
  <c r="DC60" i="12"/>
  <c r="DC85" i="12"/>
  <c r="DC81" i="12"/>
  <c r="DC77" i="12"/>
  <c r="DC73" i="12"/>
  <c r="DC69" i="12"/>
  <c r="DC65" i="12"/>
  <c r="DC86" i="12"/>
  <c r="DC82" i="12"/>
  <c r="DC78" i="12"/>
  <c r="DC74" i="12"/>
  <c r="DC70" i="12"/>
  <c r="DC66" i="12"/>
  <c r="DC62" i="12"/>
  <c r="DC56" i="12"/>
  <c r="DC52" i="12"/>
  <c r="DC48" i="12"/>
  <c r="DC44" i="12"/>
  <c r="DC40" i="12"/>
  <c r="DC36" i="12"/>
  <c r="DC32" i="12"/>
  <c r="DC28" i="12"/>
  <c r="DC24" i="12"/>
  <c r="DC20" i="12"/>
  <c r="DC16" i="12"/>
  <c r="DC57" i="12"/>
  <c r="DC53" i="12"/>
  <c r="DC49" i="12"/>
  <c r="DC45" i="12"/>
  <c r="DC41" i="12"/>
  <c r="DC37" i="12"/>
  <c r="DC33" i="12"/>
  <c r="DC29" i="12"/>
  <c r="DC25" i="12"/>
  <c r="DC21" i="12"/>
  <c r="DC17" i="12"/>
  <c r="DC58" i="12"/>
  <c r="DC54" i="12"/>
  <c r="DC50" i="12"/>
  <c r="DC46" i="12"/>
  <c r="DC42" i="12"/>
  <c r="DC38" i="12"/>
  <c r="DC34" i="12"/>
  <c r="DC30" i="12"/>
  <c r="DC26" i="12"/>
  <c r="DC22" i="12"/>
  <c r="DC18" i="12"/>
  <c r="DC14" i="12"/>
  <c r="DC10" i="12"/>
  <c r="DC63" i="12"/>
  <c r="DC61" i="12"/>
  <c r="DC59" i="12"/>
  <c r="DC55" i="12"/>
  <c r="DC51" i="12"/>
  <c r="DC47" i="12"/>
  <c r="DC43" i="12"/>
  <c r="DC39" i="12"/>
  <c r="DC35" i="12"/>
  <c r="DC31" i="12"/>
  <c r="DC27" i="12"/>
  <c r="DC23" i="12"/>
  <c r="DC19" i="12"/>
  <c r="DC15" i="12"/>
  <c r="DC11" i="12"/>
  <c r="D2" i="12"/>
  <c r="H2" i="12"/>
  <c r="L2" i="12"/>
  <c r="P2" i="12"/>
  <c r="T2" i="12"/>
  <c r="X2" i="12"/>
  <c r="AB2" i="12"/>
  <c r="AF2" i="12"/>
  <c r="AJ2" i="12"/>
  <c r="AN2" i="12"/>
  <c r="AR2" i="12"/>
  <c r="AV2" i="12"/>
  <c r="AZ2" i="12"/>
  <c r="BD2" i="12"/>
  <c r="BH2" i="12"/>
  <c r="BL2" i="12"/>
  <c r="BP2" i="12"/>
  <c r="BT2" i="12"/>
  <c r="BX2" i="12"/>
  <c r="CB2" i="12"/>
  <c r="CF2" i="12"/>
  <c r="CJ2" i="12"/>
  <c r="CN2" i="12"/>
  <c r="CR2" i="12"/>
  <c r="CV2" i="12"/>
  <c r="CZ2" i="12"/>
  <c r="E3" i="12"/>
  <c r="I3" i="12"/>
  <c r="M3" i="12"/>
  <c r="Q3" i="12"/>
  <c r="U3" i="12"/>
  <c r="Y3" i="12"/>
  <c r="AC3" i="12"/>
  <c r="AG3" i="12"/>
  <c r="AK3" i="12"/>
  <c r="AO3" i="12"/>
  <c r="AS3" i="12"/>
  <c r="AW3" i="12"/>
  <c r="BA3" i="12"/>
  <c r="BE3" i="12"/>
  <c r="BI3" i="12"/>
  <c r="BM3" i="12"/>
  <c r="BQ3" i="12"/>
  <c r="BU3" i="12"/>
  <c r="BY3" i="12"/>
  <c r="CC3" i="12"/>
  <c r="CG3" i="12"/>
  <c r="CK3" i="12"/>
  <c r="CO3" i="12"/>
  <c r="CS3" i="12"/>
  <c r="CW3" i="12"/>
  <c r="DA3" i="12"/>
  <c r="F4" i="12"/>
  <c r="J4" i="12"/>
  <c r="N4" i="12"/>
  <c r="R4" i="12"/>
  <c r="V4" i="12"/>
  <c r="Z4" i="12"/>
  <c r="AD4" i="12"/>
  <c r="AH4" i="12"/>
  <c r="AL4" i="12"/>
  <c r="AP4" i="12"/>
  <c r="AT4" i="12"/>
  <c r="AX4" i="12"/>
  <c r="BB4" i="12"/>
  <c r="BF4" i="12"/>
  <c r="BJ4" i="12"/>
  <c r="BN4" i="12"/>
  <c r="BR4" i="12"/>
  <c r="BV4" i="12"/>
  <c r="BZ4" i="12"/>
  <c r="CD4" i="12"/>
  <c r="CH4" i="12"/>
  <c r="CL4" i="12"/>
  <c r="CP4" i="12"/>
  <c r="CT4" i="12"/>
  <c r="CX4" i="12"/>
  <c r="DB4" i="12"/>
  <c r="C5" i="12"/>
  <c r="G5" i="12"/>
  <c r="K5" i="12"/>
  <c r="O5" i="12"/>
  <c r="S5" i="12"/>
  <c r="W5" i="12"/>
  <c r="AA5" i="12"/>
  <c r="AE5" i="12"/>
  <c r="AI5" i="12"/>
  <c r="AM5" i="12"/>
  <c r="AQ5" i="12"/>
  <c r="AU5" i="12"/>
  <c r="AY5" i="12"/>
  <c r="BC5" i="12"/>
  <c r="BG5" i="12"/>
  <c r="BK5" i="12"/>
  <c r="BO5" i="12"/>
  <c r="BS5" i="12"/>
  <c r="BW5" i="12"/>
  <c r="CA5" i="12"/>
  <c r="CE5" i="12"/>
  <c r="CI5" i="12"/>
  <c r="CM5" i="12"/>
  <c r="CQ5" i="12"/>
  <c r="CU5" i="12"/>
  <c r="CY5" i="12"/>
  <c r="DC5" i="12"/>
  <c r="D6" i="12"/>
  <c r="H6" i="12"/>
  <c r="L6" i="12"/>
  <c r="P6" i="12"/>
  <c r="T6" i="12"/>
  <c r="X6" i="12"/>
  <c r="AB6" i="12"/>
  <c r="AF6" i="12"/>
  <c r="AJ6" i="12"/>
  <c r="AN6" i="12"/>
  <c r="AR6" i="12"/>
  <c r="AV6" i="12"/>
  <c r="AZ6" i="12"/>
  <c r="BD6" i="12"/>
  <c r="BH6" i="12"/>
  <c r="BL6" i="12"/>
  <c r="BP6" i="12"/>
  <c r="BT6" i="12"/>
  <c r="BX6" i="12"/>
  <c r="CB6" i="12"/>
  <c r="CF6" i="12"/>
  <c r="CJ6" i="12"/>
  <c r="CN6" i="12"/>
  <c r="CR6" i="12"/>
  <c r="CV6" i="12"/>
  <c r="CZ6" i="12"/>
  <c r="E7" i="12"/>
  <c r="I7" i="12"/>
  <c r="M7" i="12"/>
  <c r="Q7" i="12"/>
  <c r="U7" i="12"/>
  <c r="Y7" i="12"/>
  <c r="AC7" i="12"/>
  <c r="AG7" i="12"/>
  <c r="AK7" i="12"/>
  <c r="AO7" i="12"/>
  <c r="AS7" i="12"/>
  <c r="AW7" i="12"/>
  <c r="BA7" i="12"/>
  <c r="BE7" i="12"/>
  <c r="BI7" i="12"/>
  <c r="BM7" i="12"/>
  <c r="BQ7" i="12"/>
  <c r="BU7" i="12"/>
  <c r="BY7" i="12"/>
  <c r="CC7" i="12"/>
  <c r="CG7" i="12"/>
  <c r="CK7" i="12"/>
  <c r="CO7" i="12"/>
  <c r="CS7" i="12"/>
  <c r="CW7" i="12"/>
  <c r="DA7" i="12"/>
  <c r="F8" i="12"/>
  <c r="J8" i="12"/>
  <c r="N8" i="12"/>
  <c r="R8" i="12"/>
  <c r="V8" i="12"/>
  <c r="Z8" i="12"/>
  <c r="AD8" i="12"/>
  <c r="AH8" i="12"/>
  <c r="AL8" i="12"/>
  <c r="AP8" i="12"/>
  <c r="AT8" i="12"/>
  <c r="AX8" i="12"/>
  <c r="BB8" i="12"/>
  <c r="BF8" i="12"/>
  <c r="BJ8" i="12"/>
  <c r="BN8" i="12"/>
  <c r="BR8" i="12"/>
  <c r="BV8" i="12"/>
  <c r="BZ8" i="12"/>
  <c r="CD8" i="12"/>
  <c r="CH8" i="12"/>
  <c r="CL8" i="12"/>
  <c r="CP8" i="12"/>
  <c r="CT8" i="12"/>
  <c r="CX8" i="12"/>
  <c r="DB8" i="12"/>
  <c r="C9" i="12"/>
  <c r="G9" i="12"/>
  <c r="K9" i="12"/>
  <c r="O9" i="12"/>
  <c r="S9" i="12"/>
  <c r="W9" i="12"/>
  <c r="AA9" i="12"/>
  <c r="AE9" i="12"/>
  <c r="AI9" i="12"/>
  <c r="AM9" i="12"/>
  <c r="AQ9" i="12"/>
  <c r="AU9" i="12"/>
  <c r="AY9" i="12"/>
  <c r="BC9" i="12"/>
  <c r="BG9" i="12"/>
  <c r="BK9" i="12"/>
  <c r="BO9" i="12"/>
  <c r="BS9" i="12"/>
  <c r="BW9" i="12"/>
  <c r="CA9" i="12"/>
  <c r="CE9" i="12"/>
  <c r="CI9" i="12"/>
  <c r="CM9" i="12"/>
  <c r="CQ9" i="12"/>
  <c r="CU9" i="12"/>
  <c r="CY9" i="12"/>
  <c r="DC9" i="12"/>
  <c r="D10" i="12"/>
  <c r="H10" i="12"/>
  <c r="L10" i="12"/>
  <c r="P10" i="12"/>
  <c r="T10" i="12"/>
  <c r="X10" i="12"/>
  <c r="AB10" i="12"/>
  <c r="AF10" i="12"/>
  <c r="AJ10" i="12"/>
  <c r="AN10" i="12"/>
  <c r="AR10" i="12"/>
  <c r="AV10" i="12"/>
  <c r="AZ10" i="12"/>
  <c r="BD10" i="12"/>
  <c r="BH10" i="12"/>
  <c r="BL10" i="12"/>
  <c r="BP10" i="12"/>
  <c r="BT10" i="12"/>
  <c r="BX10" i="12"/>
  <c r="CB10" i="12"/>
  <c r="CF10" i="12"/>
  <c r="CJ10" i="12"/>
  <c r="CN10" i="12"/>
  <c r="CR10" i="12"/>
  <c r="CV10" i="12"/>
  <c r="DA10" i="12"/>
  <c r="C11" i="12"/>
  <c r="I11" i="12"/>
  <c r="N11" i="12"/>
  <c r="S11" i="12"/>
  <c r="Y11" i="12"/>
  <c r="AD11" i="12"/>
  <c r="AI11" i="12"/>
  <c r="AO11" i="12"/>
  <c r="AT11" i="12"/>
  <c r="AY11" i="12"/>
  <c r="BF11" i="12"/>
  <c r="BN11" i="12"/>
  <c r="BV11" i="12"/>
  <c r="CD11" i="12"/>
  <c r="CL11" i="12"/>
  <c r="CT11" i="12"/>
  <c r="DB11" i="12"/>
  <c r="G12" i="12"/>
  <c r="O12" i="12"/>
  <c r="W12" i="12"/>
  <c r="AE12" i="12"/>
  <c r="AM12" i="12"/>
  <c r="AU12" i="12"/>
  <c r="BC12" i="12"/>
  <c r="BK12" i="12"/>
  <c r="BS12" i="12"/>
  <c r="CA12" i="12"/>
  <c r="CI12" i="12"/>
  <c r="CQ12" i="12"/>
  <c r="CY12" i="12"/>
  <c r="H13" i="12"/>
  <c r="P13" i="12"/>
  <c r="X13" i="12"/>
  <c r="AF13" i="12"/>
  <c r="AN13" i="12"/>
  <c r="AV13" i="12"/>
  <c r="BD13" i="12"/>
  <c r="BL13" i="12"/>
  <c r="BT13" i="12"/>
  <c r="CB13" i="12"/>
  <c r="CJ13" i="12"/>
  <c r="CR13" i="12"/>
  <c r="CZ13" i="12"/>
  <c r="D14" i="12"/>
  <c r="L14" i="12"/>
  <c r="T14" i="12"/>
  <c r="AB14" i="12"/>
  <c r="AJ14" i="12"/>
  <c r="AR14" i="12"/>
  <c r="AZ14" i="12"/>
  <c r="BH14" i="12"/>
  <c r="BP14" i="12"/>
  <c r="BX14" i="12"/>
  <c r="CF14" i="12"/>
  <c r="CV14" i="12"/>
  <c r="E54" i="9" l="1"/>
  <c r="D54" i="9"/>
  <c r="C54" i="9"/>
  <c r="B54" i="9"/>
  <c r="I54" i="9" s="1"/>
  <c r="O54" i="9" s="1"/>
  <c r="P54" i="9" s="1"/>
  <c r="E53" i="9"/>
  <c r="D53" i="9"/>
  <c r="C53" i="9"/>
  <c r="B53" i="9"/>
  <c r="I53" i="9" s="1"/>
  <c r="O53" i="9" s="1"/>
  <c r="P53" i="9" s="1"/>
  <c r="E52" i="9"/>
  <c r="T52" i="9" s="1"/>
  <c r="D52" i="9"/>
  <c r="C52" i="9"/>
  <c r="B52" i="9"/>
  <c r="I52" i="9" s="1"/>
  <c r="O52" i="9" s="1"/>
  <c r="P52" i="9" s="1"/>
  <c r="E51" i="9"/>
  <c r="D51" i="9"/>
  <c r="C51" i="9"/>
  <c r="B51" i="9"/>
  <c r="I51" i="9" s="1"/>
  <c r="O51" i="9" s="1"/>
  <c r="P51" i="9" s="1"/>
  <c r="E50" i="9"/>
  <c r="D50" i="9"/>
  <c r="C50" i="9"/>
  <c r="B50" i="9"/>
  <c r="I50" i="9" s="1"/>
  <c r="O50" i="9" s="1"/>
  <c r="P50" i="9" s="1"/>
  <c r="E49" i="9"/>
  <c r="D49" i="9"/>
  <c r="C49" i="9"/>
  <c r="B49" i="9"/>
  <c r="I49" i="9" s="1"/>
  <c r="O49" i="9" s="1"/>
  <c r="P49" i="9" s="1"/>
  <c r="A49" i="9"/>
  <c r="E48" i="9"/>
  <c r="D48" i="9"/>
  <c r="C48" i="9"/>
  <c r="B48" i="9"/>
  <c r="I48" i="9" s="1"/>
  <c r="O48" i="9" s="1"/>
  <c r="P48" i="9" s="1"/>
  <c r="E47" i="9"/>
  <c r="D47" i="9"/>
  <c r="C47" i="9"/>
  <c r="B47" i="9"/>
  <c r="I47" i="9" s="1"/>
  <c r="O47" i="9" s="1"/>
  <c r="P47" i="9" s="1"/>
  <c r="A47" i="9"/>
  <c r="E46" i="9"/>
  <c r="T46" i="9" s="1"/>
  <c r="D46" i="9"/>
  <c r="C46" i="9"/>
  <c r="B46" i="9"/>
  <c r="I46" i="9" s="1"/>
  <c r="O46" i="9" s="1"/>
  <c r="P46" i="9" s="1"/>
  <c r="A46" i="9"/>
  <c r="E45" i="9"/>
  <c r="D45" i="9"/>
  <c r="C45" i="9"/>
  <c r="B45" i="9"/>
  <c r="I45" i="9" s="1"/>
  <c r="O45" i="9" s="1"/>
  <c r="P45" i="9" s="1"/>
  <c r="E44" i="9"/>
  <c r="D44" i="9"/>
  <c r="C44" i="9"/>
  <c r="B44" i="9"/>
  <c r="I44" i="9" s="1"/>
  <c r="O44" i="9" s="1"/>
  <c r="P44" i="9" s="1"/>
  <c r="E43" i="9"/>
  <c r="D43" i="9"/>
  <c r="C43" i="9"/>
  <c r="B43" i="9"/>
  <c r="I43" i="9" s="1"/>
  <c r="O43" i="9" s="1"/>
  <c r="P43" i="9" s="1"/>
  <c r="E42" i="9"/>
  <c r="D42" i="9"/>
  <c r="C42" i="9"/>
  <c r="B42" i="9"/>
  <c r="I42" i="9" s="1"/>
  <c r="O42" i="9" s="1"/>
  <c r="P42" i="9" s="1"/>
  <c r="E41" i="9"/>
  <c r="D41" i="9"/>
  <c r="C41" i="9"/>
  <c r="B41" i="9"/>
  <c r="I41" i="9" s="1"/>
  <c r="O41" i="9" s="1"/>
  <c r="P41" i="9" s="1"/>
  <c r="E40" i="9"/>
  <c r="T40" i="9" s="1"/>
  <c r="D40" i="9"/>
  <c r="C40" i="9"/>
  <c r="B40" i="9"/>
  <c r="I40" i="9" s="1"/>
  <c r="O40" i="9" s="1"/>
  <c r="P40" i="9" s="1"/>
  <c r="A40" i="9"/>
  <c r="E39" i="9"/>
  <c r="D39" i="9"/>
  <c r="C39" i="9"/>
  <c r="B39" i="9"/>
  <c r="I39" i="9" s="1"/>
  <c r="O39" i="9" s="1"/>
  <c r="P39" i="9" s="1"/>
  <c r="E38" i="9"/>
  <c r="D38" i="9"/>
  <c r="C38" i="9"/>
  <c r="B38" i="9"/>
  <c r="A38" i="9" s="1"/>
  <c r="E37" i="9"/>
  <c r="D37" i="9"/>
  <c r="C37" i="9"/>
  <c r="B37" i="9"/>
  <c r="G37" i="9" s="1"/>
  <c r="M37" i="9" s="1"/>
  <c r="N37" i="9" s="1"/>
  <c r="E36" i="9"/>
  <c r="D36" i="9"/>
  <c r="C36" i="9"/>
  <c r="B36" i="9"/>
  <c r="G36" i="9" s="1"/>
  <c r="M36" i="9" s="1"/>
  <c r="E35" i="9"/>
  <c r="D35" i="9"/>
  <c r="C35" i="9"/>
  <c r="B35" i="9"/>
  <c r="G35" i="9" s="1"/>
  <c r="M35" i="9" s="1"/>
  <c r="N35" i="9" s="1"/>
  <c r="E34" i="9"/>
  <c r="D34" i="9"/>
  <c r="C34" i="9"/>
  <c r="B34" i="9"/>
  <c r="G34" i="9" s="1"/>
  <c r="M34" i="9" s="1"/>
  <c r="E33" i="9"/>
  <c r="D33" i="9"/>
  <c r="C33" i="9"/>
  <c r="B33" i="9"/>
  <c r="G33" i="9" s="1"/>
  <c r="M33" i="9" s="1"/>
  <c r="N33" i="9" s="1"/>
  <c r="E32" i="9"/>
  <c r="D32" i="9"/>
  <c r="C32" i="9"/>
  <c r="B32" i="9"/>
  <c r="G32" i="9" s="1"/>
  <c r="M32" i="9" s="1"/>
  <c r="N32" i="9" s="1"/>
  <c r="E31" i="9"/>
  <c r="D31" i="9"/>
  <c r="C31" i="9"/>
  <c r="B31" i="9"/>
  <c r="G31" i="9" s="1"/>
  <c r="M31" i="9" s="1"/>
  <c r="N31" i="9" s="1"/>
  <c r="E30" i="9"/>
  <c r="D30" i="9"/>
  <c r="C30" i="9"/>
  <c r="R30" i="9" s="1"/>
  <c r="B30" i="9"/>
  <c r="G30" i="9" s="1"/>
  <c r="M30" i="9" s="1"/>
  <c r="N30" i="9" s="1"/>
  <c r="E29" i="9"/>
  <c r="D29" i="9"/>
  <c r="C29" i="9"/>
  <c r="B29" i="9"/>
  <c r="G29" i="9" s="1"/>
  <c r="M29" i="9" s="1"/>
  <c r="N29" i="9" s="1"/>
  <c r="E28" i="9"/>
  <c r="D28" i="9"/>
  <c r="C28" i="9"/>
  <c r="B28" i="9"/>
  <c r="G28" i="9" s="1"/>
  <c r="M28" i="9" s="1"/>
  <c r="A28" i="9"/>
  <c r="E27" i="9"/>
  <c r="D27" i="9"/>
  <c r="C27" i="9"/>
  <c r="B27" i="9"/>
  <c r="G27" i="9" s="1"/>
  <c r="M27" i="9" s="1"/>
  <c r="N27" i="9" s="1"/>
  <c r="E26" i="9"/>
  <c r="D26" i="9"/>
  <c r="C26" i="9"/>
  <c r="B26" i="9"/>
  <c r="G26" i="9" s="1"/>
  <c r="M26" i="9" s="1"/>
  <c r="N26" i="9" s="1"/>
  <c r="E25" i="9"/>
  <c r="D25" i="9"/>
  <c r="C25" i="9"/>
  <c r="R25" i="9" s="1"/>
  <c r="B25" i="9"/>
  <c r="G25" i="9" s="1"/>
  <c r="M25" i="9" s="1"/>
  <c r="E24" i="9"/>
  <c r="D24" i="9"/>
  <c r="C24" i="9"/>
  <c r="B24" i="9"/>
  <c r="G24" i="9" s="1"/>
  <c r="E23" i="9"/>
  <c r="D23" i="9"/>
  <c r="C23" i="9"/>
  <c r="B23" i="9"/>
  <c r="G23" i="9" s="1"/>
  <c r="M23" i="9" s="1"/>
  <c r="A23" i="9"/>
  <c r="E22" i="9"/>
  <c r="D22" i="9"/>
  <c r="C22" i="9"/>
  <c r="B22" i="9"/>
  <c r="G22" i="9" s="1"/>
  <c r="E21" i="9"/>
  <c r="D21" i="9"/>
  <c r="C21" i="9"/>
  <c r="B21" i="9"/>
  <c r="G21" i="9" s="1"/>
  <c r="M21" i="9" s="1"/>
  <c r="E20" i="9"/>
  <c r="D20" i="9"/>
  <c r="C20" i="9"/>
  <c r="B20" i="9"/>
  <c r="G20" i="9" s="1"/>
  <c r="E19" i="9"/>
  <c r="D19" i="9"/>
  <c r="C19" i="9"/>
  <c r="R19" i="9" s="1"/>
  <c r="B19" i="9"/>
  <c r="G19" i="9" s="1"/>
  <c r="M19" i="9" s="1"/>
  <c r="E18" i="9"/>
  <c r="D18" i="9"/>
  <c r="C18" i="9"/>
  <c r="B18" i="9"/>
  <c r="G18" i="9" s="1"/>
  <c r="A18" i="9"/>
  <c r="E17" i="9"/>
  <c r="D17" i="9"/>
  <c r="C17" i="9"/>
  <c r="R17" i="9" s="1"/>
  <c r="B17" i="9"/>
  <c r="G17" i="9" s="1"/>
  <c r="M17" i="9" s="1"/>
  <c r="A17" i="9"/>
  <c r="E16" i="9"/>
  <c r="D16" i="9"/>
  <c r="C16" i="9"/>
  <c r="B16" i="9"/>
  <c r="G16" i="9" s="1"/>
  <c r="M16" i="9" s="1"/>
  <c r="E15" i="9"/>
  <c r="D15" i="9"/>
  <c r="C15" i="9"/>
  <c r="B15" i="9"/>
  <c r="G15" i="9" s="1"/>
  <c r="M15" i="9" s="1"/>
  <c r="E14" i="9"/>
  <c r="D14" i="9"/>
  <c r="C14" i="9"/>
  <c r="B14" i="9"/>
  <c r="I14" i="9" s="1"/>
  <c r="O14" i="9" s="1"/>
  <c r="P14" i="9" s="1"/>
  <c r="E13" i="9"/>
  <c r="D13" i="9"/>
  <c r="C13" i="9"/>
  <c r="B13" i="9"/>
  <c r="I13" i="9" s="1"/>
  <c r="O13" i="9" s="1"/>
  <c r="P13" i="9" s="1"/>
  <c r="E12" i="9"/>
  <c r="T12" i="9" s="1"/>
  <c r="D12" i="9"/>
  <c r="C12" i="9"/>
  <c r="B12" i="9"/>
  <c r="I12" i="9" s="1"/>
  <c r="O12" i="9" s="1"/>
  <c r="P12" i="9" s="1"/>
  <c r="A12" i="9"/>
  <c r="E11" i="9"/>
  <c r="D11" i="9"/>
  <c r="C11" i="9"/>
  <c r="B11" i="9"/>
  <c r="I11" i="9" s="1"/>
  <c r="O11" i="9" s="1"/>
  <c r="P11" i="9" s="1"/>
  <c r="E10" i="9"/>
  <c r="D10" i="9"/>
  <c r="C10" i="9"/>
  <c r="B10" i="9"/>
  <c r="I10" i="9" s="1"/>
  <c r="O10" i="9" s="1"/>
  <c r="P10" i="9" s="1"/>
  <c r="E9" i="9"/>
  <c r="D9" i="9"/>
  <c r="C9" i="9"/>
  <c r="B9" i="9"/>
  <c r="I9" i="9" s="1"/>
  <c r="O9" i="9" s="1"/>
  <c r="P9" i="9" s="1"/>
  <c r="E8" i="9"/>
  <c r="T8" i="9" s="1"/>
  <c r="D8" i="9"/>
  <c r="C8" i="9"/>
  <c r="B8" i="9"/>
  <c r="I8" i="9" s="1"/>
  <c r="O8" i="9" s="1"/>
  <c r="P8" i="9" s="1"/>
  <c r="A8" i="9"/>
  <c r="E7" i="9"/>
  <c r="D7" i="9"/>
  <c r="C7" i="9"/>
  <c r="B7" i="9"/>
  <c r="I7" i="9" s="1"/>
  <c r="O7" i="9" s="1"/>
  <c r="P7" i="9" s="1"/>
  <c r="E6" i="9"/>
  <c r="D6" i="9"/>
  <c r="C6" i="9"/>
  <c r="B6" i="9"/>
  <c r="I6" i="9" s="1"/>
  <c r="O6" i="9" s="1"/>
  <c r="P6" i="9" s="1"/>
  <c r="E5" i="9"/>
  <c r="D5" i="9"/>
  <c r="C5" i="9"/>
  <c r="B5" i="9"/>
  <c r="I5" i="9" s="1"/>
  <c r="O5" i="9" s="1"/>
  <c r="P5" i="9" s="1"/>
  <c r="E4" i="9"/>
  <c r="T4" i="9" s="1"/>
  <c r="D4" i="9"/>
  <c r="C4" i="9"/>
  <c r="B4" i="9"/>
  <c r="I4" i="9" s="1"/>
  <c r="O4" i="9" s="1"/>
  <c r="P4" i="9" s="1"/>
  <c r="A4" i="9"/>
  <c r="E3" i="9"/>
  <c r="D3" i="9"/>
  <c r="C3" i="9"/>
  <c r="B3" i="9"/>
  <c r="G3" i="9" s="1"/>
  <c r="M3" i="9" s="1"/>
  <c r="B2" i="9"/>
  <c r="A3" i="9" l="1"/>
  <c r="A9" i="9"/>
  <c r="T9" i="9"/>
  <c r="R24" i="9"/>
  <c r="R31" i="9"/>
  <c r="A32" i="9"/>
  <c r="R33" i="9"/>
  <c r="A45" i="9"/>
  <c r="A48" i="9"/>
  <c r="T48" i="9"/>
  <c r="A53" i="9"/>
  <c r="I32" i="9"/>
  <c r="O32" i="9" s="1"/>
  <c r="P32" i="9" s="1"/>
  <c r="I35" i="9"/>
  <c r="O35" i="9" s="1"/>
  <c r="P35" i="9" s="1"/>
  <c r="A5" i="9"/>
  <c r="T5" i="9"/>
  <c r="A13" i="9"/>
  <c r="R18" i="9"/>
  <c r="I30" i="9"/>
  <c r="O30" i="9" s="1"/>
  <c r="P30" i="9" s="1"/>
  <c r="A33" i="9"/>
  <c r="A41" i="9"/>
  <c r="A52" i="9"/>
  <c r="I31" i="9"/>
  <c r="O31" i="9" s="1"/>
  <c r="P31" i="9" s="1"/>
  <c r="I33" i="9"/>
  <c r="O33" i="9" s="1"/>
  <c r="P33" i="9" s="1"/>
  <c r="I37" i="9"/>
  <c r="O37" i="9" s="1"/>
  <c r="P37" i="9" s="1"/>
  <c r="H21" i="9"/>
  <c r="K21" i="9" s="1"/>
  <c r="L21" i="9" s="1"/>
  <c r="H24" i="9"/>
  <c r="K24" i="9" s="1"/>
  <c r="L24" i="9" s="1"/>
  <c r="H50" i="9"/>
  <c r="K50" i="9" s="1"/>
  <c r="L50" i="9" s="1"/>
  <c r="H51" i="9"/>
  <c r="K51" i="9" s="1"/>
  <c r="L51" i="9" s="1"/>
  <c r="T13" i="9"/>
  <c r="R15" i="9"/>
  <c r="H18" i="9"/>
  <c r="K18" i="9" s="1"/>
  <c r="L18" i="9" s="1"/>
  <c r="A20" i="9"/>
  <c r="R21" i="9"/>
  <c r="H23" i="9"/>
  <c r="K23" i="9" s="1"/>
  <c r="L23" i="9" s="1"/>
  <c r="A25" i="9"/>
  <c r="I26" i="9"/>
  <c r="O26" i="9" s="1"/>
  <c r="P26" i="9" s="1"/>
  <c r="R27" i="9"/>
  <c r="I27" i="9"/>
  <c r="O27" i="9" s="1"/>
  <c r="P27" i="9" s="1"/>
  <c r="H28" i="9"/>
  <c r="K28" i="9" s="1"/>
  <c r="L28" i="9" s="1"/>
  <c r="R29" i="9"/>
  <c r="I29" i="9"/>
  <c r="O29" i="9" s="1"/>
  <c r="P29" i="9" s="1"/>
  <c r="I34" i="9"/>
  <c r="O34" i="9" s="1"/>
  <c r="P34" i="9" s="1"/>
  <c r="H36" i="9"/>
  <c r="K36" i="9" s="1"/>
  <c r="L36" i="9" s="1"/>
  <c r="H40" i="9"/>
  <c r="K40" i="9" s="1"/>
  <c r="L40" i="9" s="1"/>
  <c r="H41" i="9"/>
  <c r="K41" i="9" s="1"/>
  <c r="L41" i="9" s="1"/>
  <c r="S45" i="9"/>
  <c r="H48" i="9"/>
  <c r="K48" i="9" s="1"/>
  <c r="L48" i="9" s="1"/>
  <c r="H49" i="9"/>
  <c r="K49" i="9" s="1"/>
  <c r="L49" i="9" s="1"/>
  <c r="T53" i="9"/>
  <c r="H15" i="9"/>
  <c r="K15" i="9" s="1"/>
  <c r="L15" i="9" s="1"/>
  <c r="H16" i="9"/>
  <c r="K16" i="9" s="1"/>
  <c r="L16" i="9" s="1"/>
  <c r="H29" i="9"/>
  <c r="K29" i="9" s="1"/>
  <c r="L29" i="9" s="1"/>
  <c r="H34" i="9"/>
  <c r="K34" i="9" s="1"/>
  <c r="L34" i="9" s="1"/>
  <c r="H42" i="9"/>
  <c r="K42" i="9" s="1"/>
  <c r="L42" i="9" s="1"/>
  <c r="H43" i="9"/>
  <c r="K43" i="9" s="1"/>
  <c r="L43" i="9" s="1"/>
  <c r="H3" i="9"/>
  <c r="K3" i="9" s="1"/>
  <c r="L3" i="9" s="1"/>
  <c r="I3" i="9"/>
  <c r="O3" i="9" s="1"/>
  <c r="P3" i="9" s="1"/>
  <c r="A6" i="9"/>
  <c r="A10" i="9"/>
  <c r="A14" i="9"/>
  <c r="S15" i="9"/>
  <c r="H17" i="9"/>
  <c r="K17" i="9" s="1"/>
  <c r="L17" i="9" s="1"/>
  <c r="A19" i="9"/>
  <c r="R20" i="9"/>
  <c r="H20" i="9"/>
  <c r="K20" i="9" s="1"/>
  <c r="L20" i="9" s="1"/>
  <c r="S21" i="9"/>
  <c r="A22" i="9"/>
  <c r="R23" i="9"/>
  <c r="H25" i="9"/>
  <c r="K25" i="9" s="1"/>
  <c r="L25" i="9" s="1"/>
  <c r="I28" i="9"/>
  <c r="O28" i="9" s="1"/>
  <c r="P28" i="9" s="1"/>
  <c r="T30" i="9"/>
  <c r="T33" i="9"/>
  <c r="H35" i="9"/>
  <c r="K35" i="9" s="1"/>
  <c r="L35" i="9" s="1"/>
  <c r="I36" i="9"/>
  <c r="O36" i="9" s="1"/>
  <c r="P36" i="9" s="1"/>
  <c r="A39" i="9"/>
  <c r="T39" i="9"/>
  <c r="S42" i="9"/>
  <c r="S43" i="9"/>
  <c r="A44" i="9"/>
  <c r="T44" i="9"/>
  <c r="H46" i="9"/>
  <c r="K46" i="9" s="1"/>
  <c r="L46" i="9" s="1"/>
  <c r="H47" i="9"/>
  <c r="K47" i="9" s="1"/>
  <c r="L47" i="9" s="1"/>
  <c r="S51" i="9"/>
  <c r="S25" i="9"/>
  <c r="H26" i="9"/>
  <c r="K26" i="9" s="1"/>
  <c r="L26" i="9" s="1"/>
  <c r="H27" i="9"/>
  <c r="S47" i="9"/>
  <c r="S3" i="9"/>
  <c r="A7" i="9"/>
  <c r="A11" i="9"/>
  <c r="A15" i="9"/>
  <c r="A16" i="9"/>
  <c r="H19" i="9"/>
  <c r="K19" i="9" s="1"/>
  <c r="L19" i="9" s="1"/>
  <c r="A21" i="9"/>
  <c r="R22" i="9"/>
  <c r="H22" i="9"/>
  <c r="K22" i="9" s="1"/>
  <c r="L22" i="9" s="1"/>
  <c r="S23" i="9"/>
  <c r="A24" i="9"/>
  <c r="A27" i="9"/>
  <c r="T27" i="9"/>
  <c r="A29" i="9"/>
  <c r="H30" i="9"/>
  <c r="K30" i="9" s="1"/>
  <c r="L30" i="9" s="1"/>
  <c r="H31" i="9"/>
  <c r="K31" i="9" s="1"/>
  <c r="L31" i="9" s="1"/>
  <c r="H32" i="9"/>
  <c r="K32" i="9" s="1"/>
  <c r="L32" i="9" s="1"/>
  <c r="H33" i="9"/>
  <c r="K33" i="9" s="1"/>
  <c r="L33" i="9" s="1"/>
  <c r="A34" i="9"/>
  <c r="T34" i="9"/>
  <c r="H37" i="9"/>
  <c r="K37" i="9" s="1"/>
  <c r="L37" i="9" s="1"/>
  <c r="H39" i="9"/>
  <c r="K39" i="9" s="1"/>
  <c r="L39" i="9" s="1"/>
  <c r="S40" i="9"/>
  <c r="S41" i="9"/>
  <c r="A42" i="9"/>
  <c r="T42" i="9"/>
  <c r="A43" i="9"/>
  <c r="H44" i="9"/>
  <c r="K44" i="9" s="1"/>
  <c r="L44" i="9" s="1"/>
  <c r="H45" i="9"/>
  <c r="K45" i="9" s="1"/>
  <c r="L45" i="9" s="1"/>
  <c r="S48" i="9"/>
  <c r="S49" i="9"/>
  <c r="A50" i="9"/>
  <c r="T50" i="9"/>
  <c r="A51" i="9"/>
  <c r="A54" i="9"/>
  <c r="N16" i="9"/>
  <c r="N3" i="9"/>
  <c r="R3" i="9"/>
  <c r="T6" i="9"/>
  <c r="T10" i="9"/>
  <c r="T14" i="9"/>
  <c r="T7" i="9"/>
  <c r="T11" i="9"/>
  <c r="N36" i="9"/>
  <c r="G9" i="9"/>
  <c r="M9" i="9" s="1"/>
  <c r="G10" i="9"/>
  <c r="M10" i="9" s="1"/>
  <c r="G11" i="9"/>
  <c r="M11" i="9" s="1"/>
  <c r="G12" i="9"/>
  <c r="M12" i="9" s="1"/>
  <c r="G13" i="9"/>
  <c r="M13" i="9" s="1"/>
  <c r="G14" i="9"/>
  <c r="M14" i="9" s="1"/>
  <c r="N15" i="9"/>
  <c r="R16" i="9"/>
  <c r="N19" i="9"/>
  <c r="N21" i="9"/>
  <c r="N23" i="9"/>
  <c r="N25" i="9"/>
  <c r="G4" i="9"/>
  <c r="M4" i="9" s="1"/>
  <c r="G5" i="9"/>
  <c r="M5" i="9" s="1"/>
  <c r="G6" i="9"/>
  <c r="M6" i="9" s="1"/>
  <c r="G7" i="9"/>
  <c r="M7" i="9" s="1"/>
  <c r="G8" i="9"/>
  <c r="M8" i="9" s="1"/>
  <c r="H4" i="9"/>
  <c r="K4" i="9" s="1"/>
  <c r="L4" i="9" s="1"/>
  <c r="H5" i="9"/>
  <c r="K5" i="9" s="1"/>
  <c r="L5" i="9" s="1"/>
  <c r="H6" i="9"/>
  <c r="K6" i="9" s="1"/>
  <c r="L6" i="9" s="1"/>
  <c r="H7" i="9"/>
  <c r="K7" i="9" s="1"/>
  <c r="L7" i="9" s="1"/>
  <c r="H8" i="9"/>
  <c r="K8" i="9" s="1"/>
  <c r="L8" i="9" s="1"/>
  <c r="H9" i="9"/>
  <c r="K9" i="9" s="1"/>
  <c r="L9" i="9" s="1"/>
  <c r="H10" i="9"/>
  <c r="K10" i="9" s="1"/>
  <c r="L10" i="9" s="1"/>
  <c r="H11" i="9"/>
  <c r="K11" i="9" s="1"/>
  <c r="L11" i="9" s="1"/>
  <c r="H12" i="9"/>
  <c r="K12" i="9" s="1"/>
  <c r="L12" i="9" s="1"/>
  <c r="H13" i="9"/>
  <c r="K13" i="9" s="1"/>
  <c r="L13" i="9" s="1"/>
  <c r="H14" i="9"/>
  <c r="K14" i="9" s="1"/>
  <c r="L14" i="9" s="1"/>
  <c r="M18" i="9"/>
  <c r="M20" i="9"/>
  <c r="M22" i="9"/>
  <c r="M24" i="9"/>
  <c r="N34" i="9"/>
  <c r="N17" i="9"/>
  <c r="N28" i="9"/>
  <c r="S16" i="9"/>
  <c r="S22" i="9"/>
  <c r="S24" i="9"/>
  <c r="I15" i="9"/>
  <c r="I16" i="9"/>
  <c r="O16" i="9" s="1"/>
  <c r="P16" i="9" s="1"/>
  <c r="I17" i="9"/>
  <c r="O17" i="9" s="1"/>
  <c r="P17" i="9" s="1"/>
  <c r="I18" i="9"/>
  <c r="O18" i="9" s="1"/>
  <c r="P18" i="9" s="1"/>
  <c r="I19" i="9"/>
  <c r="O19" i="9" s="1"/>
  <c r="P19" i="9" s="1"/>
  <c r="I20" i="9"/>
  <c r="O20" i="9" s="1"/>
  <c r="P20" i="9" s="1"/>
  <c r="I21" i="9"/>
  <c r="O21" i="9" s="1"/>
  <c r="P21" i="9" s="1"/>
  <c r="I22" i="9"/>
  <c r="O22" i="9" s="1"/>
  <c r="P22" i="9" s="1"/>
  <c r="I23" i="9"/>
  <c r="O23" i="9" s="1"/>
  <c r="P23" i="9" s="1"/>
  <c r="I24" i="9"/>
  <c r="O24" i="9" s="1"/>
  <c r="P24" i="9" s="1"/>
  <c r="I25" i="9"/>
  <c r="O25" i="9" s="1"/>
  <c r="P25" i="9" s="1"/>
  <c r="T26" i="9"/>
  <c r="R28" i="9"/>
  <c r="R34" i="9"/>
  <c r="T35" i="9"/>
  <c r="R36" i="9"/>
  <c r="T41" i="9"/>
  <c r="T43" i="9"/>
  <c r="T45" i="9"/>
  <c r="T47" i="9"/>
  <c r="T49" i="9"/>
  <c r="T51" i="9"/>
  <c r="T29" i="9"/>
  <c r="T31" i="9"/>
  <c r="T54" i="9"/>
  <c r="R26" i="9"/>
  <c r="R32" i="9"/>
  <c r="R35" i="9"/>
  <c r="R37" i="9"/>
  <c r="A26" i="9"/>
  <c r="A30" i="9"/>
  <c r="A31" i="9"/>
  <c r="A35" i="9"/>
  <c r="A36" i="9"/>
  <c r="A37" i="9"/>
  <c r="R39" i="9"/>
  <c r="R47" i="9"/>
  <c r="I38" i="9"/>
  <c r="G38" i="9"/>
  <c r="M38" i="9" s="1"/>
  <c r="H38" i="9"/>
  <c r="K38" i="9" s="1"/>
  <c r="L38" i="9" s="1"/>
  <c r="G39" i="9"/>
  <c r="M39" i="9" s="1"/>
  <c r="G40" i="9"/>
  <c r="M40" i="9" s="1"/>
  <c r="G41" i="9"/>
  <c r="M41" i="9" s="1"/>
  <c r="G42" i="9"/>
  <c r="M42" i="9" s="1"/>
  <c r="G43" i="9"/>
  <c r="M43" i="9" s="1"/>
  <c r="G44" i="9"/>
  <c r="M44" i="9" s="1"/>
  <c r="G45" i="9"/>
  <c r="M45" i="9" s="1"/>
  <c r="G46" i="9"/>
  <c r="M46" i="9" s="1"/>
  <c r="G47" i="9"/>
  <c r="M47" i="9" s="1"/>
  <c r="G48" i="9"/>
  <c r="M48" i="9" s="1"/>
  <c r="G49" i="9"/>
  <c r="M49" i="9" s="1"/>
  <c r="G50" i="9"/>
  <c r="M50" i="9" s="1"/>
  <c r="G51" i="9"/>
  <c r="M51" i="9" s="1"/>
  <c r="G52" i="9"/>
  <c r="M52" i="9" s="1"/>
  <c r="G53" i="9"/>
  <c r="M53" i="9" s="1"/>
  <c r="G54" i="9"/>
  <c r="M54" i="9" s="1"/>
  <c r="H52" i="9"/>
  <c r="K52" i="9" s="1"/>
  <c r="L52" i="9" s="1"/>
  <c r="H53" i="9"/>
  <c r="K53" i="9" s="1"/>
  <c r="L53" i="9" s="1"/>
  <c r="H54" i="9"/>
  <c r="K54" i="9" s="1"/>
  <c r="L54" i="9" s="1"/>
  <c r="R50" i="9" l="1"/>
  <c r="T37" i="9"/>
  <c r="T32" i="9"/>
  <c r="S20" i="9"/>
  <c r="U3" i="9"/>
  <c r="W3" i="9" s="1"/>
  <c r="U23" i="9"/>
  <c r="W23" i="9" s="1"/>
  <c r="S18" i="9"/>
  <c r="S50" i="9"/>
  <c r="T3" i="9"/>
  <c r="V3" i="9" s="1"/>
  <c r="S36" i="9"/>
  <c r="S28" i="9"/>
  <c r="U28" i="9" s="1"/>
  <c r="S37" i="9"/>
  <c r="V37" i="9" s="1"/>
  <c r="S30" i="9"/>
  <c r="R42" i="9"/>
  <c r="T19" i="9"/>
  <c r="R5" i="9"/>
  <c r="T28" i="9"/>
  <c r="S34" i="9"/>
  <c r="S26" i="9"/>
  <c r="S44" i="9"/>
  <c r="S29" i="9"/>
  <c r="R44" i="9"/>
  <c r="S35" i="9"/>
  <c r="R52" i="9"/>
  <c r="S39" i="9"/>
  <c r="S53" i="9"/>
  <c r="U25" i="9"/>
  <c r="W25" i="9" s="1"/>
  <c r="X25" i="9" s="1"/>
  <c r="U21" i="9"/>
  <c r="W21" i="9" s="1"/>
  <c r="T20" i="9"/>
  <c r="T23" i="9"/>
  <c r="V23" i="9" s="1"/>
  <c r="T22" i="9"/>
  <c r="K27" i="9"/>
  <c r="L27" i="9" s="1"/>
  <c r="S27" i="9"/>
  <c r="S19" i="9"/>
  <c r="S33" i="9"/>
  <c r="S46" i="9"/>
  <c r="V32" i="9"/>
  <c r="R4" i="9"/>
  <c r="T36" i="9"/>
  <c r="V36" i="9" s="1"/>
  <c r="S32" i="9"/>
  <c r="S17" i="9"/>
  <c r="U17" i="9" s="1"/>
  <c r="S31" i="9"/>
  <c r="N53" i="9"/>
  <c r="V53" i="9" s="1"/>
  <c r="R45" i="9"/>
  <c r="N52" i="9"/>
  <c r="N48" i="9"/>
  <c r="V48" i="9" s="1"/>
  <c r="N44" i="9"/>
  <c r="V44" i="9" s="1"/>
  <c r="N40" i="9"/>
  <c r="V40" i="9" s="1"/>
  <c r="R48" i="9"/>
  <c r="R40" i="9"/>
  <c r="N38" i="9"/>
  <c r="R51" i="9"/>
  <c r="R43" i="9"/>
  <c r="R53" i="9"/>
  <c r="R38" i="9"/>
  <c r="N22" i="9"/>
  <c r="N18" i="9"/>
  <c r="N6" i="9"/>
  <c r="N13" i="9"/>
  <c r="N9" i="9"/>
  <c r="T18" i="9"/>
  <c r="T16" i="9"/>
  <c r="R9" i="9"/>
  <c r="S4" i="9"/>
  <c r="S9" i="9"/>
  <c r="R8" i="9"/>
  <c r="S13" i="9"/>
  <c r="S14" i="9"/>
  <c r="S6" i="9"/>
  <c r="R14" i="9"/>
  <c r="N49" i="9"/>
  <c r="V49" i="9" s="1"/>
  <c r="U53" i="9"/>
  <c r="V16" i="9"/>
  <c r="U16" i="9"/>
  <c r="W16" i="9" s="1"/>
  <c r="N10" i="9"/>
  <c r="R7" i="9"/>
  <c r="N51" i="9"/>
  <c r="V51" i="9" s="1"/>
  <c r="N47" i="9"/>
  <c r="V47" i="9" s="1"/>
  <c r="N43" i="9"/>
  <c r="V43" i="9" s="1"/>
  <c r="N39" i="9"/>
  <c r="R46" i="9"/>
  <c r="S54" i="9"/>
  <c r="T38" i="9"/>
  <c r="O38" i="9"/>
  <c r="P38" i="9" s="1"/>
  <c r="R49" i="9"/>
  <c r="R41" i="9"/>
  <c r="S38" i="9"/>
  <c r="T25" i="9"/>
  <c r="V25" i="9" s="1"/>
  <c r="O15" i="9"/>
  <c r="T15" i="9"/>
  <c r="U32" i="9"/>
  <c r="V22" i="9"/>
  <c r="U22" i="9"/>
  <c r="W22" i="9" s="1"/>
  <c r="X22" i="9" s="1"/>
  <c r="T21" i="9"/>
  <c r="V21" i="9" s="1"/>
  <c r="T17" i="9"/>
  <c r="V17" i="9" s="1"/>
  <c r="N5" i="9"/>
  <c r="U37" i="9"/>
  <c r="N12" i="9"/>
  <c r="R13" i="9"/>
  <c r="S8" i="9"/>
  <c r="R6" i="9"/>
  <c r="R12" i="9"/>
  <c r="S7" i="9"/>
  <c r="R11" i="9"/>
  <c r="R10" i="9"/>
  <c r="N45" i="9"/>
  <c r="V45" i="9" s="1"/>
  <c r="N41" i="9"/>
  <c r="V41" i="9" s="1"/>
  <c r="N7" i="9"/>
  <c r="U42" i="9"/>
  <c r="W42" i="9" s="1"/>
  <c r="N14" i="9"/>
  <c r="N54" i="9"/>
  <c r="N50" i="9"/>
  <c r="V50" i="9" s="1"/>
  <c r="N46" i="9"/>
  <c r="N42" i="9"/>
  <c r="V42" i="9" s="1"/>
  <c r="V39" i="9"/>
  <c r="R54" i="9"/>
  <c r="U47" i="9"/>
  <c r="W47" i="9" s="1"/>
  <c r="U35" i="9"/>
  <c r="U36" i="9"/>
  <c r="N24" i="9"/>
  <c r="U24" i="9" s="1"/>
  <c r="W24" i="9" s="1"/>
  <c r="X24" i="9" s="1"/>
  <c r="N20" i="9"/>
  <c r="V20" i="9" s="1"/>
  <c r="N8" i="9"/>
  <c r="N4" i="9"/>
  <c r="S52" i="9"/>
  <c r="U26" i="9"/>
  <c r="N11" i="9"/>
  <c r="T24" i="9"/>
  <c r="V24" i="9" s="1"/>
  <c r="S12" i="9"/>
  <c r="S11" i="9"/>
  <c r="S10" i="9"/>
  <c r="S5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3" i="8"/>
  <c r="B54" i="8"/>
  <c r="I54" i="8" s="1"/>
  <c r="O54" i="8" s="1"/>
  <c r="P54" i="8" s="1"/>
  <c r="B53" i="8"/>
  <c r="G53" i="8" s="1"/>
  <c r="M53" i="8" s="1"/>
  <c r="N53" i="8" s="1"/>
  <c r="B52" i="8"/>
  <c r="I52" i="8" s="1"/>
  <c r="O52" i="8" s="1"/>
  <c r="P52" i="8" s="1"/>
  <c r="B51" i="8"/>
  <c r="G51" i="8" s="1"/>
  <c r="M51" i="8" s="1"/>
  <c r="N51" i="8" s="1"/>
  <c r="B50" i="8"/>
  <c r="I50" i="8" s="1"/>
  <c r="O50" i="8" s="1"/>
  <c r="P50" i="8" s="1"/>
  <c r="B49" i="8"/>
  <c r="G49" i="8" s="1"/>
  <c r="M49" i="8" s="1"/>
  <c r="N49" i="8" s="1"/>
  <c r="B48" i="8"/>
  <c r="I48" i="8" s="1"/>
  <c r="O48" i="8" s="1"/>
  <c r="P48" i="8" s="1"/>
  <c r="B47" i="8"/>
  <c r="G47" i="8" s="1"/>
  <c r="M47" i="8" s="1"/>
  <c r="N47" i="8" s="1"/>
  <c r="B46" i="8"/>
  <c r="I46" i="8" s="1"/>
  <c r="O46" i="8" s="1"/>
  <c r="P46" i="8" s="1"/>
  <c r="B45" i="8"/>
  <c r="G45" i="8" s="1"/>
  <c r="M45" i="8" s="1"/>
  <c r="N45" i="8" s="1"/>
  <c r="B44" i="8"/>
  <c r="I44" i="8" s="1"/>
  <c r="O44" i="8" s="1"/>
  <c r="P44" i="8" s="1"/>
  <c r="B43" i="8"/>
  <c r="G43" i="8" s="1"/>
  <c r="M43" i="8" s="1"/>
  <c r="N43" i="8" s="1"/>
  <c r="B42" i="8"/>
  <c r="I42" i="8" s="1"/>
  <c r="O42" i="8" s="1"/>
  <c r="P42" i="8" s="1"/>
  <c r="B41" i="8"/>
  <c r="G41" i="8" s="1"/>
  <c r="M41" i="8" s="1"/>
  <c r="N41" i="8" s="1"/>
  <c r="B40" i="8"/>
  <c r="I40" i="8" s="1"/>
  <c r="O40" i="8" s="1"/>
  <c r="P40" i="8" s="1"/>
  <c r="B39" i="8"/>
  <c r="G39" i="8" s="1"/>
  <c r="M39" i="8" s="1"/>
  <c r="N39" i="8" s="1"/>
  <c r="B38" i="8"/>
  <c r="I38" i="8" s="1"/>
  <c r="O38" i="8" s="1"/>
  <c r="P38" i="8" s="1"/>
  <c r="B37" i="8"/>
  <c r="G37" i="8" s="1"/>
  <c r="M37" i="8" s="1"/>
  <c r="N37" i="8" s="1"/>
  <c r="B36" i="8"/>
  <c r="I36" i="8" s="1"/>
  <c r="O36" i="8" s="1"/>
  <c r="P36" i="8" s="1"/>
  <c r="B35" i="8"/>
  <c r="G35" i="8" s="1"/>
  <c r="M35" i="8" s="1"/>
  <c r="N35" i="8" s="1"/>
  <c r="B34" i="8"/>
  <c r="I34" i="8" s="1"/>
  <c r="O34" i="8" s="1"/>
  <c r="P34" i="8" s="1"/>
  <c r="B33" i="8"/>
  <c r="G33" i="8" s="1"/>
  <c r="M33" i="8" s="1"/>
  <c r="N33" i="8" s="1"/>
  <c r="B32" i="8"/>
  <c r="I32" i="8" s="1"/>
  <c r="O32" i="8" s="1"/>
  <c r="P32" i="8" s="1"/>
  <c r="B31" i="8"/>
  <c r="H31" i="8" s="1"/>
  <c r="K31" i="8" s="1"/>
  <c r="L31" i="8" s="1"/>
  <c r="B30" i="8"/>
  <c r="H30" i="8" s="1"/>
  <c r="K30" i="8" s="1"/>
  <c r="L30" i="8" s="1"/>
  <c r="B29" i="8"/>
  <c r="I29" i="8" s="1"/>
  <c r="O29" i="8" s="1"/>
  <c r="P29" i="8" s="1"/>
  <c r="B28" i="8"/>
  <c r="H28" i="8" s="1"/>
  <c r="K28" i="8" s="1"/>
  <c r="L28" i="8" s="1"/>
  <c r="B27" i="8"/>
  <c r="H27" i="8" s="1"/>
  <c r="K27" i="8" s="1"/>
  <c r="L27" i="8" s="1"/>
  <c r="B26" i="8"/>
  <c r="H26" i="8" s="1"/>
  <c r="K26" i="8" s="1"/>
  <c r="L26" i="8" s="1"/>
  <c r="B25" i="8"/>
  <c r="H25" i="8" s="1"/>
  <c r="K25" i="8" s="1"/>
  <c r="L25" i="8" s="1"/>
  <c r="B24" i="8"/>
  <c r="H24" i="8" s="1"/>
  <c r="K24" i="8" s="1"/>
  <c r="L24" i="8" s="1"/>
  <c r="B23" i="8"/>
  <c r="I23" i="8" s="1"/>
  <c r="O23" i="8" s="1"/>
  <c r="P23" i="8" s="1"/>
  <c r="B22" i="8"/>
  <c r="H22" i="8" s="1"/>
  <c r="K22" i="8" s="1"/>
  <c r="L22" i="8" s="1"/>
  <c r="B21" i="8"/>
  <c r="H21" i="8" s="1"/>
  <c r="K21" i="8" s="1"/>
  <c r="L21" i="8" s="1"/>
  <c r="B20" i="8"/>
  <c r="H20" i="8" s="1"/>
  <c r="K20" i="8" s="1"/>
  <c r="L20" i="8" s="1"/>
  <c r="B19" i="8"/>
  <c r="H19" i="8" s="1"/>
  <c r="K19" i="8" s="1"/>
  <c r="L19" i="8" s="1"/>
  <c r="B18" i="8"/>
  <c r="H18" i="8" s="1"/>
  <c r="K18" i="8" s="1"/>
  <c r="L18" i="8" s="1"/>
  <c r="B17" i="8"/>
  <c r="H17" i="8" s="1"/>
  <c r="K17" i="8" s="1"/>
  <c r="L17" i="8" s="1"/>
  <c r="B16" i="8"/>
  <c r="H16" i="8" s="1"/>
  <c r="K16" i="8" s="1"/>
  <c r="L16" i="8" s="1"/>
  <c r="B15" i="8"/>
  <c r="H15" i="8" s="1"/>
  <c r="K15" i="8" s="1"/>
  <c r="L15" i="8" s="1"/>
  <c r="B14" i="8"/>
  <c r="H14" i="8" s="1"/>
  <c r="K14" i="8" s="1"/>
  <c r="L14" i="8" s="1"/>
  <c r="B13" i="8"/>
  <c r="H13" i="8" s="1"/>
  <c r="K13" i="8" s="1"/>
  <c r="L13" i="8" s="1"/>
  <c r="B12" i="8"/>
  <c r="G12" i="8" s="1"/>
  <c r="M12" i="8" s="1"/>
  <c r="N12" i="8" s="1"/>
  <c r="B11" i="8"/>
  <c r="I11" i="8" s="1"/>
  <c r="O11" i="8" s="1"/>
  <c r="P11" i="8" s="1"/>
  <c r="B10" i="8"/>
  <c r="G10" i="8" s="1"/>
  <c r="M10" i="8" s="1"/>
  <c r="N10" i="8" s="1"/>
  <c r="B9" i="8"/>
  <c r="I9" i="8" s="1"/>
  <c r="O9" i="8" s="1"/>
  <c r="P9" i="8" s="1"/>
  <c r="B8" i="8"/>
  <c r="G8" i="8" s="1"/>
  <c r="M8" i="8" s="1"/>
  <c r="N8" i="8" s="1"/>
  <c r="B7" i="8"/>
  <c r="I7" i="8" s="1"/>
  <c r="O7" i="8" s="1"/>
  <c r="P7" i="8" s="1"/>
  <c r="B6" i="8"/>
  <c r="G6" i="8" s="1"/>
  <c r="M6" i="8" s="1"/>
  <c r="N6" i="8" s="1"/>
  <c r="B5" i="8"/>
  <c r="I5" i="8" s="1"/>
  <c r="O5" i="8" s="1"/>
  <c r="P5" i="8" s="1"/>
  <c r="B4" i="8"/>
  <c r="G4" i="8" s="1"/>
  <c r="M4" i="8" s="1"/>
  <c r="B3" i="8"/>
  <c r="I3" i="8" s="1"/>
  <c r="O3" i="8" s="1"/>
  <c r="P3" i="8" s="1"/>
  <c r="B2" i="8"/>
  <c r="X23" i="9" l="1"/>
  <c r="R10" i="8"/>
  <c r="R6" i="8"/>
  <c r="S25" i="8"/>
  <c r="S21" i="8"/>
  <c r="S17" i="8"/>
  <c r="S13" i="8"/>
  <c r="T34" i="8"/>
  <c r="T54" i="8"/>
  <c r="T46" i="8"/>
  <c r="T38" i="8"/>
  <c r="W13" i="9"/>
  <c r="W32" i="9"/>
  <c r="W53" i="9"/>
  <c r="U34" i="9"/>
  <c r="W34" i="9" s="1"/>
  <c r="T5" i="8"/>
  <c r="W54" i="9"/>
  <c r="X54" i="9" s="1"/>
  <c r="U29" i="9"/>
  <c r="W29" i="9"/>
  <c r="X29" i="9" s="1"/>
  <c r="V28" i="9"/>
  <c r="R12" i="8"/>
  <c r="R8" i="8"/>
  <c r="T50" i="8"/>
  <c r="W6" i="9"/>
  <c r="W9" i="9"/>
  <c r="W37" i="9"/>
  <c r="X37" i="9" s="1"/>
  <c r="W28" i="9"/>
  <c r="S30" i="8"/>
  <c r="S26" i="8"/>
  <c r="S22" i="8"/>
  <c r="S18" i="8"/>
  <c r="S14" i="8"/>
  <c r="T42" i="8"/>
  <c r="T7" i="8"/>
  <c r="T23" i="8"/>
  <c r="T11" i="8"/>
  <c r="T3" i="8"/>
  <c r="W17" i="9"/>
  <c r="X17" i="9" s="1"/>
  <c r="U19" i="9"/>
  <c r="W19" i="9"/>
  <c r="V35" i="9"/>
  <c r="W35" i="9"/>
  <c r="V26" i="9"/>
  <c r="W26" i="9"/>
  <c r="X26" i="9" s="1"/>
  <c r="W36" i="9"/>
  <c r="N4" i="8"/>
  <c r="R4" i="8"/>
  <c r="S24" i="8"/>
  <c r="S16" i="8"/>
  <c r="R53" i="8"/>
  <c r="R49" i="8"/>
  <c r="R45" i="8"/>
  <c r="R41" i="8"/>
  <c r="R37" i="8"/>
  <c r="R33" i="8"/>
  <c r="T48" i="8"/>
  <c r="T40" i="8"/>
  <c r="T32" i="8"/>
  <c r="S31" i="8"/>
  <c r="S27" i="8"/>
  <c r="S19" i="8"/>
  <c r="S15" i="8"/>
  <c r="H3" i="8"/>
  <c r="S28" i="8"/>
  <c r="S20" i="8"/>
  <c r="T29" i="8"/>
  <c r="S3" i="8"/>
  <c r="R51" i="8"/>
  <c r="R47" i="8"/>
  <c r="R43" i="8"/>
  <c r="R39" i="8"/>
  <c r="R35" i="8"/>
  <c r="T52" i="8"/>
  <c r="T44" i="8"/>
  <c r="T36" i="8"/>
  <c r="T9" i="8"/>
  <c r="U50" i="9"/>
  <c r="W50" i="9" s="1"/>
  <c r="X50" i="9" s="1"/>
  <c r="U31" i="9"/>
  <c r="W31" i="9" s="1"/>
  <c r="V31" i="9"/>
  <c r="U33" i="9"/>
  <c r="W33" i="9" s="1"/>
  <c r="X33" i="9" s="1"/>
  <c r="V33" i="9"/>
  <c r="V18" i="9"/>
  <c r="V46" i="9"/>
  <c r="V19" i="9"/>
  <c r="U39" i="9"/>
  <c r="W39" i="9" s="1"/>
  <c r="V29" i="9"/>
  <c r="U27" i="9"/>
  <c r="W27" i="9" s="1"/>
  <c r="X27" i="9" s="1"/>
  <c r="V27" i="9"/>
  <c r="V34" i="9"/>
  <c r="V30" i="9"/>
  <c r="U30" i="9"/>
  <c r="W30" i="9" s="1"/>
  <c r="X30" i="9" s="1"/>
  <c r="V12" i="9"/>
  <c r="U12" i="9"/>
  <c r="W12" i="9" s="1"/>
  <c r="U45" i="9"/>
  <c r="W45" i="9" s="1"/>
  <c r="V5" i="9"/>
  <c r="U5" i="9"/>
  <c r="W5" i="9" s="1"/>
  <c r="X5" i="9" s="1"/>
  <c r="V7" i="9"/>
  <c r="U7" i="9"/>
  <c r="W7" i="9" s="1"/>
  <c r="X7" i="9" s="1"/>
  <c r="U18" i="9"/>
  <c r="W18" i="9" s="1"/>
  <c r="X18" i="9" s="1"/>
  <c r="U41" i="9"/>
  <c r="W41" i="9" s="1"/>
  <c r="V54" i="9"/>
  <c r="U54" i="9"/>
  <c r="V14" i="9"/>
  <c r="W14" i="9" s="1"/>
  <c r="X14" i="9" s="1"/>
  <c r="U14" i="9"/>
  <c r="V9" i="9"/>
  <c r="U9" i="9"/>
  <c r="P15" i="9"/>
  <c r="U15" i="9" s="1"/>
  <c r="U6" i="9"/>
  <c r="V6" i="9"/>
  <c r="U10" i="9"/>
  <c r="W10" i="9" s="1"/>
  <c r="X10" i="9" s="1"/>
  <c r="V10" i="9"/>
  <c r="V52" i="9"/>
  <c r="U52" i="9"/>
  <c r="W52" i="9" s="1"/>
  <c r="X52" i="9" s="1"/>
  <c r="U49" i="9"/>
  <c r="W49" i="9" s="1"/>
  <c r="U46" i="9"/>
  <c r="W46" i="9" s="1"/>
  <c r="U13" i="9"/>
  <c r="V13" i="9"/>
  <c r="V4" i="9"/>
  <c r="U4" i="9"/>
  <c r="W4" i="9" s="1"/>
  <c r="U43" i="9"/>
  <c r="W43" i="9" s="1"/>
  <c r="X43" i="9" s="1"/>
  <c r="U40" i="9"/>
  <c r="W40" i="9" s="1"/>
  <c r="U20" i="9"/>
  <c r="W20" i="9" s="1"/>
  <c r="V8" i="9"/>
  <c r="W8" i="9" s="1"/>
  <c r="X8" i="9" s="1"/>
  <c r="U8" i="9"/>
  <c r="U11" i="9"/>
  <c r="W11" i="9" s="1"/>
  <c r="X11" i="9" s="1"/>
  <c r="V11" i="9"/>
  <c r="V38" i="9"/>
  <c r="W38" i="9" s="1"/>
  <c r="X38" i="9" s="1"/>
  <c r="U38" i="9"/>
  <c r="U51" i="9"/>
  <c r="W51" i="9" s="1"/>
  <c r="U48" i="9"/>
  <c r="W48" i="9" s="1"/>
  <c r="X48" i="9" s="1"/>
  <c r="U44" i="9"/>
  <c r="W44" i="9" s="1"/>
  <c r="X44" i="9" s="1"/>
  <c r="T14" i="8"/>
  <c r="A49" i="8"/>
  <c r="I26" i="8"/>
  <c r="O26" i="8" s="1"/>
  <c r="P26" i="8" s="1"/>
  <c r="I31" i="8"/>
  <c r="A47" i="8"/>
  <c r="I18" i="8"/>
  <c r="O18" i="8" s="1"/>
  <c r="P18" i="8" s="1"/>
  <c r="G27" i="8"/>
  <c r="R27" i="8" s="1"/>
  <c r="I21" i="8"/>
  <c r="T21" i="8" s="1"/>
  <c r="I15" i="8"/>
  <c r="T15" i="8" s="1"/>
  <c r="G18" i="8"/>
  <c r="M18" i="8" s="1"/>
  <c r="A21" i="8"/>
  <c r="G26" i="8"/>
  <c r="M26" i="8" s="1"/>
  <c r="I27" i="8"/>
  <c r="T27" i="8" s="1"/>
  <c r="I37" i="8"/>
  <c r="T37" i="8" s="1"/>
  <c r="G54" i="8"/>
  <c r="R54" i="8" s="1"/>
  <c r="I17" i="8"/>
  <c r="T17" i="8" s="1"/>
  <c r="G21" i="8"/>
  <c r="R21" i="8" s="1"/>
  <c r="G22" i="8"/>
  <c r="M22" i="8" s="1"/>
  <c r="G28" i="8"/>
  <c r="R28" i="8" s="1"/>
  <c r="A31" i="8"/>
  <c r="G32" i="8"/>
  <c r="G38" i="8"/>
  <c r="M38" i="8" s="1"/>
  <c r="H47" i="8"/>
  <c r="I49" i="8"/>
  <c r="T49" i="8" s="1"/>
  <c r="I14" i="8"/>
  <c r="G40" i="8"/>
  <c r="R40" i="8" s="1"/>
  <c r="A6" i="8"/>
  <c r="I22" i="8"/>
  <c r="T22" i="8" s="1"/>
  <c r="I28" i="8"/>
  <c r="T28" i="8" s="1"/>
  <c r="I8" i="8"/>
  <c r="T8" i="8" s="1"/>
  <c r="H10" i="8"/>
  <c r="S10" i="8" s="1"/>
  <c r="A18" i="8"/>
  <c r="A24" i="8"/>
  <c r="A26" i="8"/>
  <c r="G29" i="8"/>
  <c r="R29" i="8" s="1"/>
  <c r="A33" i="8"/>
  <c r="H39" i="8"/>
  <c r="S39" i="8" s="1"/>
  <c r="A41" i="8"/>
  <c r="G46" i="8"/>
  <c r="R46" i="8" s="1"/>
  <c r="I47" i="8"/>
  <c r="T47" i="8" s="1"/>
  <c r="G50" i="8"/>
  <c r="R50" i="8" s="1"/>
  <c r="H53" i="8"/>
  <c r="S53" i="8" s="1"/>
  <c r="I10" i="8"/>
  <c r="T10" i="8" s="1"/>
  <c r="A14" i="8"/>
  <c r="A15" i="8"/>
  <c r="A17" i="8"/>
  <c r="A20" i="8"/>
  <c r="H29" i="8"/>
  <c r="S29" i="8" s="1"/>
  <c r="I39" i="8"/>
  <c r="T39" i="8" s="1"/>
  <c r="A8" i="8"/>
  <c r="A10" i="8"/>
  <c r="A25" i="8"/>
  <c r="H37" i="8"/>
  <c r="S37" i="8" s="1"/>
  <c r="A39" i="8"/>
  <c r="H45" i="8"/>
  <c r="S45" i="8" s="1"/>
  <c r="G48" i="8"/>
  <c r="R48" i="8" s="1"/>
  <c r="H4" i="8"/>
  <c r="S4" i="8" s="1"/>
  <c r="H12" i="8"/>
  <c r="S12" i="8" s="1"/>
  <c r="G13" i="8"/>
  <c r="R13" i="8" s="1"/>
  <c r="I4" i="8"/>
  <c r="T4" i="8" s="1"/>
  <c r="H6" i="8"/>
  <c r="S6" i="8" s="1"/>
  <c r="I12" i="8"/>
  <c r="T12" i="8" s="1"/>
  <c r="I13" i="8"/>
  <c r="T13" i="8" s="1"/>
  <c r="G16" i="8"/>
  <c r="R16" i="8" s="1"/>
  <c r="G19" i="8"/>
  <c r="R19" i="8" s="1"/>
  <c r="G23" i="8"/>
  <c r="R23" i="8" s="1"/>
  <c r="G30" i="8"/>
  <c r="R30" i="8" s="1"/>
  <c r="H35" i="8"/>
  <c r="S35" i="8" s="1"/>
  <c r="G36" i="8"/>
  <c r="R36" i="8" s="1"/>
  <c r="H43" i="8"/>
  <c r="S43" i="8" s="1"/>
  <c r="G44" i="8"/>
  <c r="R44" i="8" s="1"/>
  <c r="I45" i="8"/>
  <c r="T45" i="8" s="1"/>
  <c r="H51" i="8"/>
  <c r="S51" i="8" s="1"/>
  <c r="G52" i="8"/>
  <c r="R52" i="8" s="1"/>
  <c r="I53" i="8"/>
  <c r="T53" i="8" s="1"/>
  <c r="A4" i="8"/>
  <c r="I6" i="8"/>
  <c r="T6" i="8" s="1"/>
  <c r="H8" i="8"/>
  <c r="S8" i="8" s="1"/>
  <c r="A12" i="8"/>
  <c r="A13" i="8"/>
  <c r="G14" i="8"/>
  <c r="M14" i="8" s="1"/>
  <c r="I16" i="8"/>
  <c r="T16" i="8" s="1"/>
  <c r="G17" i="8"/>
  <c r="R17" i="8" s="1"/>
  <c r="I19" i="8"/>
  <c r="T19" i="8" s="1"/>
  <c r="G20" i="8"/>
  <c r="R20" i="8" s="1"/>
  <c r="A22" i="8"/>
  <c r="H23" i="8"/>
  <c r="S23" i="8" s="1"/>
  <c r="G24" i="8"/>
  <c r="R24" i="8" s="1"/>
  <c r="G25" i="8"/>
  <c r="M25" i="8" s="1"/>
  <c r="A27" i="8"/>
  <c r="A28" i="8"/>
  <c r="A29" i="8"/>
  <c r="I30" i="8"/>
  <c r="T30" i="8" s="1"/>
  <c r="G31" i="8"/>
  <c r="R31" i="8" s="1"/>
  <c r="H33" i="8"/>
  <c r="S33" i="8" s="1"/>
  <c r="G34" i="8"/>
  <c r="R34" i="8" s="1"/>
  <c r="I35" i="8"/>
  <c r="T35" i="8" s="1"/>
  <c r="A37" i="8"/>
  <c r="H41" i="8"/>
  <c r="S41" i="8" s="1"/>
  <c r="G42" i="8"/>
  <c r="R42" i="8" s="1"/>
  <c r="I43" i="8"/>
  <c r="T43" i="8" s="1"/>
  <c r="A45" i="8"/>
  <c r="H49" i="8"/>
  <c r="S49" i="8" s="1"/>
  <c r="I51" i="8"/>
  <c r="T51" i="8" s="1"/>
  <c r="A53" i="8"/>
  <c r="G15" i="8"/>
  <c r="R15" i="8" s="1"/>
  <c r="A16" i="8"/>
  <c r="A19" i="8"/>
  <c r="I20" i="8"/>
  <c r="T20" i="8" s="1"/>
  <c r="A23" i="8"/>
  <c r="I24" i="8"/>
  <c r="T24" i="8" s="1"/>
  <c r="I25" i="8"/>
  <c r="T25" i="8" s="1"/>
  <c r="A30" i="8"/>
  <c r="I33" i="8"/>
  <c r="T33" i="8" s="1"/>
  <c r="A35" i="8"/>
  <c r="I41" i="8"/>
  <c r="T41" i="8" s="1"/>
  <c r="A43" i="8"/>
  <c r="A51" i="8"/>
  <c r="G9" i="8"/>
  <c r="R9" i="8" s="1"/>
  <c r="G11" i="8"/>
  <c r="R11" i="8" s="1"/>
  <c r="G3" i="8"/>
  <c r="R3" i="8" s="1"/>
  <c r="G5" i="8"/>
  <c r="R5" i="8" s="1"/>
  <c r="G7" i="8"/>
  <c r="R7" i="8" s="1"/>
  <c r="H5" i="8"/>
  <c r="S5" i="8" s="1"/>
  <c r="H7" i="8"/>
  <c r="S7" i="8" s="1"/>
  <c r="H9" i="8"/>
  <c r="S9" i="8" s="1"/>
  <c r="H11" i="8"/>
  <c r="S11" i="8" s="1"/>
  <c r="A3" i="8"/>
  <c r="A5" i="8"/>
  <c r="A7" i="8"/>
  <c r="A9" i="8"/>
  <c r="A11" i="8"/>
  <c r="H32" i="8"/>
  <c r="S32" i="8" s="1"/>
  <c r="H34" i="8"/>
  <c r="S34" i="8" s="1"/>
  <c r="H36" i="8"/>
  <c r="S36" i="8" s="1"/>
  <c r="H38" i="8"/>
  <c r="S38" i="8" s="1"/>
  <c r="H40" i="8"/>
  <c r="S40" i="8" s="1"/>
  <c r="H42" i="8"/>
  <c r="S42" i="8" s="1"/>
  <c r="H44" i="8"/>
  <c r="S44" i="8" s="1"/>
  <c r="H46" i="8"/>
  <c r="S46" i="8" s="1"/>
  <c r="H48" i="8"/>
  <c r="S48" i="8" s="1"/>
  <c r="H50" i="8"/>
  <c r="S50" i="8" s="1"/>
  <c r="H52" i="8"/>
  <c r="S52" i="8" s="1"/>
  <c r="H54" i="8"/>
  <c r="S54" i="8" s="1"/>
  <c r="A32" i="8"/>
  <c r="A34" i="8"/>
  <c r="A36" i="8"/>
  <c r="A38" i="8"/>
  <c r="A40" i="8"/>
  <c r="A42" i="8"/>
  <c r="A44" i="8"/>
  <c r="A46" i="8"/>
  <c r="A48" i="8"/>
  <c r="A50" i="8"/>
  <c r="A52" i="8"/>
  <c r="A54" i="8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X4" i="9" l="1"/>
  <c r="X46" i="9"/>
  <c r="X47" i="9"/>
  <c r="X34" i="9"/>
  <c r="X20" i="9"/>
  <c r="X21" i="9"/>
  <c r="X31" i="9"/>
  <c r="X12" i="9"/>
  <c r="X39" i="9"/>
  <c r="X19" i="9"/>
  <c r="X9" i="9"/>
  <c r="X13" i="9"/>
  <c r="X6" i="9"/>
  <c r="X51" i="9"/>
  <c r="X40" i="9"/>
  <c r="X35" i="9"/>
  <c r="X49" i="9"/>
  <c r="X45" i="9"/>
  <c r="X53" i="9"/>
  <c r="X41" i="9"/>
  <c r="X36" i="9"/>
  <c r="X28" i="9"/>
  <c r="X32" i="9"/>
  <c r="X42" i="9"/>
  <c r="N38" i="8"/>
  <c r="N22" i="8"/>
  <c r="N18" i="8"/>
  <c r="N25" i="8"/>
  <c r="N14" i="8"/>
  <c r="R25" i="8"/>
  <c r="R26" i="8"/>
  <c r="K47" i="8"/>
  <c r="S47" i="8"/>
  <c r="N26" i="8"/>
  <c r="V15" i="9"/>
  <c r="W15" i="9" s="1"/>
  <c r="T18" i="8"/>
  <c r="R14" i="8"/>
  <c r="M32" i="8"/>
  <c r="R32" i="8"/>
  <c r="R18" i="8"/>
  <c r="U18" i="8" s="1"/>
  <c r="V18" i="8" s="1"/>
  <c r="O31" i="8"/>
  <c r="P31" i="8" s="1"/>
  <c r="T31" i="8"/>
  <c r="T26" i="8"/>
  <c r="U26" i="8" s="1"/>
  <c r="V26" i="8" s="1"/>
  <c r="R22" i="8"/>
  <c r="U22" i="8" s="1"/>
  <c r="R38" i="8"/>
  <c r="M7" i="8"/>
  <c r="M44" i="8"/>
  <c r="M13" i="8"/>
  <c r="M46" i="8"/>
  <c r="M9" i="8"/>
  <c r="O24" i="8"/>
  <c r="P24" i="8" s="1"/>
  <c r="O53" i="8"/>
  <c r="P53" i="8" s="1"/>
  <c r="O13" i="8"/>
  <c r="P13" i="8" s="1"/>
  <c r="O10" i="8"/>
  <c r="P10" i="8" s="1"/>
  <c r="M29" i="8"/>
  <c r="O22" i="8"/>
  <c r="P22" i="8" s="1"/>
  <c r="O33" i="8"/>
  <c r="P33" i="8" s="1"/>
  <c r="M15" i="8"/>
  <c r="O16" i="8"/>
  <c r="P16" i="8" s="1"/>
  <c r="O12" i="8"/>
  <c r="P12" i="8" s="1"/>
  <c r="M3" i="8"/>
  <c r="O20" i="8"/>
  <c r="P20" i="8" s="1"/>
  <c r="O43" i="8"/>
  <c r="P43" i="8" s="1"/>
  <c r="O35" i="8"/>
  <c r="P35" i="8" s="1"/>
  <c r="O30" i="8"/>
  <c r="P30" i="8" s="1"/>
  <c r="M20" i="8"/>
  <c r="O6" i="8"/>
  <c r="P6" i="8" s="1"/>
  <c r="M36" i="8"/>
  <c r="M19" i="8"/>
  <c r="O39" i="8"/>
  <c r="P39" i="8" s="1"/>
  <c r="M50" i="8"/>
  <c r="O14" i="8"/>
  <c r="P14" i="8" s="1"/>
  <c r="O49" i="8"/>
  <c r="P49" i="8" s="1"/>
  <c r="O17" i="8"/>
  <c r="P17" i="8" s="1"/>
  <c r="O37" i="8"/>
  <c r="P37" i="8" s="1"/>
  <c r="M17" i="8"/>
  <c r="M30" i="8"/>
  <c r="M5" i="8"/>
  <c r="M31" i="8"/>
  <c r="M52" i="8"/>
  <c r="M23" i="8"/>
  <c r="O8" i="8"/>
  <c r="P8" i="8" s="1"/>
  <c r="M40" i="8"/>
  <c r="M21" i="8"/>
  <c r="M54" i="8"/>
  <c r="O21" i="8"/>
  <c r="P21" i="8" s="1"/>
  <c r="M11" i="8"/>
  <c r="O41" i="8"/>
  <c r="P41" i="8" s="1"/>
  <c r="O25" i="8"/>
  <c r="P25" i="8" s="1"/>
  <c r="O51" i="8"/>
  <c r="P51" i="8" s="1"/>
  <c r="M42" i="8"/>
  <c r="M34" i="8"/>
  <c r="M24" i="8"/>
  <c r="O19" i="8"/>
  <c r="P19" i="8" s="1"/>
  <c r="O45" i="8"/>
  <c r="P45" i="8" s="1"/>
  <c r="M16" i="8"/>
  <c r="O4" i="8"/>
  <c r="P4" i="8" s="1"/>
  <c r="M48" i="8"/>
  <c r="O47" i="8"/>
  <c r="P47" i="8" s="1"/>
  <c r="O28" i="8"/>
  <c r="P28" i="8" s="1"/>
  <c r="M28" i="8"/>
  <c r="O27" i="8"/>
  <c r="P27" i="8" s="1"/>
  <c r="O15" i="8"/>
  <c r="P15" i="8" s="1"/>
  <c r="M27" i="8"/>
  <c r="K46" i="8"/>
  <c r="L46" i="8" s="1"/>
  <c r="K38" i="8"/>
  <c r="L38" i="8" s="1"/>
  <c r="K12" i="8"/>
  <c r="K52" i="8"/>
  <c r="L52" i="8" s="1"/>
  <c r="K44" i="8"/>
  <c r="L44" i="8" s="1"/>
  <c r="K36" i="8"/>
  <c r="L36" i="8" s="1"/>
  <c r="K7" i="8"/>
  <c r="L7" i="8" s="1"/>
  <c r="K51" i="8"/>
  <c r="K6" i="8"/>
  <c r="K4" i="8"/>
  <c r="K37" i="8"/>
  <c r="K39" i="8"/>
  <c r="K54" i="8"/>
  <c r="L54" i="8" s="1"/>
  <c r="K9" i="8"/>
  <c r="L9" i="8" s="1"/>
  <c r="K8" i="8"/>
  <c r="K53" i="8"/>
  <c r="K50" i="8"/>
  <c r="L50" i="8" s="1"/>
  <c r="K42" i="8"/>
  <c r="L42" i="8" s="1"/>
  <c r="K34" i="8"/>
  <c r="L34" i="8" s="1"/>
  <c r="K3" i="8"/>
  <c r="L3" i="8" s="1"/>
  <c r="K5" i="8"/>
  <c r="L5" i="8" s="1"/>
  <c r="K35" i="8"/>
  <c r="K29" i="8"/>
  <c r="L29" i="8" s="1"/>
  <c r="K43" i="8"/>
  <c r="K48" i="8"/>
  <c r="L48" i="8" s="1"/>
  <c r="K40" i="8"/>
  <c r="L40" i="8" s="1"/>
  <c r="K32" i="8"/>
  <c r="L32" i="8" s="1"/>
  <c r="K11" i="8"/>
  <c r="L11" i="8" s="1"/>
  <c r="K49" i="8"/>
  <c r="K41" i="8"/>
  <c r="K33" i="8"/>
  <c r="K23" i="8"/>
  <c r="L23" i="8" s="1"/>
  <c r="K45" i="8"/>
  <c r="K10" i="8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2" i="7"/>
  <c r="X15" i="9" l="1"/>
  <c r="X16" i="9"/>
  <c r="D11" i="10"/>
  <c r="D7" i="10"/>
  <c r="D8" i="10" s="1"/>
  <c r="D9" i="10"/>
  <c r="D6" i="10"/>
  <c r="D10" i="10"/>
  <c r="U14" i="8"/>
  <c r="U25" i="8"/>
  <c r="V25" i="8" s="1"/>
  <c r="H11" i="10"/>
  <c r="H9" i="10"/>
  <c r="H6" i="10"/>
  <c r="H10" i="10"/>
  <c r="H7" i="10"/>
  <c r="L45" i="8"/>
  <c r="U45" i="8"/>
  <c r="V45" i="8" s="1"/>
  <c r="L53" i="8"/>
  <c r="U53" i="8"/>
  <c r="N27" i="8"/>
  <c r="U27" i="8"/>
  <c r="V27" i="8" s="1"/>
  <c r="W27" i="8" s="1"/>
  <c r="N23" i="8"/>
  <c r="U23" i="8"/>
  <c r="V23" i="8" s="1"/>
  <c r="N19" i="8"/>
  <c r="U19" i="8"/>
  <c r="V19" i="8" s="1"/>
  <c r="W19" i="8" s="1"/>
  <c r="L49" i="8"/>
  <c r="U49" i="8"/>
  <c r="V49" i="8" s="1"/>
  <c r="L4" i="8"/>
  <c r="U4" i="8"/>
  <c r="V4" i="8" s="1"/>
  <c r="W4" i="8" s="1"/>
  <c r="L51" i="8"/>
  <c r="U51" i="8"/>
  <c r="V51" i="8" s="1"/>
  <c r="N42" i="8"/>
  <c r="U42" i="8"/>
  <c r="V42" i="8" s="1"/>
  <c r="N11" i="8"/>
  <c r="U11" i="8"/>
  <c r="V11" i="8" s="1"/>
  <c r="N40" i="8"/>
  <c r="U40" i="8"/>
  <c r="V40" i="8" s="1"/>
  <c r="N5" i="8"/>
  <c r="U5" i="8"/>
  <c r="V5" i="8" s="1"/>
  <c r="N36" i="8"/>
  <c r="U36" i="8"/>
  <c r="V36" i="8" s="1"/>
  <c r="W36" i="8" s="1"/>
  <c r="N13" i="8"/>
  <c r="U13" i="8"/>
  <c r="V13" i="8" s="1"/>
  <c r="L43" i="8"/>
  <c r="U43" i="8"/>
  <c r="V43" i="8" s="1"/>
  <c r="W43" i="8" s="1"/>
  <c r="N34" i="8"/>
  <c r="U34" i="8"/>
  <c r="N46" i="8"/>
  <c r="U46" i="8"/>
  <c r="V46" i="8" s="1"/>
  <c r="W47" i="8" s="1"/>
  <c r="L10" i="8"/>
  <c r="U10" i="8"/>
  <c r="V10" i="8" s="1"/>
  <c r="L33" i="8"/>
  <c r="U33" i="8"/>
  <c r="V33" i="8" s="1"/>
  <c r="L8" i="8"/>
  <c r="U8" i="8"/>
  <c r="V8" i="8" s="1"/>
  <c r="L39" i="8"/>
  <c r="U39" i="8"/>
  <c r="L12" i="8"/>
  <c r="U12" i="8"/>
  <c r="V12" i="8" s="1"/>
  <c r="N48" i="8"/>
  <c r="U48" i="8"/>
  <c r="V48" i="8" s="1"/>
  <c r="W49" i="8" s="1"/>
  <c r="N52" i="8"/>
  <c r="U52" i="8"/>
  <c r="V52" i="8" s="1"/>
  <c r="N30" i="8"/>
  <c r="U30" i="8"/>
  <c r="V30" i="8" s="1"/>
  <c r="N50" i="8"/>
  <c r="U50" i="8"/>
  <c r="V50" i="8" s="1"/>
  <c r="N29" i="8"/>
  <c r="U29" i="8"/>
  <c r="V29" i="8" s="1"/>
  <c r="W30" i="8" s="1"/>
  <c r="N44" i="8"/>
  <c r="U44" i="8"/>
  <c r="V44" i="8" s="1"/>
  <c r="L47" i="8"/>
  <c r="U47" i="8"/>
  <c r="V47" i="8" s="1"/>
  <c r="U38" i="8"/>
  <c r="V38" i="8" s="1"/>
  <c r="N16" i="8"/>
  <c r="U16" i="8"/>
  <c r="N21" i="8"/>
  <c r="U21" i="8"/>
  <c r="N17" i="8"/>
  <c r="U17" i="8"/>
  <c r="V17" i="8" s="1"/>
  <c r="N3" i="8"/>
  <c r="U3" i="8"/>
  <c r="V3" i="8" s="1"/>
  <c r="L41" i="8"/>
  <c r="U41" i="8"/>
  <c r="V41" i="8" s="1"/>
  <c r="L35" i="8"/>
  <c r="U35" i="8"/>
  <c r="V35" i="8" s="1"/>
  <c r="L37" i="8"/>
  <c r="U37" i="8"/>
  <c r="V37" i="8" s="1"/>
  <c r="L6" i="8"/>
  <c r="U6" i="8"/>
  <c r="V6" i="8" s="1"/>
  <c r="W6" i="8" s="1"/>
  <c r="W26" i="8"/>
  <c r="N28" i="8"/>
  <c r="U28" i="8"/>
  <c r="V28" i="8" s="1"/>
  <c r="W28" i="8" s="1"/>
  <c r="N24" i="8"/>
  <c r="U24" i="8"/>
  <c r="V24" i="8" s="1"/>
  <c r="W24" i="8" s="1"/>
  <c r="N54" i="8"/>
  <c r="U54" i="8"/>
  <c r="N31" i="8"/>
  <c r="U31" i="8"/>
  <c r="V31" i="8" s="1"/>
  <c r="N20" i="8"/>
  <c r="U20" i="8"/>
  <c r="V20" i="8" s="1"/>
  <c r="N15" i="8"/>
  <c r="U15" i="8"/>
  <c r="V15" i="8" s="1"/>
  <c r="N9" i="8"/>
  <c r="U9" i="8"/>
  <c r="V9" i="8" s="1"/>
  <c r="W9" i="8" s="1"/>
  <c r="N7" i="8"/>
  <c r="U7" i="8"/>
  <c r="V7" i="8" s="1"/>
  <c r="W7" i="8" s="1"/>
  <c r="N32" i="8"/>
  <c r="U32" i="8"/>
  <c r="V32" i="8" s="1"/>
  <c r="W32" i="8" s="1"/>
  <c r="V34" i="8"/>
  <c r="V54" i="8"/>
  <c r="V16" i="8"/>
  <c r="W16" i="8" s="1"/>
  <c r="V14" i="8"/>
  <c r="W15" i="8" s="1"/>
  <c r="V21" i="8"/>
  <c r="V53" i="8"/>
  <c r="W53" i="8" s="1"/>
  <c r="V39" i="8"/>
  <c r="W50" i="8"/>
  <c r="W25" i="8"/>
  <c r="W18" i="8"/>
  <c r="W51" i="8"/>
  <c r="W52" i="8"/>
  <c r="W20" i="8"/>
  <c r="W13" i="8"/>
  <c r="W11" i="8"/>
  <c r="A47" i="7"/>
  <c r="A31" i="7"/>
  <c r="A26" i="7"/>
  <c r="A21" i="7"/>
  <c r="A3" i="7"/>
  <c r="A50" i="7"/>
  <c r="A45" i="7"/>
  <c r="A40" i="7"/>
  <c r="A35" i="7"/>
  <c r="A30" i="7"/>
  <c r="A25" i="7"/>
  <c r="A20" i="7"/>
  <c r="A16" i="7"/>
  <c r="A15" i="7"/>
  <c r="A6" i="7"/>
  <c r="A22" i="7"/>
  <c r="A7" i="7"/>
  <c r="A53" i="7"/>
  <c r="A34" i="7"/>
  <c r="A29" i="7"/>
  <c r="A24" i="7"/>
  <c r="A19" i="7"/>
  <c r="A14" i="7"/>
  <c r="A10" i="7"/>
  <c r="A5" i="7"/>
  <c r="A51" i="7"/>
  <c r="A46" i="7"/>
  <c r="A41" i="7"/>
  <c r="A36" i="7"/>
  <c r="A17" i="7"/>
  <c r="A49" i="7"/>
  <c r="A44" i="7"/>
  <c r="A39" i="7"/>
  <c r="A54" i="7"/>
  <c r="A52" i="7"/>
  <c r="A48" i="7"/>
  <c r="A43" i="7"/>
  <c r="A42" i="7"/>
  <c r="A38" i="7"/>
  <c r="A37" i="7"/>
  <c r="A33" i="7"/>
  <c r="A32" i="7"/>
  <c r="A28" i="7"/>
  <c r="A27" i="7"/>
  <c r="A23" i="7"/>
  <c r="A13" i="7"/>
  <c r="A9" i="7"/>
  <c r="A4" i="7"/>
  <c r="A18" i="7"/>
  <c r="A8" i="7"/>
  <c r="A12" i="7"/>
  <c r="A11" i="7"/>
  <c r="E8" i="7"/>
  <c r="D5" i="7"/>
  <c r="C3" i="7"/>
  <c r="C11" i="7"/>
  <c r="E9" i="7"/>
  <c r="C9" i="7"/>
  <c r="C6" i="7"/>
  <c r="E7" i="7"/>
  <c r="C10" i="7"/>
  <c r="E10" i="7"/>
  <c r="E5" i="7"/>
  <c r="D54" i="7"/>
  <c r="D53" i="7"/>
  <c r="D52" i="7"/>
  <c r="D51" i="7"/>
  <c r="D50" i="7"/>
  <c r="D48" i="7"/>
  <c r="D46" i="7"/>
  <c r="D49" i="7"/>
  <c r="D44" i="7"/>
  <c r="D42" i="7"/>
  <c r="D41" i="7"/>
  <c r="D43" i="7"/>
  <c r="D45" i="7"/>
  <c r="D39" i="7"/>
  <c r="D37" i="7"/>
  <c r="D47" i="7"/>
  <c r="D35" i="7"/>
  <c r="D40" i="7"/>
  <c r="D38" i="7"/>
  <c r="D33" i="7"/>
  <c r="D36" i="7"/>
  <c r="D34" i="7"/>
  <c r="D29" i="7"/>
  <c r="D32" i="7"/>
  <c r="D27" i="7"/>
  <c r="D30" i="7"/>
  <c r="D31" i="7"/>
  <c r="D23" i="7"/>
  <c r="D19" i="7"/>
  <c r="D21" i="7"/>
  <c r="D25" i="7"/>
  <c r="D20" i="7"/>
  <c r="D18" i="7"/>
  <c r="D22" i="7"/>
  <c r="D15" i="7"/>
  <c r="D13" i="7"/>
  <c r="D17" i="7"/>
  <c r="D16" i="7"/>
  <c r="D14" i="7"/>
  <c r="D9" i="7"/>
  <c r="D12" i="7"/>
  <c r="D28" i="7"/>
  <c r="D10" i="7"/>
  <c r="D26" i="7"/>
  <c r="D3" i="7"/>
  <c r="D8" i="7"/>
  <c r="D6" i="7"/>
  <c r="D24" i="7"/>
  <c r="D7" i="7"/>
  <c r="D11" i="7"/>
  <c r="D4" i="7"/>
  <c r="C54" i="7"/>
  <c r="C51" i="7"/>
  <c r="C53" i="7"/>
  <c r="C50" i="7"/>
  <c r="C49" i="7"/>
  <c r="C52" i="7"/>
  <c r="C48" i="7"/>
  <c r="C47" i="7"/>
  <c r="C46" i="7"/>
  <c r="C45" i="7"/>
  <c r="C44" i="7"/>
  <c r="C42" i="7"/>
  <c r="C43" i="7"/>
  <c r="C41" i="7"/>
  <c r="C36" i="7"/>
  <c r="C40" i="7"/>
  <c r="C39" i="7"/>
  <c r="C37" i="7"/>
  <c r="C34" i="7"/>
  <c r="C33" i="7"/>
  <c r="C31" i="7"/>
  <c r="C38" i="7"/>
  <c r="C32" i="7"/>
  <c r="C35" i="7"/>
  <c r="C30" i="7"/>
  <c r="C25" i="7"/>
  <c r="C26" i="7"/>
  <c r="C29" i="7"/>
  <c r="C24" i="7"/>
  <c r="C21" i="7"/>
  <c r="C23" i="7"/>
  <c r="C22" i="7"/>
  <c r="C28" i="7"/>
  <c r="C20" i="7"/>
  <c r="C16" i="7"/>
  <c r="C14" i="7"/>
  <c r="C15" i="7"/>
  <c r="C27" i="7"/>
  <c r="C18" i="7"/>
  <c r="C12" i="7"/>
  <c r="C19" i="7"/>
  <c r="C17" i="7"/>
  <c r="C13" i="7"/>
  <c r="E4" i="7"/>
  <c r="C5" i="7"/>
  <c r="C8" i="7"/>
  <c r="E6" i="7"/>
  <c r="C7" i="7"/>
  <c r="E53" i="7"/>
  <c r="E54" i="7"/>
  <c r="E52" i="7"/>
  <c r="E51" i="7"/>
  <c r="E50" i="7"/>
  <c r="E48" i="7"/>
  <c r="E46" i="7"/>
  <c r="E47" i="7"/>
  <c r="E49" i="7"/>
  <c r="E44" i="7"/>
  <c r="E45" i="7"/>
  <c r="E43" i="7"/>
  <c r="E41" i="7"/>
  <c r="E42" i="7"/>
  <c r="E39" i="7"/>
  <c r="E40" i="7"/>
  <c r="E37" i="7"/>
  <c r="E36" i="7"/>
  <c r="E35" i="7"/>
  <c r="E31" i="7"/>
  <c r="E30" i="7"/>
  <c r="E33" i="7"/>
  <c r="E29" i="7"/>
  <c r="E24" i="7"/>
  <c r="E32" i="7"/>
  <c r="E38" i="7"/>
  <c r="E25" i="7"/>
  <c r="E23" i="7"/>
  <c r="E20" i="7"/>
  <c r="E28" i="7"/>
  <c r="E34" i="7"/>
  <c r="E26" i="7"/>
  <c r="E22" i="7"/>
  <c r="E18" i="7"/>
  <c r="E19" i="7"/>
  <c r="E14" i="7"/>
  <c r="E15" i="7"/>
  <c r="E17" i="7"/>
  <c r="E16" i="7"/>
  <c r="E11" i="7"/>
  <c r="E21" i="7"/>
  <c r="E27" i="7"/>
  <c r="E3" i="7"/>
  <c r="C4" i="7"/>
  <c r="E13" i="7"/>
  <c r="E12" i="7"/>
  <c r="W21" i="8" l="1"/>
  <c r="W44" i="8"/>
  <c r="H8" i="10"/>
  <c r="W33" i="8"/>
  <c r="W42" i="8"/>
  <c r="W5" i="8"/>
  <c r="C10" i="10"/>
  <c r="C9" i="10"/>
  <c r="W38" i="8"/>
  <c r="W45" i="8"/>
  <c r="W39" i="8"/>
  <c r="W41" i="8"/>
  <c r="W34" i="8"/>
  <c r="W37" i="8"/>
  <c r="W40" i="8"/>
  <c r="W17" i="8"/>
  <c r="W54" i="8"/>
  <c r="W35" i="8"/>
  <c r="W29" i="8"/>
  <c r="W14" i="8"/>
  <c r="W46" i="8"/>
  <c r="W48" i="8"/>
  <c r="V22" i="8"/>
  <c r="W22" i="8" s="1"/>
  <c r="W8" i="8"/>
  <c r="W10" i="8"/>
  <c r="W31" i="8"/>
  <c r="W12" i="8"/>
  <c r="C6" i="10" l="1"/>
  <c r="G6" i="10"/>
  <c r="C7" i="10"/>
  <c r="C8" i="10" s="1"/>
  <c r="C11" i="10"/>
  <c r="G10" i="10"/>
  <c r="W23" i="8"/>
  <c r="G7" i="10" s="1"/>
  <c r="G8" i="10" l="1"/>
  <c r="G9" i="10"/>
  <c r="G11" i="10"/>
</calcChain>
</file>

<file path=xl/sharedStrings.xml><?xml version="1.0" encoding="utf-8"?>
<sst xmlns="http://schemas.openxmlformats.org/spreadsheetml/2006/main" count="63" uniqueCount="28">
  <si>
    <t xml:space="preserve">Date </t>
  </si>
  <si>
    <t>Choix_Jeudi</t>
  </si>
  <si>
    <t>CONVEXITE</t>
  </si>
  <si>
    <t>DURATION</t>
  </si>
  <si>
    <t>OBLIGATION CIBLE</t>
  </si>
  <si>
    <t>Prix_2025</t>
  </si>
  <si>
    <t>Prix_2017</t>
  </si>
  <si>
    <t>k::quantité_2025</t>
  </si>
  <si>
    <t>Valeur Portefeuille</t>
  </si>
  <si>
    <t>variation</t>
  </si>
  <si>
    <t>YIELD</t>
  </si>
  <si>
    <t>MATURITE</t>
  </si>
  <si>
    <t>OBLIGATION_Juin 2017</t>
  </si>
  <si>
    <t>OBLIGATION_Juin 2025</t>
  </si>
  <si>
    <t>Prix_2020</t>
  </si>
  <si>
    <t>Immunisation dynamique 2</t>
  </si>
  <si>
    <t>k_1</t>
  </si>
  <si>
    <t>k_2</t>
  </si>
  <si>
    <t>Immunisation 2</t>
  </si>
  <si>
    <t>Immunisation 1</t>
  </si>
  <si>
    <t>Variation de la Valeur du portefeuille</t>
  </si>
  <si>
    <t>Valeur du portefeuille</t>
  </si>
  <si>
    <t>Minimum</t>
  </si>
  <si>
    <t>Maximum</t>
  </si>
  <si>
    <t>Moyenne</t>
  </si>
  <si>
    <t>Variance</t>
  </si>
  <si>
    <t>Ecart type</t>
  </si>
  <si>
    <t>Etendue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</si>
</sst>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000_);_(* \(#,##0.0000\);_(* &quot;-&quot;??_);_(@_)"/>
    <numFmt numFmtId="165" formatCode="0.0000"/>
    <numFmt numFmtId="166" formatCode="_-* #,##0.0000\ _€_-;\-* #,##0.0000\ _€_-;_-* &quot;-&quot;??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2" fontId="0" fillId="0" borderId="0" xfId="0" applyNumberFormat="1"/>
    <xf numFmtId="14" fontId="0" fillId="0" borderId="0" xfId="0" applyNumberFormat="1"/>
    <xf numFmtId="2" fontId="0" fillId="0" borderId="0" xfId="0" applyNumberFormat="1" applyFill="1"/>
    <xf numFmtId="0" fontId="0" fillId="0" borderId="0" xfId="0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left"/>
    </xf>
    <xf numFmtId="14" fontId="2" fillId="0" borderId="6" xfId="0" applyNumberFormat="1" applyFont="1" applyBorder="1" applyAlignment="1">
      <alignment horizontal="left"/>
    </xf>
    <xf numFmtId="14" fontId="2" fillId="2" borderId="6" xfId="0" applyNumberFormat="1" applyFont="1" applyFill="1" applyBorder="1" applyAlignment="1">
      <alignment horizontal="left"/>
    </xf>
    <xf numFmtId="43" fontId="0" fillId="0" borderId="0" xfId="1" applyFont="1"/>
    <xf numFmtId="164" fontId="0" fillId="0" borderId="0" xfId="1" applyNumberFormat="1" applyFont="1"/>
    <xf numFmtId="2" fontId="0" fillId="0" borderId="1" xfId="0" applyNumberFormat="1" applyFill="1" applyBorder="1"/>
    <xf numFmtId="2" fontId="0" fillId="0" borderId="2" xfId="0" applyNumberFormat="1" applyFill="1" applyBorder="1"/>
    <xf numFmtId="2" fontId="0" fillId="0" borderId="3" xfId="0" applyNumberFormat="1" applyFill="1" applyBorder="1"/>
    <xf numFmtId="2" fontId="0" fillId="0" borderId="5" xfId="0" applyNumberFormat="1" applyFill="1" applyBorder="1"/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0" borderId="0" xfId="0" applyFont="1" applyFill="1" applyAlignment="1"/>
    <xf numFmtId="43" fontId="0" fillId="0" borderId="0" xfId="0" applyNumberFormat="1"/>
    <xf numFmtId="0" fontId="2" fillId="2" borderId="0" xfId="0" applyFont="1" applyFill="1" applyBorder="1" applyAlignment="1">
      <alignment horizontal="center"/>
    </xf>
    <xf numFmtId="164" fontId="0" fillId="2" borderId="0" xfId="1" applyNumberFormat="1" applyFont="1" applyFill="1"/>
    <xf numFmtId="14" fontId="0" fillId="2" borderId="0" xfId="0" applyNumberFormat="1" applyFill="1"/>
    <xf numFmtId="0" fontId="0" fillId="2" borderId="0" xfId="0" applyFill="1"/>
    <xf numFmtId="14" fontId="2" fillId="0" borderId="6" xfId="0" applyNumberFormat="1" applyFont="1" applyFill="1" applyBorder="1" applyAlignment="1">
      <alignment horizontal="left"/>
    </xf>
    <xf numFmtId="0" fontId="0" fillId="2" borderId="0" xfId="0" applyFill="1" applyAlignment="1">
      <alignment horizontal="left"/>
    </xf>
    <xf numFmtId="2" fontId="0" fillId="0" borderId="0" xfId="0" applyNumberFormat="1" applyFill="1" applyBorder="1"/>
    <xf numFmtId="164" fontId="0" fillId="0" borderId="0" xfId="0" applyNumberFormat="1"/>
    <xf numFmtId="165" fontId="0" fillId="0" borderId="0" xfId="0" applyNumberFormat="1" applyAlignment="1">
      <alignment horizontal="center"/>
    </xf>
    <xf numFmtId="0" fontId="2" fillId="4" borderId="4" xfId="0" applyFont="1" applyFill="1" applyBorder="1" applyAlignment="1"/>
    <xf numFmtId="166" fontId="0" fillId="0" borderId="0" xfId="0" applyNumberFormat="1"/>
    <xf numFmtId="165" fontId="2" fillId="4" borderId="4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5" borderId="2" xfId="0" applyFont="1" applyFill="1" applyBorder="1"/>
    <xf numFmtId="165" fontId="3" fillId="0" borderId="1" xfId="0" applyNumberFormat="1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5" borderId="14" xfId="0" applyFont="1" applyFill="1" applyBorder="1"/>
    <xf numFmtId="0" fontId="3" fillId="0" borderId="10" xfId="0" applyFont="1" applyBorder="1"/>
    <xf numFmtId="165" fontId="3" fillId="0" borderId="10" xfId="0" applyNumberFormat="1" applyFont="1" applyBorder="1"/>
    <xf numFmtId="165" fontId="3" fillId="0" borderId="3" xfId="0" applyNumberFormat="1" applyFont="1" applyBorder="1"/>
    <xf numFmtId="165" fontId="3" fillId="0" borderId="11" xfId="0" applyNumberFormat="1" applyFont="1" applyBorder="1"/>
    <xf numFmtId="165" fontId="3" fillId="0" borderId="2" xfId="0" applyNumberFormat="1" applyFont="1" applyBorder="1"/>
    <xf numFmtId="165" fontId="3" fillId="0" borderId="5" xfId="0" applyNumberFormat="1" applyFont="1" applyBorder="1"/>
    <xf numFmtId="0" fontId="3" fillId="5" borderId="9" xfId="0" applyFont="1" applyFill="1" applyBorder="1" applyAlignment="1"/>
    <xf numFmtId="0" fontId="3" fillId="5" borderId="5" xfId="0" applyFont="1" applyFill="1" applyBorder="1" applyAlignment="1"/>
    <xf numFmtId="165" fontId="3" fillId="0" borderId="10" xfId="0" applyNumberFormat="1" applyFont="1" applyBorder="1" applyAlignment="1"/>
    <xf numFmtId="164" fontId="3" fillId="0" borderId="11" xfId="1" applyNumberFormat="1" applyFont="1" applyBorder="1" applyAlignment="1"/>
    <xf numFmtId="165" fontId="3" fillId="0" borderId="1" xfId="0" applyNumberFormat="1" applyFont="1" applyBorder="1" applyAlignment="1"/>
    <xf numFmtId="164" fontId="3" fillId="0" borderId="2" xfId="1" applyNumberFormat="1" applyFont="1" applyBorder="1" applyAlignment="1"/>
    <xf numFmtId="43" fontId="3" fillId="0" borderId="1" xfId="0" applyNumberFormat="1" applyFont="1" applyBorder="1" applyAlignment="1"/>
    <xf numFmtId="43" fontId="3" fillId="0" borderId="2" xfId="0" applyNumberFormat="1" applyFont="1" applyBorder="1" applyAlignment="1"/>
    <xf numFmtId="165" fontId="3" fillId="0" borderId="3" xfId="0" applyNumberFormat="1" applyFont="1" applyBorder="1" applyAlignment="1"/>
    <xf numFmtId="164" fontId="3" fillId="0" borderId="5" xfId="1" applyNumberFormat="1" applyFont="1" applyBorder="1" applyAlignment="1"/>
    <xf numFmtId="0" fontId="2" fillId="4" borderId="4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2" xfId="0" applyFont="1" applyFill="1" applyBorder="1" applyAlignment="1"/>
    <xf numFmtId="0" fontId="3" fillId="4" borderId="13" xfId="0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251"/>
  <sheetViews>
    <sheetView workbookViewId="0">
      <selection activeCell="B1" sqref="B1:B1048576"/>
    </sheetView>
  </sheetViews>
  <sheetFormatPr defaultColWidth="8.85546875" defaultRowHeight="15" x14ac:dyDescent="0.25"/>
  <cols>
    <col min="1" max="1" width="11.7109375" bestFit="1" customWidth="1"/>
    <col min="2" max="2" width="12" customWidth="1"/>
    <col min="3" max="3" width="17.28515625" customWidth="1"/>
    <col min="4" max="4" width="9.7109375" bestFit="1" customWidth="1"/>
    <col min="5" max="6" width="9" bestFit="1" customWidth="1"/>
    <col min="7" max="9" width="9.7109375" bestFit="1" customWidth="1"/>
    <col min="10" max="10" width="9" bestFit="1" customWidth="1"/>
    <col min="11" max="11" width="9.7109375" bestFit="1" customWidth="1"/>
    <col min="12" max="14" width="9" bestFit="1" customWidth="1"/>
    <col min="15" max="17" width="9.7109375" bestFit="1" customWidth="1"/>
    <col min="18" max="18" width="9" bestFit="1" customWidth="1"/>
    <col min="19" max="21" width="9.7109375" bestFit="1" customWidth="1"/>
    <col min="22" max="22" width="9" bestFit="1" customWidth="1"/>
    <col min="23" max="25" width="9.7109375" bestFit="1" customWidth="1"/>
    <col min="26" max="26" width="9" bestFit="1" customWidth="1"/>
    <col min="27" max="29" width="9.7109375" bestFit="1" customWidth="1"/>
    <col min="30" max="31" width="9" bestFit="1" customWidth="1"/>
    <col min="32" max="35" width="9.7109375" bestFit="1" customWidth="1"/>
    <col min="36" max="37" width="9" bestFit="1" customWidth="1"/>
    <col min="38" max="38" width="9.7109375" bestFit="1" customWidth="1"/>
    <col min="39" max="40" width="9" bestFit="1" customWidth="1"/>
    <col min="41" max="41" width="9.7109375" bestFit="1" customWidth="1"/>
    <col min="42" max="43" width="9" bestFit="1" customWidth="1"/>
    <col min="44" max="44" width="9.7109375" bestFit="1" customWidth="1"/>
    <col min="45" max="45" width="9" bestFit="1" customWidth="1"/>
    <col min="46" max="46" width="9.7109375" bestFit="1" customWidth="1"/>
    <col min="47" max="48" width="9" bestFit="1" customWidth="1"/>
    <col min="49" max="49" width="9.7109375" bestFit="1" customWidth="1"/>
    <col min="50" max="50" width="9" bestFit="1" customWidth="1"/>
    <col min="51" max="51" width="9.7109375" bestFit="1" customWidth="1"/>
    <col min="52" max="52" width="9" bestFit="1" customWidth="1"/>
    <col min="53" max="53" width="9.7109375" bestFit="1" customWidth="1"/>
    <col min="54" max="54" width="9" bestFit="1" customWidth="1"/>
    <col min="55" max="55" width="9.7109375" bestFit="1" customWidth="1"/>
    <col min="56" max="57" width="9" bestFit="1" customWidth="1"/>
    <col min="58" max="58" width="9.7109375" bestFit="1" customWidth="1"/>
    <col min="59" max="59" width="9" bestFit="1" customWidth="1"/>
    <col min="60" max="60" width="9.7109375" bestFit="1" customWidth="1"/>
    <col min="61" max="61" width="9" bestFit="1" customWidth="1"/>
    <col min="62" max="62" width="9.7109375" bestFit="1" customWidth="1"/>
    <col min="63" max="63" width="9" bestFit="1" customWidth="1"/>
    <col min="64" max="64" width="9.7109375" bestFit="1" customWidth="1"/>
    <col min="65" max="65" width="9" bestFit="1" customWidth="1"/>
    <col min="66" max="67" width="9.7109375" bestFit="1" customWidth="1"/>
    <col min="68" max="68" width="9" bestFit="1" customWidth="1"/>
    <col min="69" max="69" width="9.7109375" bestFit="1" customWidth="1"/>
    <col min="70" max="70" width="9" bestFit="1" customWidth="1"/>
    <col min="71" max="71" width="9.7109375" bestFit="1" customWidth="1"/>
    <col min="72" max="72" width="9" bestFit="1" customWidth="1"/>
    <col min="73" max="74" width="9.7109375" bestFit="1" customWidth="1"/>
    <col min="75" max="75" width="9" bestFit="1" customWidth="1"/>
    <col min="76" max="76" width="9.7109375" bestFit="1" customWidth="1"/>
    <col min="77" max="77" width="9" bestFit="1" customWidth="1"/>
    <col min="78" max="78" width="9.7109375" bestFit="1" customWidth="1"/>
    <col min="79" max="79" width="9" bestFit="1" customWidth="1"/>
    <col min="80" max="80" width="9.7109375" bestFit="1" customWidth="1"/>
    <col min="81" max="81" width="9" bestFit="1" customWidth="1"/>
    <col min="82" max="82" width="9.7109375" bestFit="1" customWidth="1"/>
    <col min="83" max="83" width="9" bestFit="1" customWidth="1"/>
    <col min="84" max="84" width="9.7109375" bestFit="1" customWidth="1"/>
    <col min="85" max="85" width="9" bestFit="1" customWidth="1"/>
    <col min="86" max="86" width="9.7109375" bestFit="1" customWidth="1"/>
    <col min="87" max="87" width="9" bestFit="1" customWidth="1"/>
    <col min="88" max="88" width="9.7109375" bestFit="1" customWidth="1"/>
    <col min="89" max="89" width="9" bestFit="1" customWidth="1"/>
    <col min="90" max="90" width="9.7109375" bestFit="1" customWidth="1"/>
    <col min="91" max="91" width="9" bestFit="1" customWidth="1"/>
    <col min="92" max="92" width="9.7109375" bestFit="1" customWidth="1"/>
    <col min="93" max="93" width="9" bestFit="1" customWidth="1"/>
    <col min="94" max="94" width="9.7109375" bestFit="1" customWidth="1"/>
    <col min="95" max="95" width="9" bestFit="1" customWidth="1"/>
    <col min="96" max="96" width="9.7109375" bestFit="1" customWidth="1"/>
    <col min="97" max="97" width="9" bestFit="1" customWidth="1"/>
    <col min="98" max="98" width="9.7109375" bestFit="1" customWidth="1"/>
    <col min="99" max="99" width="9" bestFit="1" customWidth="1"/>
    <col min="100" max="100" width="9.7109375" bestFit="1" customWidth="1"/>
    <col min="101" max="101" width="9" bestFit="1" customWidth="1"/>
    <col min="102" max="102" width="9.7109375" bestFit="1" customWidth="1"/>
    <col min="103" max="103" width="9" bestFit="1" customWidth="1"/>
    <col min="104" max="104" width="9.7109375" bestFit="1" customWidth="1"/>
    <col min="105" max="105" width="9" bestFit="1" customWidth="1"/>
    <col min="106" max="107" width="9.7109375" bestFit="1" customWidth="1"/>
  </cols>
  <sheetData>
    <row r="1" spans="1:107" s="6" customFormat="1" x14ac:dyDescent="0.25">
      <c r="A1" s="6" t="s">
        <v>1</v>
      </c>
      <c r="B1" s="6" t="s">
        <v>0</v>
      </c>
      <c r="C1" s="6">
        <v>42064</v>
      </c>
      <c r="D1" s="6">
        <v>42078</v>
      </c>
      <c r="E1" s="6">
        <v>42156</v>
      </c>
      <c r="F1" s="6">
        <v>42248</v>
      </c>
      <c r="G1" s="6">
        <v>42262</v>
      </c>
      <c r="H1" s="6">
        <v>42339</v>
      </c>
      <c r="I1" s="6">
        <v>42339</v>
      </c>
      <c r="J1" s="6">
        <v>42430</v>
      </c>
      <c r="K1" s="6">
        <v>42444</v>
      </c>
      <c r="L1" s="6">
        <v>42522</v>
      </c>
      <c r="M1" s="6">
        <v>42614</v>
      </c>
      <c r="N1" s="6">
        <v>42614</v>
      </c>
      <c r="O1" s="6">
        <v>42628</v>
      </c>
      <c r="P1" s="6">
        <v>42705</v>
      </c>
      <c r="Q1" s="6">
        <v>42809</v>
      </c>
      <c r="R1" s="6">
        <v>42887</v>
      </c>
      <c r="S1" s="6">
        <v>42993</v>
      </c>
      <c r="T1" s="6">
        <v>43070</v>
      </c>
      <c r="U1" s="6">
        <v>43174</v>
      </c>
      <c r="V1" s="6">
        <v>43252</v>
      </c>
      <c r="W1" s="6">
        <v>43358</v>
      </c>
      <c r="X1" s="6">
        <v>43435</v>
      </c>
      <c r="Y1" s="6">
        <v>43539</v>
      </c>
      <c r="Z1" s="6">
        <v>43617</v>
      </c>
      <c r="AA1" s="6">
        <v>43723</v>
      </c>
      <c r="AB1" s="6">
        <v>43800</v>
      </c>
      <c r="AC1" s="6">
        <v>43905</v>
      </c>
      <c r="AD1" s="6">
        <v>43983</v>
      </c>
      <c r="AE1" s="6">
        <v>43983</v>
      </c>
      <c r="AF1" s="6">
        <v>44089</v>
      </c>
      <c r="AG1" s="6">
        <v>44166</v>
      </c>
      <c r="AH1" s="6">
        <v>44270</v>
      </c>
      <c r="AI1" s="6">
        <v>44270</v>
      </c>
      <c r="AJ1" s="6">
        <v>44348</v>
      </c>
      <c r="AK1" s="6">
        <v>44348</v>
      </c>
      <c r="AL1" s="6">
        <v>44531</v>
      </c>
      <c r="AM1" s="6">
        <v>44713</v>
      </c>
      <c r="AN1" s="6">
        <v>44713</v>
      </c>
      <c r="AO1" s="6">
        <v>44896</v>
      </c>
      <c r="AP1" s="6">
        <v>45078</v>
      </c>
      <c r="AQ1" s="6">
        <v>45078</v>
      </c>
      <c r="AR1" s="6">
        <v>45261</v>
      </c>
      <c r="AS1" s="6">
        <v>45444</v>
      </c>
      <c r="AT1" s="6">
        <v>45627</v>
      </c>
      <c r="AU1" s="6">
        <v>45809</v>
      </c>
      <c r="AV1" s="6">
        <v>45809</v>
      </c>
      <c r="AW1" s="6">
        <v>47453</v>
      </c>
      <c r="AX1" s="6">
        <v>47635</v>
      </c>
      <c r="AY1" s="6">
        <v>47818</v>
      </c>
      <c r="AZ1" s="6">
        <v>48000</v>
      </c>
      <c r="BA1" s="6">
        <v>48183</v>
      </c>
      <c r="BB1" s="6">
        <v>48366</v>
      </c>
      <c r="BC1" s="6">
        <v>48549</v>
      </c>
      <c r="BD1" s="6">
        <v>48731</v>
      </c>
      <c r="BE1" s="6">
        <v>48731</v>
      </c>
      <c r="BF1" s="6">
        <v>51836</v>
      </c>
      <c r="BG1" s="6">
        <v>52018</v>
      </c>
      <c r="BH1" s="6">
        <v>52201</v>
      </c>
      <c r="BI1" s="6">
        <v>52383</v>
      </c>
      <c r="BJ1" s="6">
        <v>52566</v>
      </c>
      <c r="BK1" s="6">
        <v>52749</v>
      </c>
      <c r="BL1" s="6">
        <v>52932</v>
      </c>
      <c r="BM1" s="6">
        <v>53114</v>
      </c>
      <c r="BN1" s="6">
        <v>53297</v>
      </c>
      <c r="BO1" s="6">
        <v>53297</v>
      </c>
      <c r="BP1" s="6">
        <v>53479</v>
      </c>
      <c r="BQ1" s="6">
        <v>53662</v>
      </c>
      <c r="BR1" s="6">
        <v>53844</v>
      </c>
      <c r="BS1" s="6">
        <v>54027</v>
      </c>
      <c r="BT1" s="6">
        <v>54210</v>
      </c>
      <c r="BU1" s="6">
        <v>54393</v>
      </c>
      <c r="BV1" s="6">
        <v>54393</v>
      </c>
      <c r="BW1" s="6">
        <v>54575</v>
      </c>
      <c r="BX1" s="6">
        <v>54758</v>
      </c>
      <c r="BY1" s="6">
        <v>54940</v>
      </c>
      <c r="BZ1" s="6">
        <v>55123</v>
      </c>
      <c r="CA1" s="6">
        <v>55305</v>
      </c>
      <c r="CB1" s="6">
        <v>55488</v>
      </c>
      <c r="CC1" s="6">
        <v>55671</v>
      </c>
      <c r="CD1" s="6">
        <v>55854</v>
      </c>
      <c r="CE1" s="6">
        <v>56036</v>
      </c>
      <c r="CF1" s="6">
        <v>56219</v>
      </c>
      <c r="CG1" s="6">
        <v>56401</v>
      </c>
      <c r="CH1" s="6">
        <v>56584</v>
      </c>
      <c r="CI1" s="6">
        <v>56766</v>
      </c>
      <c r="CJ1" s="6">
        <v>56949</v>
      </c>
      <c r="CK1" s="6">
        <v>57132</v>
      </c>
      <c r="CL1" s="6">
        <v>57315</v>
      </c>
      <c r="CM1" s="6">
        <v>57497</v>
      </c>
      <c r="CN1" s="6">
        <v>57680</v>
      </c>
      <c r="CO1" s="6">
        <v>57862</v>
      </c>
      <c r="CP1" s="6">
        <v>58045</v>
      </c>
      <c r="CQ1" s="6">
        <v>58227</v>
      </c>
      <c r="CR1" s="6">
        <v>58410</v>
      </c>
      <c r="CS1" s="6">
        <v>58593</v>
      </c>
      <c r="CT1" s="6">
        <v>58776</v>
      </c>
      <c r="CU1" s="6">
        <v>58958</v>
      </c>
      <c r="CV1" s="6">
        <v>59141</v>
      </c>
      <c r="CW1" s="6">
        <v>59323</v>
      </c>
      <c r="CX1" s="6">
        <v>59506</v>
      </c>
      <c r="CY1" s="6">
        <v>59688</v>
      </c>
      <c r="CZ1" s="6">
        <v>59871</v>
      </c>
      <c r="DA1" s="6">
        <v>60054</v>
      </c>
      <c r="DB1" s="6">
        <v>60237</v>
      </c>
      <c r="DC1" s="6">
        <v>60237</v>
      </c>
    </row>
    <row r="2" spans="1:107" x14ac:dyDescent="0.25">
      <c r="A2">
        <f>WEEKDAY(B2)</f>
        <v>6</v>
      </c>
      <c r="B2" s="2">
        <v>42006</v>
      </c>
      <c r="C2">
        <v>0.88329000000000002</v>
      </c>
      <c r="D2">
        <v>0.97628000000000004</v>
      </c>
      <c r="E2">
        <v>0.94752000000000003</v>
      </c>
      <c r="F2">
        <v>0.95279000000000003</v>
      </c>
      <c r="G2">
        <v>0.97214</v>
      </c>
      <c r="H2">
        <v>1.02206</v>
      </c>
      <c r="I2">
        <v>1.03671</v>
      </c>
      <c r="J2">
        <v>0.96033999999999997</v>
      </c>
      <c r="K2">
        <v>0.99392000000000003</v>
      </c>
      <c r="L2">
        <v>1.01631</v>
      </c>
      <c r="M2">
        <v>1.0134300000000001</v>
      </c>
      <c r="N2">
        <v>0.99933000000000005</v>
      </c>
      <c r="O2">
        <v>1.10608</v>
      </c>
      <c r="P2">
        <v>1.11466</v>
      </c>
      <c r="Q2">
        <v>1.04766</v>
      </c>
      <c r="R2">
        <v>1.0728</v>
      </c>
      <c r="S2">
        <v>1.15012</v>
      </c>
      <c r="T2">
        <v>1.19306</v>
      </c>
      <c r="U2">
        <v>1.2103999999999999</v>
      </c>
      <c r="V2">
        <v>1.2312000000000001</v>
      </c>
      <c r="W2">
        <v>1.2818099999999999</v>
      </c>
      <c r="X2">
        <v>1.3460300000000001</v>
      </c>
      <c r="Y2">
        <v>1.3984300000000001</v>
      </c>
      <c r="Z2">
        <v>1.34612</v>
      </c>
      <c r="AA2">
        <v>1.41706</v>
      </c>
      <c r="AB2">
        <v>1.4112499999999999</v>
      </c>
      <c r="AC2">
        <v>1.45638</v>
      </c>
      <c r="AD2">
        <v>1.4144600000000001</v>
      </c>
      <c r="AE2">
        <v>1.3610800000000001</v>
      </c>
      <c r="AF2">
        <v>1.5123599999999999</v>
      </c>
      <c r="AG2">
        <v>1.5459400000000001</v>
      </c>
      <c r="AH2">
        <v>1.6003400000000001</v>
      </c>
      <c r="AI2">
        <v>1.5843</v>
      </c>
      <c r="AJ2">
        <v>1.61886</v>
      </c>
      <c r="AK2">
        <v>1.45353</v>
      </c>
      <c r="AL2">
        <v>1.6772499999999999</v>
      </c>
      <c r="AM2">
        <v>1.7372300000000001</v>
      </c>
      <c r="AN2">
        <v>1.5939000000000001</v>
      </c>
      <c r="AO2">
        <v>1.7920400000000001</v>
      </c>
      <c r="AP2">
        <v>1.8309299999999999</v>
      </c>
      <c r="AQ2">
        <v>1.6573100000000001</v>
      </c>
      <c r="AR2">
        <v>1.88245</v>
      </c>
      <c r="AS2">
        <v>1.9249700000000001</v>
      </c>
      <c r="AT2">
        <v>1.95502</v>
      </c>
      <c r="AU2">
        <v>1.9710799999999999</v>
      </c>
      <c r="AV2">
        <v>1.88951</v>
      </c>
      <c r="AW2">
        <v>2.2446799999999998</v>
      </c>
      <c r="AX2">
        <v>2.2445900000000001</v>
      </c>
      <c r="AY2">
        <v>2.28349</v>
      </c>
      <c r="AZ2">
        <v>2.30524</v>
      </c>
      <c r="BA2">
        <v>2.32965</v>
      </c>
      <c r="BB2">
        <v>2.3622899999999998</v>
      </c>
      <c r="BC2">
        <v>2.3839199999999998</v>
      </c>
      <c r="BD2">
        <v>2.3988200000000002</v>
      </c>
      <c r="BE2">
        <v>2.2874099999999999</v>
      </c>
      <c r="BF2">
        <v>2.4336199999999999</v>
      </c>
      <c r="BG2">
        <v>2.4236599999999999</v>
      </c>
      <c r="BH2">
        <v>2.4134899999999999</v>
      </c>
      <c r="BI2">
        <v>2.4076499999999998</v>
      </c>
      <c r="BJ2">
        <v>2.40767</v>
      </c>
      <c r="BK2">
        <v>2.4050199999999999</v>
      </c>
      <c r="BL2">
        <v>2.4000499999999998</v>
      </c>
      <c r="BM2">
        <v>2.3943500000000002</v>
      </c>
      <c r="BN2">
        <v>2.3946499999999999</v>
      </c>
      <c r="BO2">
        <v>2.3237899999999998</v>
      </c>
      <c r="BP2">
        <v>2.3896899999999999</v>
      </c>
      <c r="BQ2">
        <v>2.3896999999999999</v>
      </c>
      <c r="BR2">
        <v>2.3814600000000001</v>
      </c>
      <c r="BS2">
        <v>2.3814799999999998</v>
      </c>
      <c r="BT2">
        <v>2.3814899999999999</v>
      </c>
      <c r="BW2">
        <v>2.3782000000000001</v>
      </c>
      <c r="BX2">
        <v>2.3775499999999998</v>
      </c>
      <c r="BY2">
        <v>2.3775599999999999</v>
      </c>
      <c r="BZ2">
        <v>2.3749099999999999</v>
      </c>
      <c r="CA2">
        <v>2.37493</v>
      </c>
      <c r="CB2">
        <v>2.3749400000000001</v>
      </c>
      <c r="CC2">
        <v>2.3749500000000001</v>
      </c>
      <c r="CD2">
        <v>2.3749600000000002</v>
      </c>
      <c r="CE2">
        <v>2.3716400000000002</v>
      </c>
      <c r="CF2">
        <v>2.3716499999999998</v>
      </c>
      <c r="CG2">
        <v>2.3716599999999999</v>
      </c>
      <c r="CH2">
        <v>2.3716699999999999</v>
      </c>
      <c r="CI2">
        <v>2.3653499999999998</v>
      </c>
      <c r="CJ2">
        <v>2.36503</v>
      </c>
      <c r="CK2">
        <v>2.36537</v>
      </c>
      <c r="CL2">
        <v>2.36538</v>
      </c>
      <c r="CM2">
        <v>2.3653900000000001</v>
      </c>
      <c r="CN2">
        <v>2.3654000000000002</v>
      </c>
      <c r="CO2">
        <v>2.3649900000000001</v>
      </c>
      <c r="CP2">
        <v>2.3629199999999999</v>
      </c>
      <c r="CQ2">
        <v>2.3548499999999999</v>
      </c>
      <c r="CS2">
        <v>2.3579300000000001</v>
      </c>
      <c r="CT2">
        <v>2.3473700000000002</v>
      </c>
      <c r="CU2">
        <v>2.3473799999999998</v>
      </c>
      <c r="CV2">
        <v>2.3473799999999998</v>
      </c>
      <c r="CW2">
        <v>2.3554499999999998</v>
      </c>
      <c r="CX2">
        <v>2.3554599999999999</v>
      </c>
      <c r="CY2">
        <v>2.3529499999999999</v>
      </c>
      <c r="CZ2">
        <v>2.3631600000000001</v>
      </c>
      <c r="DA2">
        <v>2.3479700000000001</v>
      </c>
      <c r="DB2">
        <v>2.3479700000000001</v>
      </c>
      <c r="DC2">
        <v>2.2528700000000002</v>
      </c>
    </row>
    <row r="3" spans="1:107" x14ac:dyDescent="0.25">
      <c r="A3">
        <f t="shared" ref="A3:A66" si="0">WEEKDAY(B3)</f>
        <v>2</v>
      </c>
      <c r="B3" s="2">
        <v>42009</v>
      </c>
      <c r="C3">
        <v>0.90966000000000002</v>
      </c>
      <c r="D3">
        <v>1.0007200000000001</v>
      </c>
      <c r="E3">
        <v>0.95679999999999998</v>
      </c>
      <c r="F3">
        <v>0.96170999999999995</v>
      </c>
      <c r="G3">
        <v>0.99748000000000003</v>
      </c>
      <c r="H3">
        <v>1.02519</v>
      </c>
      <c r="I3">
        <v>0.98307999999999995</v>
      </c>
      <c r="J3">
        <v>0.95204999999999995</v>
      </c>
      <c r="K3">
        <v>0.97026999999999997</v>
      </c>
      <c r="L3">
        <v>1.00383</v>
      </c>
      <c r="M3">
        <v>1.0039</v>
      </c>
      <c r="N3">
        <v>0.98470000000000002</v>
      </c>
      <c r="O3">
        <v>1.09589</v>
      </c>
      <c r="P3">
        <v>1.10389</v>
      </c>
      <c r="Q3">
        <v>1.0367299999999999</v>
      </c>
      <c r="R3">
        <v>1.0532699999999999</v>
      </c>
      <c r="S3">
        <v>1.10175</v>
      </c>
      <c r="T3">
        <v>1.1564000000000001</v>
      </c>
      <c r="U3">
        <v>1.18865</v>
      </c>
      <c r="V3">
        <v>1.2049799999999999</v>
      </c>
      <c r="W3">
        <v>1.2582500000000001</v>
      </c>
      <c r="X3">
        <v>1.3214900000000001</v>
      </c>
      <c r="Y3">
        <v>1.3623799999999999</v>
      </c>
      <c r="Z3">
        <v>1.3098000000000001</v>
      </c>
      <c r="AA3">
        <v>1.38042</v>
      </c>
      <c r="AB3">
        <v>1.3751100000000001</v>
      </c>
      <c r="AC3">
        <v>1.4258599999999999</v>
      </c>
      <c r="AD3">
        <v>1.3837299999999999</v>
      </c>
      <c r="AE3">
        <v>1.31558</v>
      </c>
      <c r="AF3">
        <v>1.4685900000000001</v>
      </c>
      <c r="AG3">
        <v>1.49935</v>
      </c>
      <c r="AH3">
        <v>1.5680000000000001</v>
      </c>
      <c r="AI3">
        <v>1.54976</v>
      </c>
      <c r="AJ3">
        <v>1.5711200000000001</v>
      </c>
      <c r="AK3">
        <v>1.40588</v>
      </c>
      <c r="AL3">
        <v>1.6312899999999999</v>
      </c>
      <c r="AM3">
        <v>1.68126</v>
      </c>
      <c r="AN3">
        <v>1.54399</v>
      </c>
      <c r="AO3">
        <v>1.74112</v>
      </c>
      <c r="AP3">
        <v>1.7782199999999999</v>
      </c>
      <c r="AQ3">
        <v>1.6054600000000001</v>
      </c>
      <c r="AR3">
        <v>1.83002</v>
      </c>
      <c r="AS3">
        <v>1.87181</v>
      </c>
      <c r="AT3">
        <v>1.9044399999999999</v>
      </c>
      <c r="AU3">
        <v>1.91795</v>
      </c>
      <c r="AV3">
        <v>1.8363799999999999</v>
      </c>
      <c r="AW3">
        <v>2.1916600000000002</v>
      </c>
      <c r="AX3">
        <v>2.20079</v>
      </c>
      <c r="AY3">
        <v>2.23061</v>
      </c>
      <c r="AZ3">
        <v>2.2521200000000001</v>
      </c>
      <c r="BA3">
        <v>2.2754799999999999</v>
      </c>
      <c r="BB3">
        <v>2.3071999999999999</v>
      </c>
      <c r="BC3">
        <v>2.3288000000000002</v>
      </c>
      <c r="BD3">
        <v>2.3439399999999999</v>
      </c>
      <c r="BE3">
        <v>2.2285200000000001</v>
      </c>
      <c r="BF3">
        <v>2.3805900000000002</v>
      </c>
      <c r="BG3">
        <v>2.3706100000000001</v>
      </c>
      <c r="BH3">
        <v>2.3607800000000001</v>
      </c>
      <c r="BI3">
        <v>2.3556400000000002</v>
      </c>
      <c r="BJ3">
        <v>2.3556499999999998</v>
      </c>
      <c r="BK3">
        <v>2.3528199999999999</v>
      </c>
      <c r="BL3">
        <v>2.3478400000000001</v>
      </c>
      <c r="BM3">
        <v>2.3423400000000001</v>
      </c>
      <c r="BN3">
        <v>2.34335</v>
      </c>
      <c r="BO3">
        <v>2.27339</v>
      </c>
      <c r="BP3">
        <v>2.3383799999999999</v>
      </c>
      <c r="BQ3">
        <v>2.33839</v>
      </c>
      <c r="BR3">
        <v>2.33005</v>
      </c>
      <c r="BS3">
        <v>2.33006</v>
      </c>
      <c r="BT3">
        <v>2.3300700000000001</v>
      </c>
      <c r="BW3">
        <v>2.3267699999999998</v>
      </c>
      <c r="BX3">
        <v>2.32578</v>
      </c>
      <c r="BY3">
        <v>2.32578</v>
      </c>
      <c r="BZ3">
        <v>2.3234599999999999</v>
      </c>
      <c r="CA3">
        <v>2.3234699999999999</v>
      </c>
      <c r="CB3">
        <v>2.32348</v>
      </c>
      <c r="CC3">
        <v>2.32348</v>
      </c>
      <c r="CD3">
        <v>2.3234900000000001</v>
      </c>
      <c r="CE3">
        <v>2.32016</v>
      </c>
      <c r="CF3">
        <v>2.3201700000000001</v>
      </c>
      <c r="CG3">
        <v>2.3201700000000001</v>
      </c>
      <c r="CH3">
        <v>2.3201800000000001</v>
      </c>
      <c r="CI3">
        <v>2.31352</v>
      </c>
      <c r="CJ3">
        <v>2.3135300000000001</v>
      </c>
      <c r="CK3">
        <v>2.3135300000000001</v>
      </c>
      <c r="CL3">
        <v>2.3135400000000002</v>
      </c>
      <c r="CM3">
        <v>2.3135500000000002</v>
      </c>
      <c r="CN3">
        <v>2.3135500000000002</v>
      </c>
      <c r="CO3">
        <v>2.3135599999999998</v>
      </c>
      <c r="CP3">
        <v>2.3110599999999999</v>
      </c>
      <c r="CQ3">
        <v>2.3035700000000001</v>
      </c>
      <c r="CS3">
        <v>2.30606</v>
      </c>
      <c r="CT3">
        <v>2.2960799999999999</v>
      </c>
      <c r="CU3">
        <v>2.29609</v>
      </c>
      <c r="CV3">
        <v>2.29609</v>
      </c>
      <c r="CW3">
        <v>2.3155899999999998</v>
      </c>
      <c r="CX3">
        <v>2.3155999999999999</v>
      </c>
      <c r="CY3">
        <v>2.3010700000000002</v>
      </c>
      <c r="CZ3">
        <v>2.2980900000000002</v>
      </c>
      <c r="DA3">
        <v>2.2955800000000002</v>
      </c>
      <c r="DB3">
        <v>2.2955800000000002</v>
      </c>
      <c r="DC3">
        <v>2.2009599999999998</v>
      </c>
    </row>
    <row r="4" spans="1:107" x14ac:dyDescent="0.25">
      <c r="A4">
        <f t="shared" si="0"/>
        <v>3</v>
      </c>
      <c r="B4" s="2">
        <v>42010</v>
      </c>
      <c r="C4">
        <v>0.90375000000000005</v>
      </c>
      <c r="D4">
        <v>0.96936</v>
      </c>
      <c r="E4">
        <v>0.94821999999999995</v>
      </c>
      <c r="F4">
        <v>0.96165999999999996</v>
      </c>
      <c r="G4">
        <v>0.98319000000000001</v>
      </c>
      <c r="H4">
        <v>1.0084500000000001</v>
      </c>
      <c r="I4">
        <v>0.95354000000000005</v>
      </c>
      <c r="J4">
        <v>0.93615000000000004</v>
      </c>
      <c r="K4">
        <v>0.96694000000000002</v>
      </c>
      <c r="L4">
        <v>0.98724999999999996</v>
      </c>
      <c r="M4">
        <v>0.98797000000000001</v>
      </c>
      <c r="N4">
        <v>0.95977999999999997</v>
      </c>
      <c r="O4">
        <v>1.0787199999999999</v>
      </c>
      <c r="P4">
        <v>1.0864499999999999</v>
      </c>
      <c r="Q4">
        <v>1.0098100000000001</v>
      </c>
      <c r="R4">
        <v>1.02003</v>
      </c>
      <c r="S4">
        <v>1.09487</v>
      </c>
      <c r="T4">
        <v>1.13826</v>
      </c>
      <c r="U4">
        <v>1.1495500000000001</v>
      </c>
      <c r="V4">
        <v>1.1693100000000001</v>
      </c>
      <c r="W4">
        <v>1.2352799999999999</v>
      </c>
      <c r="X4">
        <v>1.2855099999999999</v>
      </c>
      <c r="Y4">
        <v>1.3174699999999999</v>
      </c>
      <c r="Z4">
        <v>1.26271</v>
      </c>
      <c r="AA4">
        <v>1.3343</v>
      </c>
      <c r="AB4">
        <v>1.32752</v>
      </c>
      <c r="AC4">
        <v>1.36172</v>
      </c>
      <c r="AD4">
        <v>1.3354200000000001</v>
      </c>
      <c r="AE4">
        <v>1.2659100000000001</v>
      </c>
      <c r="AF4">
        <v>1.4173199999999999</v>
      </c>
      <c r="AG4">
        <v>1.44787</v>
      </c>
      <c r="AH4">
        <v>1.5002</v>
      </c>
      <c r="AI4">
        <v>1.4887300000000001</v>
      </c>
      <c r="AJ4">
        <v>1.5146900000000001</v>
      </c>
      <c r="AK4">
        <v>1.3548500000000001</v>
      </c>
      <c r="AL4">
        <v>1.57802</v>
      </c>
      <c r="AM4">
        <v>1.63524</v>
      </c>
      <c r="AN4">
        <v>1.4839899999999999</v>
      </c>
      <c r="AO4">
        <v>1.69411</v>
      </c>
      <c r="AP4">
        <v>1.72942</v>
      </c>
      <c r="AQ4">
        <v>1.5562800000000001</v>
      </c>
      <c r="AR4">
        <v>1.78159</v>
      </c>
      <c r="AS4">
        <v>1.8214699999999999</v>
      </c>
      <c r="AT4">
        <v>1.8535699999999999</v>
      </c>
      <c r="AU4">
        <v>1.86893</v>
      </c>
      <c r="AV4">
        <v>1.79433</v>
      </c>
      <c r="AW4">
        <v>2.1456400000000002</v>
      </c>
      <c r="AX4">
        <v>2.1435</v>
      </c>
      <c r="AY4">
        <v>2.1877</v>
      </c>
      <c r="AZ4">
        <v>2.21095</v>
      </c>
      <c r="BA4">
        <v>2.2284199999999998</v>
      </c>
      <c r="BB4">
        <v>2.2567400000000002</v>
      </c>
      <c r="BC4">
        <v>2.2824800000000001</v>
      </c>
      <c r="BD4">
        <v>2.2959800000000001</v>
      </c>
      <c r="BE4">
        <v>2.1867200000000002</v>
      </c>
      <c r="BF4">
        <v>2.3368799999999998</v>
      </c>
      <c r="BG4">
        <v>2.3269099999999998</v>
      </c>
      <c r="BH4">
        <v>2.3122400000000001</v>
      </c>
      <c r="BI4">
        <v>2.3119700000000001</v>
      </c>
      <c r="BJ4">
        <v>2.3119800000000001</v>
      </c>
      <c r="BK4">
        <v>2.3098200000000002</v>
      </c>
      <c r="BL4">
        <v>2.30484</v>
      </c>
      <c r="BM4">
        <v>2.2993100000000002</v>
      </c>
      <c r="BN4">
        <v>2.2993299999999999</v>
      </c>
      <c r="BO4">
        <v>2.2321499999999999</v>
      </c>
      <c r="BP4">
        <v>2.2943600000000002</v>
      </c>
      <c r="BQ4">
        <v>2.2943699999999998</v>
      </c>
      <c r="BR4">
        <v>2.2870499999999998</v>
      </c>
      <c r="BS4">
        <v>2.2870599999999999</v>
      </c>
      <c r="BT4">
        <v>2.2870599999999999</v>
      </c>
      <c r="BW4">
        <v>2.28376</v>
      </c>
      <c r="BX4">
        <v>2.2867299999999999</v>
      </c>
      <c r="BY4">
        <v>2.28674</v>
      </c>
      <c r="BZ4">
        <v>2.2804500000000001</v>
      </c>
      <c r="CA4">
        <v>2.2804600000000002</v>
      </c>
      <c r="CB4">
        <v>2.2804700000000002</v>
      </c>
      <c r="CC4">
        <v>2.2791000000000001</v>
      </c>
      <c r="CD4">
        <v>2.2791000000000001</v>
      </c>
      <c r="CE4">
        <v>2.27244</v>
      </c>
      <c r="CF4">
        <v>2.2724500000000001</v>
      </c>
      <c r="CG4">
        <v>2.2724500000000001</v>
      </c>
      <c r="CH4">
        <v>2.2771699999999999</v>
      </c>
      <c r="CI4">
        <v>2.27102</v>
      </c>
      <c r="CJ4">
        <v>2.2705199999999999</v>
      </c>
      <c r="CK4">
        <v>2.2695099999999999</v>
      </c>
      <c r="CL4">
        <v>2.26952</v>
      </c>
      <c r="CM4">
        <v>2.26952</v>
      </c>
      <c r="CN4">
        <v>2.26953</v>
      </c>
      <c r="CO4">
        <v>2.26953</v>
      </c>
      <c r="CP4">
        <v>2.2685499999999998</v>
      </c>
      <c r="CQ4">
        <v>2.2610600000000001</v>
      </c>
      <c r="CS4">
        <v>2.26356</v>
      </c>
      <c r="CT4">
        <v>2.2535699999999999</v>
      </c>
      <c r="CU4">
        <v>2.2535799999999999</v>
      </c>
      <c r="CV4">
        <v>2.2535799999999999</v>
      </c>
      <c r="CW4">
        <v>2.2610700000000001</v>
      </c>
      <c r="CX4">
        <v>2.2610700000000001</v>
      </c>
      <c r="CY4">
        <v>2.2585700000000002</v>
      </c>
      <c r="CZ4">
        <v>2.2675299999999998</v>
      </c>
      <c r="DA4">
        <v>2.2540200000000001</v>
      </c>
      <c r="DB4">
        <v>2.2540300000000002</v>
      </c>
      <c r="DC4">
        <v>2.1585899999999998</v>
      </c>
    </row>
    <row r="5" spans="1:107" x14ac:dyDescent="0.25">
      <c r="A5">
        <f t="shared" si="0"/>
        <v>4</v>
      </c>
      <c r="B5" s="2">
        <v>42011</v>
      </c>
      <c r="C5">
        <v>0.87963999999999998</v>
      </c>
      <c r="D5">
        <v>0.97568999999999995</v>
      </c>
      <c r="E5">
        <v>0.94198000000000004</v>
      </c>
      <c r="F5">
        <v>0.95335000000000003</v>
      </c>
      <c r="G5">
        <v>0.97621000000000002</v>
      </c>
      <c r="H5">
        <v>0.99660000000000004</v>
      </c>
      <c r="I5">
        <v>0.95423000000000002</v>
      </c>
      <c r="J5">
        <v>0.94044000000000005</v>
      </c>
      <c r="K5">
        <v>0.96987999999999996</v>
      </c>
      <c r="L5">
        <v>0.99236000000000002</v>
      </c>
      <c r="M5">
        <v>0.99353000000000002</v>
      </c>
      <c r="N5">
        <v>0.96825000000000006</v>
      </c>
      <c r="O5">
        <v>1.0827899999999999</v>
      </c>
      <c r="P5">
        <v>1.0912999999999999</v>
      </c>
      <c r="Q5">
        <v>1.0199400000000001</v>
      </c>
      <c r="R5">
        <v>1.0301499999999999</v>
      </c>
      <c r="S5">
        <v>1.105</v>
      </c>
      <c r="T5">
        <v>1.1485399999999999</v>
      </c>
      <c r="U5">
        <v>1.1549700000000001</v>
      </c>
      <c r="V5">
        <v>1.1754199999999999</v>
      </c>
      <c r="W5">
        <v>1.2418400000000001</v>
      </c>
      <c r="X5">
        <v>1.2922199999999999</v>
      </c>
      <c r="Y5">
        <v>1.3225199999999999</v>
      </c>
      <c r="Z5">
        <v>1.2698199999999999</v>
      </c>
      <c r="AA5">
        <v>1.34118</v>
      </c>
      <c r="AB5">
        <v>1.3352999999999999</v>
      </c>
      <c r="AC5">
        <v>1.38297</v>
      </c>
      <c r="AD5">
        <v>1.3404499999999999</v>
      </c>
      <c r="AE5">
        <v>1.2761899999999999</v>
      </c>
      <c r="AF5">
        <v>1.4248799999999999</v>
      </c>
      <c r="AG5">
        <v>1.4543900000000001</v>
      </c>
      <c r="AH5">
        <v>1.50549</v>
      </c>
      <c r="AI5">
        <v>1.4940100000000001</v>
      </c>
      <c r="AJ5">
        <v>1.52624</v>
      </c>
      <c r="AK5">
        <v>1.3622000000000001</v>
      </c>
      <c r="AL5">
        <v>1.5859099999999999</v>
      </c>
      <c r="AM5">
        <v>1.63585</v>
      </c>
      <c r="AN5">
        <v>1.48891</v>
      </c>
      <c r="AO5">
        <v>1.6984699999999999</v>
      </c>
      <c r="AP5">
        <v>1.73427</v>
      </c>
      <c r="AQ5">
        <v>1.5707800000000001</v>
      </c>
      <c r="AR5">
        <v>1.78667</v>
      </c>
      <c r="AS5">
        <v>1.82944</v>
      </c>
      <c r="AT5">
        <v>1.8577600000000001</v>
      </c>
      <c r="AU5">
        <v>1.87277</v>
      </c>
      <c r="AV5">
        <v>1.7982</v>
      </c>
      <c r="AW5">
        <v>2.15157</v>
      </c>
      <c r="AX5">
        <v>2.14933</v>
      </c>
      <c r="AY5">
        <v>2.1905000000000001</v>
      </c>
      <c r="AZ5">
        <v>2.21116</v>
      </c>
      <c r="BA5">
        <v>2.23569</v>
      </c>
      <c r="BB5">
        <v>2.2651699999999999</v>
      </c>
      <c r="BC5">
        <v>2.2909299999999999</v>
      </c>
      <c r="BD5">
        <v>2.3062399999999998</v>
      </c>
      <c r="BE5">
        <v>2.1957300000000002</v>
      </c>
      <c r="BF5">
        <v>2.3368899999999999</v>
      </c>
      <c r="BG5">
        <v>2.3329399999999998</v>
      </c>
      <c r="BH5">
        <v>2.3233899999999998</v>
      </c>
      <c r="BI5">
        <v>2.3222900000000002</v>
      </c>
      <c r="BJ5">
        <v>2.3223099999999999</v>
      </c>
      <c r="BK5">
        <v>2.31298</v>
      </c>
      <c r="BL5">
        <v>2.31351</v>
      </c>
      <c r="BM5">
        <v>2.3130899999999999</v>
      </c>
      <c r="BN5">
        <v>2.31643</v>
      </c>
      <c r="BO5">
        <v>2.2410899999999998</v>
      </c>
      <c r="BP5">
        <v>2.3061199999999999</v>
      </c>
      <c r="BQ5">
        <v>2.30613</v>
      </c>
      <c r="BR5">
        <v>2.2970899999999999</v>
      </c>
      <c r="BS5">
        <v>2.29711</v>
      </c>
      <c r="BT5">
        <v>2.2971200000000001</v>
      </c>
      <c r="BW5">
        <v>2.2938299999999998</v>
      </c>
      <c r="BX5">
        <v>2.2947199999999999</v>
      </c>
      <c r="BY5">
        <v>2.29474</v>
      </c>
      <c r="BZ5">
        <v>2.29054</v>
      </c>
      <c r="CA5">
        <v>2.2905500000000001</v>
      </c>
      <c r="CB5">
        <v>2.2905600000000002</v>
      </c>
      <c r="CC5">
        <v>2.2897400000000001</v>
      </c>
      <c r="CD5">
        <v>2.2897500000000002</v>
      </c>
      <c r="CE5">
        <v>2.2847599999999999</v>
      </c>
      <c r="CF5">
        <v>2.28477</v>
      </c>
      <c r="CG5">
        <v>2.28478</v>
      </c>
      <c r="CH5">
        <v>2.28729</v>
      </c>
      <c r="CI5">
        <v>2.2798099999999999</v>
      </c>
      <c r="CJ5">
        <v>2.2806500000000001</v>
      </c>
      <c r="CK5">
        <v>2.27983</v>
      </c>
      <c r="CL5">
        <v>2.2798400000000001</v>
      </c>
      <c r="CM5">
        <v>2.2798500000000002</v>
      </c>
      <c r="CN5">
        <v>2.2798500000000002</v>
      </c>
      <c r="CO5">
        <v>2.2814100000000002</v>
      </c>
      <c r="CP5">
        <v>2.2733300000000001</v>
      </c>
      <c r="CQ5">
        <v>2.2708400000000002</v>
      </c>
      <c r="CS5">
        <v>2.26335</v>
      </c>
      <c r="CT5">
        <v>2.26336</v>
      </c>
      <c r="CU5">
        <v>2.2633700000000001</v>
      </c>
      <c r="CV5">
        <v>2.2633800000000002</v>
      </c>
      <c r="CW5">
        <v>2.2825099999999998</v>
      </c>
      <c r="CX5">
        <v>2.2825199999999999</v>
      </c>
      <c r="CY5">
        <v>2.2534000000000001</v>
      </c>
      <c r="CZ5">
        <v>2.2604299999999999</v>
      </c>
      <c r="DA5">
        <v>2.2619199999999999</v>
      </c>
      <c r="DB5">
        <v>2.2619199999999999</v>
      </c>
      <c r="DC5">
        <v>2.1681499999999998</v>
      </c>
    </row>
    <row r="6" spans="1:107" x14ac:dyDescent="0.25">
      <c r="A6">
        <f t="shared" si="0"/>
        <v>5</v>
      </c>
      <c r="B6" s="2">
        <v>42012</v>
      </c>
      <c r="C6">
        <v>0.86711000000000005</v>
      </c>
      <c r="D6">
        <v>0.94052999999999998</v>
      </c>
      <c r="E6">
        <v>0.93983000000000005</v>
      </c>
      <c r="F6">
        <v>0.95326</v>
      </c>
      <c r="G6">
        <v>0.97336999999999996</v>
      </c>
      <c r="H6">
        <v>1.00518</v>
      </c>
      <c r="I6">
        <v>0.95452999999999999</v>
      </c>
      <c r="J6">
        <v>0.94437000000000004</v>
      </c>
      <c r="K6">
        <v>0.97426000000000001</v>
      </c>
      <c r="L6">
        <v>0.99783999999999995</v>
      </c>
      <c r="M6">
        <v>0.99748000000000003</v>
      </c>
      <c r="N6">
        <v>0.97614000000000001</v>
      </c>
      <c r="O6">
        <v>1.0867</v>
      </c>
      <c r="P6">
        <v>1.09598</v>
      </c>
      <c r="Q6">
        <v>1.0131699999999999</v>
      </c>
      <c r="R6">
        <v>1.04267</v>
      </c>
      <c r="S6">
        <v>1.11826</v>
      </c>
      <c r="T6">
        <v>1.16177</v>
      </c>
      <c r="U6">
        <v>1.18632</v>
      </c>
      <c r="V6">
        <v>1.20221</v>
      </c>
      <c r="W6">
        <v>1.2689299999999999</v>
      </c>
      <c r="X6">
        <v>1.32077</v>
      </c>
      <c r="Y6">
        <v>1.36192</v>
      </c>
      <c r="Z6">
        <v>1.3100700000000001</v>
      </c>
      <c r="AA6">
        <v>1.38019</v>
      </c>
      <c r="AB6">
        <v>1.3757299999999999</v>
      </c>
      <c r="AC6">
        <v>1.4119999999999999</v>
      </c>
      <c r="AD6">
        <v>1.3830800000000001</v>
      </c>
      <c r="AE6">
        <v>1.31375</v>
      </c>
      <c r="AF6">
        <v>1.46678</v>
      </c>
      <c r="AG6">
        <v>1.49671</v>
      </c>
      <c r="AH6">
        <v>1.54779</v>
      </c>
      <c r="AI6">
        <v>1.5386299999999999</v>
      </c>
      <c r="AJ6">
        <v>1.56521</v>
      </c>
      <c r="AK6">
        <v>1.40405</v>
      </c>
      <c r="AL6">
        <v>1.6301000000000001</v>
      </c>
      <c r="AM6">
        <v>1.6903699999999999</v>
      </c>
      <c r="AN6">
        <v>1.54125</v>
      </c>
      <c r="AO6">
        <v>1.7530399999999999</v>
      </c>
      <c r="AP6">
        <v>1.7920400000000001</v>
      </c>
      <c r="AQ6">
        <v>1.6146199999999999</v>
      </c>
      <c r="AR6">
        <v>1.8483499999999999</v>
      </c>
      <c r="AS6">
        <v>1.8877200000000001</v>
      </c>
      <c r="AT6">
        <v>1.9158900000000001</v>
      </c>
      <c r="AU6">
        <v>1.9313800000000001</v>
      </c>
      <c r="AV6">
        <v>1.8514999999999999</v>
      </c>
      <c r="AW6">
        <v>2.2117300000000002</v>
      </c>
      <c r="AX6">
        <v>2.2105299999999999</v>
      </c>
      <c r="AY6">
        <v>2.2538299999999998</v>
      </c>
      <c r="AZ6">
        <v>2.2751399999999999</v>
      </c>
      <c r="BA6">
        <v>2.29419</v>
      </c>
      <c r="BB6">
        <v>2.32029</v>
      </c>
      <c r="BC6">
        <v>2.34605</v>
      </c>
      <c r="BD6">
        <v>2.3597000000000001</v>
      </c>
      <c r="BE6">
        <v>2.2412899999999998</v>
      </c>
      <c r="BF6">
        <v>2.40354</v>
      </c>
      <c r="BG6">
        <v>2.39358</v>
      </c>
      <c r="BH6">
        <v>2.38381</v>
      </c>
      <c r="BI6">
        <v>2.3866800000000001</v>
      </c>
      <c r="BJ6">
        <v>2.3866999999999998</v>
      </c>
      <c r="BK6">
        <v>2.38171</v>
      </c>
      <c r="BL6">
        <v>2.3767399999999999</v>
      </c>
      <c r="BM6">
        <v>2.37337</v>
      </c>
      <c r="BN6">
        <v>2.3696000000000002</v>
      </c>
      <c r="BO6">
        <v>2.29813</v>
      </c>
      <c r="BP6">
        <v>2.36463</v>
      </c>
      <c r="BQ6">
        <v>2.3646500000000001</v>
      </c>
      <c r="BR6">
        <v>2.3557700000000001</v>
      </c>
      <c r="BS6">
        <v>2.3557800000000002</v>
      </c>
      <c r="BT6">
        <v>2.3557899999999998</v>
      </c>
      <c r="BW6">
        <v>2.3525</v>
      </c>
      <c r="BX6">
        <v>2.3515199999999998</v>
      </c>
      <c r="BY6">
        <v>2.3515299999999999</v>
      </c>
      <c r="BZ6">
        <v>2.3492099999999998</v>
      </c>
      <c r="CA6">
        <v>2.3492299999999999</v>
      </c>
      <c r="CB6">
        <v>2.34924</v>
      </c>
      <c r="CC6">
        <v>2.3492500000000001</v>
      </c>
      <c r="CD6">
        <v>2.3492600000000001</v>
      </c>
      <c r="CE6">
        <v>2.3459400000000001</v>
      </c>
      <c r="CF6">
        <v>2.3459500000000002</v>
      </c>
      <c r="CG6">
        <v>2.3459599999999998</v>
      </c>
      <c r="CH6">
        <v>2.3459699999999999</v>
      </c>
      <c r="CI6">
        <v>2.3390399999999998</v>
      </c>
      <c r="CJ6">
        <v>2.3393299999999999</v>
      </c>
      <c r="CK6">
        <v>2.3399000000000001</v>
      </c>
      <c r="CL6">
        <v>2.3399100000000002</v>
      </c>
      <c r="CM6">
        <v>2.3399200000000002</v>
      </c>
      <c r="CN6">
        <v>2.3399299999999998</v>
      </c>
      <c r="CO6">
        <v>2.3399399999999999</v>
      </c>
      <c r="CP6">
        <v>2.3315999999999999</v>
      </c>
      <c r="CQ6">
        <v>2.32911</v>
      </c>
      <c r="CS6">
        <v>2.33161</v>
      </c>
      <c r="CT6">
        <v>2.3216399999999999</v>
      </c>
      <c r="CU6">
        <v>2.32165</v>
      </c>
      <c r="CV6">
        <v>2.32165</v>
      </c>
      <c r="CW6">
        <v>2.3420000000000001</v>
      </c>
      <c r="CX6">
        <v>2.3291400000000002</v>
      </c>
      <c r="CY6">
        <v>2.3266300000000002</v>
      </c>
      <c r="CZ6">
        <v>2.31169</v>
      </c>
      <c r="DA6">
        <v>2.3211499999999998</v>
      </c>
      <c r="DB6">
        <v>2.3211599999999999</v>
      </c>
      <c r="DC6">
        <v>2.2268300000000001</v>
      </c>
    </row>
    <row r="7" spans="1:107" x14ac:dyDescent="0.25">
      <c r="A7">
        <f t="shared" si="0"/>
        <v>6</v>
      </c>
      <c r="B7" s="2">
        <v>42013</v>
      </c>
      <c r="C7">
        <v>0.86655000000000004</v>
      </c>
      <c r="D7">
        <v>0.93518000000000001</v>
      </c>
      <c r="E7">
        <v>0.93311999999999995</v>
      </c>
      <c r="F7">
        <v>0.95316999999999996</v>
      </c>
      <c r="G7">
        <v>0.97311000000000003</v>
      </c>
      <c r="H7">
        <v>0.99936000000000003</v>
      </c>
      <c r="I7">
        <v>1.02572</v>
      </c>
      <c r="J7">
        <v>0.92852999999999997</v>
      </c>
      <c r="K7">
        <v>0.95752000000000004</v>
      </c>
      <c r="L7">
        <v>0.98009999999999997</v>
      </c>
      <c r="M7">
        <v>0.98160000000000003</v>
      </c>
      <c r="N7">
        <v>0.94830000000000003</v>
      </c>
      <c r="O7">
        <v>1.0709200000000001</v>
      </c>
      <c r="P7">
        <v>1.0808</v>
      </c>
      <c r="Q7">
        <v>0.98280000000000001</v>
      </c>
      <c r="R7">
        <v>1.01234</v>
      </c>
      <c r="S7">
        <v>1.0879700000000001</v>
      </c>
      <c r="T7">
        <v>1.1310899999999999</v>
      </c>
      <c r="U7">
        <v>1.1455500000000001</v>
      </c>
      <c r="V7">
        <v>1.16096</v>
      </c>
      <c r="W7">
        <v>1.2301599999999999</v>
      </c>
      <c r="X7">
        <v>1.27393</v>
      </c>
      <c r="Y7">
        <v>1.3181</v>
      </c>
      <c r="Z7">
        <v>1.26569</v>
      </c>
      <c r="AA7">
        <v>1.33674</v>
      </c>
      <c r="AB7">
        <v>1.3306899999999999</v>
      </c>
      <c r="AC7">
        <v>1.3670599999999999</v>
      </c>
      <c r="AD7">
        <v>1.3378000000000001</v>
      </c>
      <c r="AE7">
        <v>1.26939</v>
      </c>
      <c r="AF7">
        <v>1.42187</v>
      </c>
      <c r="AG7">
        <v>1.45218</v>
      </c>
      <c r="AH7">
        <v>1.5032700000000001</v>
      </c>
      <c r="AI7">
        <v>1.4941199999999999</v>
      </c>
      <c r="AJ7">
        <v>1.51867</v>
      </c>
      <c r="AK7">
        <v>1.35907</v>
      </c>
      <c r="AL7">
        <v>1.5830299999999999</v>
      </c>
      <c r="AM7">
        <v>1.6458299999999999</v>
      </c>
      <c r="AN7">
        <v>1.4982500000000001</v>
      </c>
      <c r="AO7">
        <v>1.7078100000000001</v>
      </c>
      <c r="AP7">
        <v>1.7483</v>
      </c>
      <c r="AQ7">
        <v>1.57568</v>
      </c>
      <c r="AR7">
        <v>1.8005100000000001</v>
      </c>
      <c r="AS7">
        <v>1.84239</v>
      </c>
      <c r="AT7">
        <v>1.87266</v>
      </c>
      <c r="AU7">
        <v>1.8858600000000001</v>
      </c>
      <c r="AV7">
        <v>1.8073699999999999</v>
      </c>
      <c r="AW7">
        <v>2.16988</v>
      </c>
      <c r="AX7">
        <v>2.16825</v>
      </c>
      <c r="AY7">
        <v>2.21197</v>
      </c>
      <c r="AZ7">
        <v>2.23292</v>
      </c>
      <c r="BA7">
        <v>2.2517900000000002</v>
      </c>
      <c r="BB7">
        <v>2.2762799999999999</v>
      </c>
      <c r="BC7">
        <v>2.3020399999999999</v>
      </c>
      <c r="BD7">
        <v>2.3170799999999998</v>
      </c>
      <c r="BE7">
        <v>2.2009599999999998</v>
      </c>
      <c r="BF7">
        <v>2.35866</v>
      </c>
      <c r="BG7">
        <v>2.3487</v>
      </c>
      <c r="BH7">
        <v>2.3433799999999998</v>
      </c>
      <c r="BI7">
        <v>2.3430200000000001</v>
      </c>
      <c r="BJ7">
        <v>2.3430399999999998</v>
      </c>
      <c r="BK7">
        <v>2.3427699999999998</v>
      </c>
      <c r="BL7">
        <v>2.3361299999999998</v>
      </c>
      <c r="BM7">
        <v>2.3294800000000002</v>
      </c>
      <c r="BN7">
        <v>2.3204899999999999</v>
      </c>
      <c r="BO7">
        <v>2.2558699999999998</v>
      </c>
      <c r="BP7">
        <v>2.3203</v>
      </c>
      <c r="BQ7">
        <v>2.3203200000000002</v>
      </c>
      <c r="BR7">
        <v>2.3118799999999999</v>
      </c>
      <c r="BS7">
        <v>2.3119000000000001</v>
      </c>
      <c r="BT7">
        <v>2.3119100000000001</v>
      </c>
      <c r="BW7">
        <v>2.3086199999999999</v>
      </c>
      <c r="BX7">
        <v>2.3076300000000001</v>
      </c>
      <c r="BY7">
        <v>2.3076500000000002</v>
      </c>
      <c r="BZ7">
        <v>2.3053300000000001</v>
      </c>
      <c r="CA7">
        <v>2.3053400000000002</v>
      </c>
      <c r="CB7">
        <v>2.3053499999999998</v>
      </c>
      <c r="CC7">
        <v>2.3053599999999999</v>
      </c>
      <c r="CD7">
        <v>2.30538</v>
      </c>
      <c r="CE7">
        <v>2.3020499999999999</v>
      </c>
      <c r="CF7">
        <v>2.30206</v>
      </c>
      <c r="CG7">
        <v>2.3020700000000001</v>
      </c>
      <c r="CH7">
        <v>2.3020800000000001</v>
      </c>
      <c r="CI7">
        <v>2.2953800000000002</v>
      </c>
      <c r="CJ7">
        <v>2.2954400000000001</v>
      </c>
      <c r="CK7">
        <v>2.29556</v>
      </c>
      <c r="CL7">
        <v>2.2955700000000001</v>
      </c>
      <c r="CM7">
        <v>2.2955800000000002</v>
      </c>
      <c r="CN7">
        <v>2.2955899999999998</v>
      </c>
      <c r="CO7">
        <v>2.2955999999999999</v>
      </c>
      <c r="CP7">
        <v>2.2879399999999999</v>
      </c>
      <c r="CQ7">
        <v>2.28545</v>
      </c>
      <c r="CS7">
        <v>2.2879499999999999</v>
      </c>
      <c r="CT7">
        <v>2.2779799999999999</v>
      </c>
      <c r="CU7">
        <v>2.2779799999999999</v>
      </c>
      <c r="CV7">
        <v>2.27799</v>
      </c>
      <c r="CW7">
        <v>2.29766</v>
      </c>
      <c r="CX7">
        <v>2.29766</v>
      </c>
      <c r="CY7">
        <v>2.2829700000000002</v>
      </c>
      <c r="CZ7">
        <v>2.2799999999999998</v>
      </c>
      <c r="DA7">
        <v>2.2774899999999998</v>
      </c>
      <c r="DB7">
        <v>2.2774999999999999</v>
      </c>
      <c r="DC7">
        <v>2.1829399999999999</v>
      </c>
    </row>
    <row r="8" spans="1:107" x14ac:dyDescent="0.25">
      <c r="A8">
        <f t="shared" si="0"/>
        <v>2</v>
      </c>
      <c r="B8" s="2">
        <v>42016</v>
      </c>
      <c r="C8">
        <v>0.90554000000000001</v>
      </c>
      <c r="D8">
        <v>0.97282000000000002</v>
      </c>
      <c r="E8">
        <v>0.95367000000000002</v>
      </c>
      <c r="F8">
        <v>0.96528999999999998</v>
      </c>
      <c r="G8">
        <v>0.98180000000000001</v>
      </c>
      <c r="H8">
        <v>1.0085</v>
      </c>
      <c r="I8">
        <v>0.96233000000000002</v>
      </c>
      <c r="J8">
        <v>0.92513000000000001</v>
      </c>
      <c r="K8">
        <v>0.95218000000000003</v>
      </c>
      <c r="L8">
        <v>0.97706999999999999</v>
      </c>
      <c r="M8">
        <v>0.97697999999999996</v>
      </c>
      <c r="N8">
        <v>0.93201000000000001</v>
      </c>
      <c r="O8">
        <v>1.06246</v>
      </c>
      <c r="P8">
        <v>1.0729500000000001</v>
      </c>
      <c r="Q8">
        <v>0.95454000000000006</v>
      </c>
      <c r="R8">
        <v>0.98368999999999995</v>
      </c>
      <c r="S8">
        <v>1.0587299999999999</v>
      </c>
      <c r="T8">
        <v>1.10206</v>
      </c>
      <c r="U8">
        <v>1.10873</v>
      </c>
      <c r="V8">
        <v>1.1258300000000001</v>
      </c>
      <c r="W8">
        <v>1.1939</v>
      </c>
      <c r="X8">
        <v>1.2439499999999999</v>
      </c>
      <c r="Y8">
        <v>1.2773699999999999</v>
      </c>
      <c r="Z8">
        <v>1.2236899999999999</v>
      </c>
      <c r="AA8">
        <v>1.2946599999999999</v>
      </c>
      <c r="AB8">
        <v>1.2894300000000001</v>
      </c>
      <c r="AC8">
        <v>1.32402</v>
      </c>
      <c r="AD8">
        <v>1.2959000000000001</v>
      </c>
      <c r="AE8">
        <v>1.23099</v>
      </c>
      <c r="AF8">
        <v>1.3799399999999999</v>
      </c>
      <c r="AG8">
        <v>1.4104399999999999</v>
      </c>
      <c r="AH8">
        <v>1.4617899999999999</v>
      </c>
      <c r="AI8">
        <v>1.4528700000000001</v>
      </c>
      <c r="AJ8">
        <v>1.47709</v>
      </c>
      <c r="AK8">
        <v>1.3291200000000001</v>
      </c>
      <c r="AL8">
        <v>1.5412999999999999</v>
      </c>
      <c r="AM8">
        <v>1.5976999999999999</v>
      </c>
      <c r="AN8">
        <v>1.4483200000000001</v>
      </c>
      <c r="AO8">
        <v>1.6575500000000001</v>
      </c>
      <c r="AP8">
        <v>1.69848</v>
      </c>
      <c r="AQ8">
        <v>1.5221</v>
      </c>
      <c r="AR8">
        <v>1.7549300000000001</v>
      </c>
      <c r="AS8">
        <v>1.79589</v>
      </c>
      <c r="AT8">
        <v>1.82386</v>
      </c>
      <c r="AU8">
        <v>1.83606</v>
      </c>
      <c r="AV8">
        <v>1.7567699999999999</v>
      </c>
      <c r="AW8">
        <v>2.1210300000000002</v>
      </c>
      <c r="AX8">
        <v>2.1188699999999998</v>
      </c>
      <c r="AY8">
        <v>2.1598700000000002</v>
      </c>
      <c r="AZ8">
        <v>2.1802000000000001</v>
      </c>
      <c r="BA8">
        <v>2.2023899999999998</v>
      </c>
      <c r="BB8">
        <v>2.22689</v>
      </c>
      <c r="BC8">
        <v>2.2526299999999999</v>
      </c>
      <c r="BD8">
        <v>2.2656900000000002</v>
      </c>
      <c r="BE8">
        <v>2.1507200000000002</v>
      </c>
      <c r="BF8">
        <v>2.30789</v>
      </c>
      <c r="BG8">
        <v>2.29792</v>
      </c>
      <c r="BH8">
        <v>2.2932199999999998</v>
      </c>
      <c r="BI8">
        <v>2.2922899999999999</v>
      </c>
      <c r="BJ8">
        <v>2.2923</v>
      </c>
      <c r="BK8">
        <v>2.2873100000000002</v>
      </c>
      <c r="BL8">
        <v>2.2823199999999999</v>
      </c>
      <c r="BM8">
        <v>2.27583</v>
      </c>
      <c r="BN8">
        <v>2.2752400000000002</v>
      </c>
      <c r="BO8">
        <v>2.2053199999999999</v>
      </c>
      <c r="BP8">
        <v>2.2702599999999999</v>
      </c>
      <c r="BQ8">
        <v>2.27027</v>
      </c>
      <c r="BR8">
        <v>2.2619799999999999</v>
      </c>
      <c r="BS8">
        <v>2.2619899999999999</v>
      </c>
      <c r="BT8">
        <v>2.262</v>
      </c>
      <c r="BW8">
        <v>2.2586900000000001</v>
      </c>
      <c r="BX8">
        <v>2.2576999999999998</v>
      </c>
      <c r="BY8">
        <v>2.2577099999999999</v>
      </c>
      <c r="BZ8">
        <v>2.2553899999999998</v>
      </c>
      <c r="CA8">
        <v>2.2553899999999998</v>
      </c>
      <c r="CB8">
        <v>2.2553999999999998</v>
      </c>
      <c r="CC8">
        <v>2.2554099999999999</v>
      </c>
      <c r="CD8">
        <v>2.2554099999999999</v>
      </c>
      <c r="CE8">
        <v>2.2520799999999999</v>
      </c>
      <c r="CF8">
        <v>2.2520899999999999</v>
      </c>
      <c r="CG8">
        <v>2.2520899999999999</v>
      </c>
      <c r="CH8">
        <v>2.2521</v>
      </c>
      <c r="CI8">
        <v>2.2450000000000001</v>
      </c>
      <c r="CJ8">
        <v>2.2454499999999999</v>
      </c>
      <c r="CK8">
        <v>2.2459500000000001</v>
      </c>
      <c r="CL8">
        <v>2.2459600000000002</v>
      </c>
      <c r="CM8">
        <v>2.2459600000000002</v>
      </c>
      <c r="CN8">
        <v>2.2459699999999998</v>
      </c>
      <c r="CO8">
        <v>2.2454299999999998</v>
      </c>
      <c r="CP8">
        <v>2.2425299999999999</v>
      </c>
      <c r="CQ8">
        <v>2.2359900000000001</v>
      </c>
      <c r="CS8">
        <v>2.2284999999999999</v>
      </c>
      <c r="CT8">
        <v>2.2284999999999999</v>
      </c>
      <c r="CU8">
        <v>2.2284999999999999</v>
      </c>
      <c r="CV8">
        <v>2.22851</v>
      </c>
      <c r="CW8">
        <v>2.2465199999999999</v>
      </c>
      <c r="CX8">
        <v>2.2465299999999999</v>
      </c>
      <c r="CY8">
        <v>2.2325400000000002</v>
      </c>
      <c r="CZ8">
        <v>2.2251799999999999</v>
      </c>
      <c r="DA8">
        <v>2.2270500000000002</v>
      </c>
      <c r="DB8">
        <v>2.2270599999999998</v>
      </c>
      <c r="DC8">
        <v>2.1328900000000002</v>
      </c>
    </row>
    <row r="9" spans="1:107" x14ac:dyDescent="0.25">
      <c r="A9">
        <f t="shared" si="0"/>
        <v>3</v>
      </c>
      <c r="B9" s="2">
        <v>42017</v>
      </c>
      <c r="C9">
        <v>0.90395999999999999</v>
      </c>
      <c r="D9">
        <v>0.97160000000000002</v>
      </c>
      <c r="E9">
        <v>0.95433000000000001</v>
      </c>
      <c r="F9">
        <v>0.96523000000000003</v>
      </c>
      <c r="G9">
        <v>0.98473999999999995</v>
      </c>
      <c r="H9">
        <v>0.99995000000000001</v>
      </c>
      <c r="I9">
        <v>0.94596999999999998</v>
      </c>
      <c r="J9">
        <v>0.92313000000000001</v>
      </c>
      <c r="K9">
        <v>0.95162000000000002</v>
      </c>
      <c r="L9">
        <v>0.97152000000000005</v>
      </c>
      <c r="M9">
        <v>0.97497999999999996</v>
      </c>
      <c r="N9">
        <v>0.92818999999999996</v>
      </c>
      <c r="O9">
        <v>1.0647599999999999</v>
      </c>
      <c r="P9">
        <v>1.0537300000000001</v>
      </c>
      <c r="Q9">
        <v>0.95657000000000003</v>
      </c>
      <c r="R9">
        <v>0.97858000000000001</v>
      </c>
      <c r="S9">
        <v>1.0541400000000001</v>
      </c>
      <c r="T9">
        <v>1.08195</v>
      </c>
      <c r="U9">
        <v>1.10042</v>
      </c>
      <c r="V9">
        <v>1.1201700000000001</v>
      </c>
      <c r="W9">
        <v>1.1858900000000001</v>
      </c>
      <c r="X9">
        <v>1.23648</v>
      </c>
      <c r="Y9">
        <v>1.25837</v>
      </c>
      <c r="Z9">
        <v>1.20434</v>
      </c>
      <c r="AA9">
        <v>1.27607</v>
      </c>
      <c r="AB9">
        <v>1.26955</v>
      </c>
      <c r="AC9">
        <v>1.30511</v>
      </c>
      <c r="AD9">
        <v>1.2768299999999999</v>
      </c>
      <c r="AE9">
        <v>1.2108300000000001</v>
      </c>
      <c r="AF9">
        <v>1.36103</v>
      </c>
      <c r="AG9">
        <v>1.39167</v>
      </c>
      <c r="AH9">
        <v>1.4434499999999999</v>
      </c>
      <c r="AI9">
        <v>1.4354199999999999</v>
      </c>
      <c r="AJ9">
        <v>1.4576100000000001</v>
      </c>
      <c r="AK9">
        <v>1.29714</v>
      </c>
      <c r="AL9">
        <v>1.52138</v>
      </c>
      <c r="AM9">
        <v>1.58453</v>
      </c>
      <c r="AN9">
        <v>1.4349499999999999</v>
      </c>
      <c r="AO9">
        <v>1.64438</v>
      </c>
      <c r="AP9">
        <v>1.68632</v>
      </c>
      <c r="AQ9">
        <v>1.5178499999999999</v>
      </c>
      <c r="AR9">
        <v>1.7388600000000001</v>
      </c>
      <c r="AS9">
        <v>1.7841100000000001</v>
      </c>
      <c r="AT9">
        <v>1.81362</v>
      </c>
      <c r="AU9">
        <v>1.8226899999999999</v>
      </c>
      <c r="AV9">
        <v>1.74196</v>
      </c>
      <c r="AW9">
        <v>2.10941</v>
      </c>
      <c r="AX9">
        <v>2.1083699999999999</v>
      </c>
      <c r="AY9">
        <v>2.1492800000000001</v>
      </c>
      <c r="AZ9">
        <v>2.1680799999999998</v>
      </c>
      <c r="BA9">
        <v>2.1875</v>
      </c>
      <c r="BB9">
        <v>2.2189800000000002</v>
      </c>
      <c r="BC9">
        <v>2.24227</v>
      </c>
      <c r="BD9">
        <v>2.25909</v>
      </c>
      <c r="BE9">
        <v>2.1430799999999999</v>
      </c>
      <c r="BF9">
        <v>2.29305</v>
      </c>
      <c r="BG9">
        <v>2.2879900000000002</v>
      </c>
      <c r="BH9">
        <v>2.2784300000000002</v>
      </c>
      <c r="BI9">
        <v>2.27698</v>
      </c>
      <c r="BJ9">
        <v>2.2806099999999998</v>
      </c>
      <c r="BK9">
        <v>2.27562</v>
      </c>
      <c r="BL9">
        <v>2.2706300000000001</v>
      </c>
      <c r="BM9">
        <v>2.2683900000000001</v>
      </c>
      <c r="BN9">
        <v>2.2638500000000001</v>
      </c>
      <c r="BO9">
        <v>2.19306</v>
      </c>
      <c r="BP9">
        <v>2.2588699999999999</v>
      </c>
      <c r="BQ9">
        <v>2.25888</v>
      </c>
      <c r="BR9">
        <v>2.2503899999999999</v>
      </c>
      <c r="BS9">
        <v>2.2504</v>
      </c>
      <c r="BT9">
        <v>2.25041</v>
      </c>
      <c r="BW9">
        <v>2.2471000000000001</v>
      </c>
      <c r="BX9">
        <v>2.2488299999999999</v>
      </c>
      <c r="BY9">
        <v>2.24884</v>
      </c>
      <c r="BZ9">
        <v>2.2437999999999998</v>
      </c>
      <c r="CA9">
        <v>2.2437999999999998</v>
      </c>
      <c r="CB9">
        <v>2.2438099999999999</v>
      </c>
      <c r="CC9">
        <v>2.24377</v>
      </c>
      <c r="CD9">
        <v>2.24377</v>
      </c>
      <c r="CE9">
        <v>2.23888</v>
      </c>
      <c r="CF9">
        <v>2.23889</v>
      </c>
      <c r="CG9">
        <v>2.23889</v>
      </c>
      <c r="CH9">
        <v>2.24051</v>
      </c>
      <c r="CI9">
        <v>2.2333099999999999</v>
      </c>
      <c r="CJ9">
        <v>2.23386</v>
      </c>
      <c r="CK9">
        <v>2.23332</v>
      </c>
      <c r="CL9">
        <v>2.23332</v>
      </c>
      <c r="CM9">
        <v>2.23333</v>
      </c>
      <c r="CN9">
        <v>2.23333</v>
      </c>
      <c r="CO9">
        <v>2.2340499999999999</v>
      </c>
      <c r="CP9">
        <v>2.2267899999999998</v>
      </c>
      <c r="CQ9">
        <v>2.2242899999999999</v>
      </c>
      <c r="CS9">
        <v>2.2168000000000001</v>
      </c>
      <c r="CT9">
        <v>2.2168100000000002</v>
      </c>
      <c r="CU9">
        <v>2.2168100000000002</v>
      </c>
      <c r="CV9">
        <v>2.2168100000000002</v>
      </c>
      <c r="CW9">
        <v>2.2233499999999999</v>
      </c>
      <c r="CX9">
        <v>2.22336</v>
      </c>
      <c r="CY9">
        <v>2.22085</v>
      </c>
      <c r="CZ9">
        <v>2.21896</v>
      </c>
      <c r="DA9">
        <v>2.2163499999999998</v>
      </c>
      <c r="DB9">
        <v>2.2163599999999999</v>
      </c>
      <c r="DC9">
        <v>2.1219600000000001</v>
      </c>
    </row>
    <row r="10" spans="1:107" x14ac:dyDescent="0.25">
      <c r="A10">
        <f t="shared" si="0"/>
        <v>4</v>
      </c>
      <c r="B10" s="2">
        <v>42018</v>
      </c>
      <c r="C10">
        <v>0.88202999999999998</v>
      </c>
      <c r="D10">
        <v>0.96740000000000004</v>
      </c>
      <c r="E10">
        <v>0.93696000000000002</v>
      </c>
      <c r="F10">
        <v>0.95662999999999998</v>
      </c>
      <c r="G10">
        <v>0.97406999999999999</v>
      </c>
      <c r="H10">
        <v>0.98741000000000001</v>
      </c>
      <c r="I10">
        <v>0.91839999999999999</v>
      </c>
      <c r="J10">
        <v>0.89975000000000005</v>
      </c>
      <c r="K10">
        <v>0.93161000000000005</v>
      </c>
      <c r="L10">
        <v>0.94764999999999999</v>
      </c>
      <c r="M10">
        <v>0.95277999999999996</v>
      </c>
      <c r="N10">
        <v>0.90154999999999996</v>
      </c>
      <c r="O10">
        <v>1.0454600000000001</v>
      </c>
      <c r="P10">
        <v>1.0307500000000001</v>
      </c>
      <c r="Q10">
        <v>0.91544999999999999</v>
      </c>
      <c r="R10">
        <v>0.94779000000000002</v>
      </c>
      <c r="S10">
        <v>1.01884</v>
      </c>
      <c r="T10">
        <v>1.0476000000000001</v>
      </c>
      <c r="U10">
        <v>1.06772</v>
      </c>
      <c r="V10">
        <v>1.08948</v>
      </c>
      <c r="W10">
        <v>1.1565700000000001</v>
      </c>
      <c r="X10">
        <v>1.2073100000000001</v>
      </c>
      <c r="Y10">
        <v>1.2451399999999999</v>
      </c>
      <c r="Z10">
        <v>1.1672199999999999</v>
      </c>
      <c r="AA10">
        <v>1.2406299999999999</v>
      </c>
      <c r="AB10">
        <v>1.23021</v>
      </c>
      <c r="AC10">
        <v>1.2670699999999999</v>
      </c>
      <c r="AD10">
        <v>1.234</v>
      </c>
      <c r="AE10">
        <v>1.1736200000000001</v>
      </c>
      <c r="AF10">
        <v>1.31602</v>
      </c>
      <c r="AG10">
        <v>1.34432</v>
      </c>
      <c r="AH10">
        <v>1.41327</v>
      </c>
      <c r="AI10">
        <v>1.3951199999999999</v>
      </c>
      <c r="AJ10">
        <v>1.41676</v>
      </c>
      <c r="AK10">
        <v>1.2545200000000001</v>
      </c>
      <c r="AL10">
        <v>1.48062</v>
      </c>
      <c r="AM10">
        <v>1.5494699999999999</v>
      </c>
      <c r="AN10">
        <v>1.3979900000000001</v>
      </c>
      <c r="AO10">
        <v>1.6093500000000001</v>
      </c>
      <c r="AP10">
        <v>1.65096</v>
      </c>
      <c r="AQ10">
        <v>1.4802900000000001</v>
      </c>
      <c r="AR10">
        <v>1.7071499999999999</v>
      </c>
      <c r="AS10">
        <v>1.74705</v>
      </c>
      <c r="AT10">
        <v>1.7766</v>
      </c>
      <c r="AU10">
        <v>1.7797799999999999</v>
      </c>
      <c r="AV10">
        <v>1.6964300000000001</v>
      </c>
      <c r="AW10">
        <v>2.0786799999999999</v>
      </c>
      <c r="AX10">
        <v>2.0822400000000001</v>
      </c>
      <c r="AY10">
        <v>2.11469</v>
      </c>
      <c r="AZ10">
        <v>2.1362199999999998</v>
      </c>
      <c r="BA10">
        <v>2.1572200000000001</v>
      </c>
      <c r="BB10">
        <v>2.1867200000000002</v>
      </c>
      <c r="BC10">
        <v>2.21109</v>
      </c>
      <c r="BD10">
        <v>2.2230400000000001</v>
      </c>
      <c r="BE10">
        <v>2.1060699999999999</v>
      </c>
      <c r="BF10">
        <v>2.2586200000000001</v>
      </c>
      <c r="BG10">
        <v>2.25353</v>
      </c>
      <c r="BH10">
        <v>2.2435399999999999</v>
      </c>
      <c r="BI10">
        <v>2.2461899999999999</v>
      </c>
      <c r="BJ10">
        <v>2.24621</v>
      </c>
      <c r="BK10">
        <v>2.2412200000000002</v>
      </c>
      <c r="BL10">
        <v>2.2362500000000001</v>
      </c>
      <c r="BM10">
        <v>2.2339699999999998</v>
      </c>
      <c r="BN10">
        <v>2.2240700000000002</v>
      </c>
      <c r="BO10">
        <v>2.1587800000000001</v>
      </c>
      <c r="BP10">
        <v>2.2241399999999998</v>
      </c>
      <c r="BQ10">
        <v>2.2241599999999999</v>
      </c>
      <c r="BR10">
        <v>2.2161200000000001</v>
      </c>
      <c r="BS10">
        <v>2.2161400000000002</v>
      </c>
      <c r="BT10">
        <v>2.2161499999999998</v>
      </c>
      <c r="BW10">
        <v>2.21286</v>
      </c>
      <c r="BX10">
        <v>2.21454</v>
      </c>
      <c r="BY10">
        <v>2.21455</v>
      </c>
      <c r="BZ10">
        <v>2.2095699999999998</v>
      </c>
      <c r="CA10">
        <v>2.2095799999999999</v>
      </c>
      <c r="CB10">
        <v>2.2095899999999999</v>
      </c>
      <c r="CC10">
        <v>2.2098900000000001</v>
      </c>
      <c r="CD10">
        <v>2.2099000000000002</v>
      </c>
      <c r="CE10">
        <v>2.2046199999999998</v>
      </c>
      <c r="CF10">
        <v>2.2046299999999999</v>
      </c>
      <c r="CG10">
        <v>2.2046399999999999</v>
      </c>
      <c r="CH10">
        <v>2.2063100000000002</v>
      </c>
      <c r="CI10">
        <v>2.1995300000000002</v>
      </c>
      <c r="CJ10">
        <v>2.1996699999999998</v>
      </c>
      <c r="CK10">
        <v>2.20011</v>
      </c>
      <c r="CL10">
        <v>2.2001200000000001</v>
      </c>
      <c r="CM10">
        <v>2.2001300000000001</v>
      </c>
      <c r="CN10">
        <v>2.2001300000000001</v>
      </c>
      <c r="CO10">
        <v>2.19943</v>
      </c>
      <c r="CP10">
        <v>2.1970900000000002</v>
      </c>
      <c r="CQ10">
        <v>2.1901600000000001</v>
      </c>
      <c r="CS10">
        <v>2.1920999999999999</v>
      </c>
      <c r="CT10">
        <v>2.18268</v>
      </c>
      <c r="CU10">
        <v>2.18269</v>
      </c>
      <c r="CV10">
        <v>2.1827000000000001</v>
      </c>
      <c r="CW10">
        <v>2.1896200000000001</v>
      </c>
      <c r="CX10">
        <v>2.1896300000000002</v>
      </c>
      <c r="CY10">
        <v>2.1871200000000002</v>
      </c>
      <c r="CZ10">
        <v>2.1896900000000001</v>
      </c>
      <c r="DA10">
        <v>2.1825700000000001</v>
      </c>
      <c r="DB10">
        <v>2.1825700000000001</v>
      </c>
      <c r="DC10">
        <v>2.08779</v>
      </c>
    </row>
    <row r="11" spans="1:107" x14ac:dyDescent="0.25">
      <c r="A11">
        <f t="shared" si="0"/>
        <v>5</v>
      </c>
      <c r="B11" s="2">
        <v>42019</v>
      </c>
      <c r="C11">
        <v>0.84704000000000002</v>
      </c>
      <c r="D11">
        <v>0.90747</v>
      </c>
      <c r="E11">
        <v>0.90214000000000005</v>
      </c>
      <c r="F11">
        <v>0.95653999999999995</v>
      </c>
      <c r="G11">
        <v>0.94818000000000002</v>
      </c>
      <c r="H11">
        <v>0.95399</v>
      </c>
      <c r="I11">
        <v>0.99899000000000004</v>
      </c>
      <c r="J11">
        <v>0.85231000000000001</v>
      </c>
      <c r="K11">
        <v>0.88812000000000002</v>
      </c>
      <c r="L11">
        <v>0.89688000000000001</v>
      </c>
      <c r="M11">
        <v>0.90517999999999998</v>
      </c>
      <c r="N11">
        <v>0.84206000000000003</v>
      </c>
      <c r="O11">
        <v>0.96443999999999996</v>
      </c>
      <c r="P11">
        <v>0.97841</v>
      </c>
      <c r="Q11">
        <v>0.84633999999999998</v>
      </c>
      <c r="R11">
        <v>0.87270999999999999</v>
      </c>
      <c r="S11">
        <v>0.94762000000000002</v>
      </c>
      <c r="T11">
        <v>0.99316000000000004</v>
      </c>
      <c r="U11">
        <v>0.98055000000000003</v>
      </c>
      <c r="V11">
        <v>1.0130999999999999</v>
      </c>
      <c r="W11">
        <v>1.07809</v>
      </c>
      <c r="X11">
        <v>1.1163099999999999</v>
      </c>
      <c r="Y11">
        <v>1.1235999999999999</v>
      </c>
      <c r="Z11">
        <v>1.09964</v>
      </c>
      <c r="AA11">
        <v>1.15557</v>
      </c>
      <c r="AB11">
        <v>1.1420399999999999</v>
      </c>
      <c r="AC11">
        <v>1.20112</v>
      </c>
      <c r="AD11">
        <v>1.1690700000000001</v>
      </c>
      <c r="AE11">
        <v>1.0767800000000001</v>
      </c>
      <c r="AF11">
        <v>1.24644</v>
      </c>
      <c r="AG11">
        <v>1.25807</v>
      </c>
      <c r="AH11">
        <v>1.3621099999999999</v>
      </c>
      <c r="AI11">
        <v>1.3078399999999999</v>
      </c>
      <c r="AJ11">
        <v>1.3401799999999999</v>
      </c>
      <c r="AK11">
        <v>1.1578999999999999</v>
      </c>
      <c r="AL11">
        <v>1.3982600000000001</v>
      </c>
      <c r="AM11">
        <v>1.4777400000000001</v>
      </c>
      <c r="AN11">
        <v>1.3003</v>
      </c>
      <c r="AO11">
        <v>1.5336799999999999</v>
      </c>
      <c r="AP11">
        <v>1.5727500000000001</v>
      </c>
      <c r="AQ11">
        <v>1.3959999999999999</v>
      </c>
      <c r="AR11">
        <v>1.62083</v>
      </c>
      <c r="AS11">
        <v>1.65831</v>
      </c>
      <c r="AT11">
        <v>1.6903900000000001</v>
      </c>
      <c r="AU11">
        <v>1.6851499999999999</v>
      </c>
      <c r="AV11">
        <v>1.62009</v>
      </c>
      <c r="AW11">
        <v>1.9830099999999999</v>
      </c>
      <c r="AX11">
        <v>1.9585600000000001</v>
      </c>
      <c r="AY11">
        <v>2.0280900000000002</v>
      </c>
      <c r="AZ11">
        <v>2.0515599999999998</v>
      </c>
      <c r="BA11">
        <v>2.0731999999999999</v>
      </c>
      <c r="BB11">
        <v>2.1063499999999999</v>
      </c>
      <c r="BC11">
        <v>2.13917</v>
      </c>
      <c r="BD11">
        <v>2.14812</v>
      </c>
      <c r="BE11">
        <v>2.0289100000000002</v>
      </c>
      <c r="BF11">
        <v>2.18926</v>
      </c>
      <c r="BG11">
        <v>2.1793</v>
      </c>
      <c r="BH11">
        <v>2.1688900000000002</v>
      </c>
      <c r="BI11">
        <v>2.1722100000000002</v>
      </c>
      <c r="BJ11">
        <v>2.1722299999999999</v>
      </c>
      <c r="BK11">
        <v>2.1672500000000001</v>
      </c>
      <c r="BL11">
        <v>2.1622699999999999</v>
      </c>
      <c r="BM11">
        <v>2.1597400000000002</v>
      </c>
      <c r="BN11">
        <v>2.1491099999999999</v>
      </c>
      <c r="BO11">
        <v>2.0841599999999998</v>
      </c>
      <c r="BP11">
        <v>2.1486800000000001</v>
      </c>
      <c r="BQ11">
        <v>2.1486999999999998</v>
      </c>
      <c r="BR11">
        <v>2.1408299999999998</v>
      </c>
      <c r="BS11">
        <v>2.1408399999999999</v>
      </c>
      <c r="BT11">
        <v>2.1408499999999999</v>
      </c>
      <c r="BW11">
        <v>2.1375600000000001</v>
      </c>
      <c r="BX11">
        <v>2.1415500000000001</v>
      </c>
      <c r="BY11">
        <v>2.1415600000000001</v>
      </c>
      <c r="BZ11">
        <v>2.1342699999999999</v>
      </c>
      <c r="CA11">
        <v>2.13428</v>
      </c>
      <c r="CB11">
        <v>2.13429</v>
      </c>
      <c r="CC11">
        <v>2.1349399999999998</v>
      </c>
      <c r="CD11">
        <v>2.1349499999999999</v>
      </c>
      <c r="CE11">
        <v>2.1275400000000002</v>
      </c>
      <c r="CF11">
        <v>2.1275499999999998</v>
      </c>
      <c r="CG11">
        <v>2.1275599999999999</v>
      </c>
      <c r="CH11">
        <v>2.1310099999999998</v>
      </c>
      <c r="CI11">
        <v>2.1250499999999999</v>
      </c>
      <c r="CJ11">
        <v>2.1243699999999999</v>
      </c>
      <c r="CK11">
        <v>2.1250599999999999</v>
      </c>
      <c r="CL11">
        <v>2.12507</v>
      </c>
      <c r="CM11">
        <v>2.1250800000000001</v>
      </c>
      <c r="CN11">
        <v>2.1250900000000001</v>
      </c>
      <c r="CO11">
        <v>2.1239599999999998</v>
      </c>
      <c r="CP11">
        <v>2.1225999999999998</v>
      </c>
      <c r="CQ11">
        <v>2.1141999999999999</v>
      </c>
      <c r="CS11">
        <v>2.1176200000000001</v>
      </c>
      <c r="CT11">
        <v>2.1067200000000001</v>
      </c>
      <c r="CU11">
        <v>2.1176300000000001</v>
      </c>
      <c r="CV11">
        <v>2.1176400000000002</v>
      </c>
      <c r="CW11">
        <v>2.1151300000000002</v>
      </c>
      <c r="CX11">
        <v>2.1151399999999998</v>
      </c>
      <c r="CY11">
        <v>2.1126299999999998</v>
      </c>
      <c r="CZ11">
        <v>2.1225000000000001</v>
      </c>
      <c r="DA11">
        <v>2.1076999999999999</v>
      </c>
      <c r="DB11">
        <v>2.1076999999999999</v>
      </c>
      <c r="DC11">
        <v>2.0122300000000002</v>
      </c>
    </row>
    <row r="12" spans="1:107" x14ac:dyDescent="0.25">
      <c r="A12">
        <f t="shared" si="0"/>
        <v>6</v>
      </c>
      <c r="B12" s="2">
        <v>42020</v>
      </c>
      <c r="C12">
        <v>0.85024</v>
      </c>
      <c r="D12">
        <v>0.92196999999999996</v>
      </c>
      <c r="E12">
        <v>0.92600000000000005</v>
      </c>
      <c r="F12">
        <v>0.95643999999999996</v>
      </c>
      <c r="G12">
        <v>0.96043000000000001</v>
      </c>
      <c r="H12">
        <v>0.97831999999999997</v>
      </c>
      <c r="I12">
        <v>1.04739</v>
      </c>
      <c r="J12">
        <v>0.89376999999999995</v>
      </c>
      <c r="K12">
        <v>0.91642000000000001</v>
      </c>
      <c r="L12">
        <v>0.94296000000000002</v>
      </c>
      <c r="M12">
        <v>0.94679999999999997</v>
      </c>
      <c r="N12">
        <v>0.89280999999999999</v>
      </c>
      <c r="O12">
        <v>1.02905</v>
      </c>
      <c r="P12">
        <v>1.0379100000000001</v>
      </c>
      <c r="Q12">
        <v>0.89266000000000001</v>
      </c>
      <c r="R12">
        <v>0.92386999999999997</v>
      </c>
      <c r="S12">
        <v>1.00492</v>
      </c>
      <c r="T12">
        <v>1.0405599999999999</v>
      </c>
      <c r="U12">
        <v>1.04209</v>
      </c>
      <c r="V12">
        <v>1.05091</v>
      </c>
      <c r="W12">
        <v>1.1274299999999999</v>
      </c>
      <c r="X12">
        <v>1.1528700000000001</v>
      </c>
      <c r="Y12">
        <v>1.2102599999999999</v>
      </c>
      <c r="Z12">
        <v>1.13578</v>
      </c>
      <c r="AA12">
        <v>1.19817</v>
      </c>
      <c r="AB12">
        <v>1.19892</v>
      </c>
      <c r="AC12">
        <v>1.22634</v>
      </c>
      <c r="AD12">
        <v>1.2092000000000001</v>
      </c>
      <c r="AE12">
        <v>1.1464399999999999</v>
      </c>
      <c r="AF12">
        <v>1.27417</v>
      </c>
      <c r="AG12">
        <v>1.3036000000000001</v>
      </c>
      <c r="AH12">
        <v>1.37523</v>
      </c>
      <c r="AI12">
        <v>1.3723099999999999</v>
      </c>
      <c r="AJ12">
        <v>1.38794</v>
      </c>
      <c r="AK12">
        <v>1.22847</v>
      </c>
      <c r="AL12">
        <v>1.4398899999999999</v>
      </c>
      <c r="AM12">
        <v>1.50695</v>
      </c>
      <c r="AN12">
        <v>1.3633900000000001</v>
      </c>
      <c r="AO12">
        <v>1.5712200000000001</v>
      </c>
      <c r="AP12">
        <v>1.6136900000000001</v>
      </c>
      <c r="AQ12">
        <v>1.4354499999999999</v>
      </c>
      <c r="AR12">
        <v>1.6658900000000001</v>
      </c>
      <c r="AS12">
        <v>1.7036800000000001</v>
      </c>
      <c r="AT12">
        <v>1.73885</v>
      </c>
      <c r="AU12">
        <v>1.72031</v>
      </c>
      <c r="AV12">
        <v>1.66795</v>
      </c>
      <c r="AW12">
        <v>2.0325299999999999</v>
      </c>
      <c r="AX12">
        <v>2.0145499999999998</v>
      </c>
      <c r="AY12">
        <v>2.0771899999999999</v>
      </c>
      <c r="AZ12">
        <v>2.1085799999999999</v>
      </c>
      <c r="BA12">
        <v>2.1251799999999998</v>
      </c>
      <c r="BB12">
        <v>2.1522000000000001</v>
      </c>
      <c r="BC12">
        <v>2.17455</v>
      </c>
      <c r="BD12">
        <v>2.1869200000000002</v>
      </c>
      <c r="BE12">
        <v>2.0689600000000001</v>
      </c>
      <c r="BF12">
        <v>2.2243300000000001</v>
      </c>
      <c r="BG12">
        <v>2.22038</v>
      </c>
      <c r="BH12">
        <v>2.2107299999999999</v>
      </c>
      <c r="BI12">
        <v>2.2088399999999999</v>
      </c>
      <c r="BJ12">
        <v>2.2124199999999998</v>
      </c>
      <c r="BK12">
        <v>2.20743</v>
      </c>
      <c r="BL12">
        <v>2.2024599999999999</v>
      </c>
      <c r="BM12">
        <v>2.2008299999999998</v>
      </c>
      <c r="BN12">
        <v>2.1958899999999999</v>
      </c>
      <c r="BO12">
        <v>2.1253099999999998</v>
      </c>
      <c r="BP12">
        <v>2.1909200000000002</v>
      </c>
      <c r="BQ12">
        <v>2.1909399999999999</v>
      </c>
      <c r="BR12">
        <v>2.1826500000000002</v>
      </c>
      <c r="BS12">
        <v>2.1826599999999998</v>
      </c>
      <c r="BT12">
        <v>2.18268</v>
      </c>
      <c r="BW12">
        <v>2.1793800000000001</v>
      </c>
      <c r="BX12">
        <v>2.1793900000000002</v>
      </c>
      <c r="BY12">
        <v>2.1793999999999998</v>
      </c>
      <c r="BZ12">
        <v>2.1760899999999999</v>
      </c>
      <c r="CA12">
        <v>2.1760999999999999</v>
      </c>
      <c r="CB12">
        <v>2.17611</v>
      </c>
      <c r="CC12">
        <v>2.1766000000000001</v>
      </c>
      <c r="CD12">
        <v>2.1766100000000002</v>
      </c>
      <c r="CE12">
        <v>2.17367</v>
      </c>
      <c r="CF12">
        <v>2.1736800000000001</v>
      </c>
      <c r="CG12">
        <v>2.1736900000000001</v>
      </c>
      <c r="CH12">
        <v>2.1728299999999998</v>
      </c>
      <c r="CI12">
        <v>2.16574</v>
      </c>
      <c r="CJ12">
        <v>2.1661899999999998</v>
      </c>
      <c r="CK12">
        <v>2.1666799999999999</v>
      </c>
      <c r="CL12">
        <v>2.16669</v>
      </c>
      <c r="CM12">
        <v>2.1667000000000001</v>
      </c>
      <c r="CN12">
        <v>2.1667100000000001</v>
      </c>
      <c r="CO12">
        <v>2.1661999999999999</v>
      </c>
      <c r="CP12">
        <v>2.1633</v>
      </c>
      <c r="CQ12">
        <v>2.1567400000000001</v>
      </c>
      <c r="CS12">
        <v>2.1492499999999999</v>
      </c>
      <c r="CT12">
        <v>2.1492599999999999</v>
      </c>
      <c r="CU12">
        <v>2.14927</v>
      </c>
      <c r="CV12">
        <v>2.14927</v>
      </c>
      <c r="CW12">
        <v>2.1681300000000001</v>
      </c>
      <c r="CX12">
        <v>2.15584</v>
      </c>
      <c r="CY12">
        <v>2.15333</v>
      </c>
      <c r="CZ12">
        <v>2.1511499999999999</v>
      </c>
      <c r="DA12">
        <v>2.1486399999999999</v>
      </c>
      <c r="DB12">
        <v>2.1486399999999999</v>
      </c>
      <c r="DC12">
        <v>2.0565500000000001</v>
      </c>
    </row>
    <row r="13" spans="1:107" x14ac:dyDescent="0.25">
      <c r="A13">
        <f t="shared" si="0"/>
        <v>2</v>
      </c>
      <c r="B13" s="2">
        <v>42023</v>
      </c>
      <c r="C13">
        <v>0.89346000000000003</v>
      </c>
      <c r="D13">
        <v>0.9546</v>
      </c>
      <c r="E13">
        <v>0.93067</v>
      </c>
      <c r="F13">
        <v>0.96587999999999996</v>
      </c>
      <c r="G13">
        <v>0.97016999999999998</v>
      </c>
      <c r="H13">
        <v>0.98214999999999997</v>
      </c>
      <c r="I13">
        <v>0.98351999999999995</v>
      </c>
      <c r="J13">
        <v>0.89522999999999997</v>
      </c>
      <c r="K13">
        <v>0.92251000000000005</v>
      </c>
      <c r="L13">
        <v>0.93655999999999995</v>
      </c>
      <c r="M13">
        <v>0.94706999999999997</v>
      </c>
      <c r="N13">
        <v>0.88534999999999997</v>
      </c>
      <c r="O13">
        <v>1.03552</v>
      </c>
      <c r="P13">
        <v>1.0201199999999999</v>
      </c>
      <c r="Q13">
        <v>0.89854000000000001</v>
      </c>
      <c r="R13">
        <v>0.92054000000000002</v>
      </c>
      <c r="S13">
        <v>1.02095</v>
      </c>
      <c r="T13">
        <v>1.0325899999999999</v>
      </c>
      <c r="U13">
        <v>1.0257499999999999</v>
      </c>
      <c r="V13">
        <v>1.0441800000000001</v>
      </c>
      <c r="W13">
        <v>1.1111</v>
      </c>
      <c r="X13">
        <v>1.16167</v>
      </c>
      <c r="Y13">
        <v>1.1769799999999999</v>
      </c>
      <c r="Z13">
        <v>1.12365</v>
      </c>
      <c r="AA13">
        <v>1.1938899999999999</v>
      </c>
      <c r="AB13">
        <v>1.1902299999999999</v>
      </c>
      <c r="AC13">
        <v>1.2408300000000001</v>
      </c>
      <c r="AD13">
        <v>1.1998599999999999</v>
      </c>
      <c r="AE13">
        <v>1.13405</v>
      </c>
      <c r="AF13">
        <v>1.28298</v>
      </c>
      <c r="AG13">
        <v>1.31385</v>
      </c>
      <c r="AH13">
        <v>1.35714</v>
      </c>
      <c r="AI13">
        <v>1.3453999999999999</v>
      </c>
      <c r="AJ13">
        <v>1.3778999999999999</v>
      </c>
      <c r="AK13">
        <v>1.23736</v>
      </c>
      <c r="AL13">
        <v>1.4370700000000001</v>
      </c>
      <c r="AM13">
        <v>1.4933799999999999</v>
      </c>
      <c r="AN13">
        <v>1.33972</v>
      </c>
      <c r="AO13">
        <v>1.55322</v>
      </c>
      <c r="AP13">
        <v>1.5950599999999999</v>
      </c>
      <c r="AQ13">
        <v>1.4228099999999999</v>
      </c>
      <c r="AR13">
        <v>1.6474299999999999</v>
      </c>
      <c r="AS13">
        <v>1.6885300000000001</v>
      </c>
      <c r="AT13">
        <v>1.7181200000000001</v>
      </c>
      <c r="AU13">
        <v>1.7320899999999999</v>
      </c>
      <c r="AV13">
        <v>1.6554</v>
      </c>
      <c r="AW13">
        <v>2.0263800000000001</v>
      </c>
      <c r="AX13">
        <v>2.0223499999999999</v>
      </c>
      <c r="AY13">
        <v>2.0621900000000002</v>
      </c>
      <c r="AZ13">
        <v>2.0863299999999998</v>
      </c>
      <c r="BA13">
        <v>2.1026500000000001</v>
      </c>
      <c r="BB13">
        <v>2.1297000000000001</v>
      </c>
      <c r="BC13">
        <v>2.15544</v>
      </c>
      <c r="BD13">
        <v>2.17035</v>
      </c>
      <c r="BE13">
        <v>2.0478999999999998</v>
      </c>
      <c r="BF13">
        <v>2.2060300000000002</v>
      </c>
      <c r="BG13">
        <v>2.2009500000000002</v>
      </c>
      <c r="BH13">
        <v>2.19143</v>
      </c>
      <c r="BI13">
        <v>2.19034</v>
      </c>
      <c r="BJ13">
        <v>2.19408</v>
      </c>
      <c r="BK13">
        <v>2.1890900000000002</v>
      </c>
      <c r="BL13">
        <v>2.18411</v>
      </c>
      <c r="BM13">
        <v>2.1813500000000001</v>
      </c>
      <c r="BN13">
        <v>2.1773799999999999</v>
      </c>
      <c r="BO13">
        <v>2.1067499999999999</v>
      </c>
      <c r="BP13">
        <v>2.1724000000000001</v>
      </c>
      <c r="BQ13">
        <v>2.1724100000000002</v>
      </c>
      <c r="BR13">
        <v>2.1640899999999998</v>
      </c>
      <c r="BS13">
        <v>2.1640899999999998</v>
      </c>
      <c r="BT13">
        <v>2.1640999999999999</v>
      </c>
      <c r="BW13">
        <v>2.1608000000000001</v>
      </c>
      <c r="BX13">
        <v>2.16208</v>
      </c>
      <c r="BY13">
        <v>2.1620900000000001</v>
      </c>
      <c r="BZ13">
        <v>2.1574900000000001</v>
      </c>
      <c r="CA13">
        <v>2.1575000000000002</v>
      </c>
      <c r="CB13">
        <v>2.1575000000000002</v>
      </c>
      <c r="CC13">
        <v>2.1572399999999998</v>
      </c>
      <c r="CD13">
        <v>2.1572399999999998</v>
      </c>
      <c r="CE13">
        <v>2.1521300000000001</v>
      </c>
      <c r="CF13">
        <v>2.1521300000000001</v>
      </c>
      <c r="CG13">
        <v>2.1521400000000002</v>
      </c>
      <c r="CH13">
        <v>2.1541999999999999</v>
      </c>
      <c r="CI13">
        <v>2.1472699999999998</v>
      </c>
      <c r="CJ13">
        <v>2.1475499999999998</v>
      </c>
      <c r="CK13">
        <v>2.14784</v>
      </c>
      <c r="CL13">
        <v>2.14784</v>
      </c>
      <c r="CM13">
        <v>2.14785</v>
      </c>
      <c r="CN13">
        <v>2.14785</v>
      </c>
      <c r="CO13">
        <v>2.14757</v>
      </c>
      <c r="CP13">
        <v>2.1448100000000001</v>
      </c>
      <c r="CQ13">
        <v>2.1378699999999999</v>
      </c>
      <c r="CS13">
        <v>2.1303800000000002</v>
      </c>
      <c r="CT13">
        <v>2.1303800000000002</v>
      </c>
      <c r="CU13">
        <v>2.1303800000000002</v>
      </c>
      <c r="CV13">
        <v>2.1303899999999998</v>
      </c>
      <c r="CW13">
        <v>2.1485500000000002</v>
      </c>
      <c r="CX13">
        <v>2.1485599999999998</v>
      </c>
      <c r="CY13">
        <v>2.1485599999999998</v>
      </c>
      <c r="CZ13">
        <v>2.1313300000000002</v>
      </c>
      <c r="DA13">
        <v>2.1288299999999998</v>
      </c>
      <c r="DB13">
        <v>2.1288299999999998</v>
      </c>
      <c r="DC13">
        <v>2.0369799999999998</v>
      </c>
    </row>
    <row r="14" spans="1:107" x14ac:dyDescent="0.25">
      <c r="A14">
        <f t="shared" si="0"/>
        <v>3</v>
      </c>
      <c r="B14" s="2">
        <v>42024</v>
      </c>
      <c r="C14">
        <v>0.89459</v>
      </c>
      <c r="D14">
        <v>0.95152000000000003</v>
      </c>
      <c r="E14">
        <v>0.92823</v>
      </c>
      <c r="F14">
        <v>0.96582000000000001</v>
      </c>
      <c r="G14">
        <v>0.95337000000000005</v>
      </c>
      <c r="H14">
        <v>0.98163</v>
      </c>
      <c r="I14">
        <v>0.95801999999999998</v>
      </c>
      <c r="J14">
        <v>0.89024999999999999</v>
      </c>
      <c r="K14">
        <v>0.92071000000000003</v>
      </c>
      <c r="L14">
        <v>0.93727000000000005</v>
      </c>
      <c r="M14">
        <v>0.94208999999999998</v>
      </c>
      <c r="N14">
        <v>0.88070000000000004</v>
      </c>
      <c r="O14">
        <v>1.03365</v>
      </c>
      <c r="P14">
        <v>1.01559</v>
      </c>
      <c r="Q14">
        <v>0.88368000000000002</v>
      </c>
      <c r="R14">
        <v>0.91503999999999996</v>
      </c>
      <c r="S14">
        <v>1.0128600000000001</v>
      </c>
      <c r="T14">
        <v>1.0244500000000001</v>
      </c>
      <c r="U14">
        <v>1.0071600000000001</v>
      </c>
      <c r="V14">
        <v>1.0295000000000001</v>
      </c>
      <c r="W14">
        <v>1.09798</v>
      </c>
      <c r="X14">
        <v>1.1492500000000001</v>
      </c>
      <c r="Y14">
        <v>1.15825</v>
      </c>
      <c r="Z14">
        <v>1.1116900000000001</v>
      </c>
      <c r="AA14">
        <v>1.1818500000000001</v>
      </c>
      <c r="AB14">
        <v>1.17225</v>
      </c>
      <c r="AC14">
        <v>1.2296800000000001</v>
      </c>
      <c r="AD14">
        <v>1.1850400000000001</v>
      </c>
      <c r="AE14">
        <v>1.1149899999999999</v>
      </c>
      <c r="AF14">
        <v>1.26223</v>
      </c>
      <c r="AG14">
        <v>1.2930699999999999</v>
      </c>
      <c r="AH14">
        <v>1.37635</v>
      </c>
      <c r="AI14">
        <v>1.3331599999999999</v>
      </c>
      <c r="AJ14">
        <v>1.36408</v>
      </c>
      <c r="AK14">
        <v>1.1962900000000001</v>
      </c>
      <c r="AL14">
        <v>1.41412</v>
      </c>
      <c r="AM14">
        <v>1.4827999999999999</v>
      </c>
      <c r="AN14">
        <v>1.3155399999999999</v>
      </c>
      <c r="AO14">
        <v>1.5439400000000001</v>
      </c>
      <c r="AP14">
        <v>1.5846100000000001</v>
      </c>
      <c r="AQ14">
        <v>1.4064000000000001</v>
      </c>
      <c r="AR14">
        <v>1.6377200000000001</v>
      </c>
      <c r="AS14">
        <v>1.66981</v>
      </c>
      <c r="AT14">
        <v>1.70827</v>
      </c>
      <c r="AU14">
        <v>1.6995499999999999</v>
      </c>
      <c r="AV14">
        <v>1.625</v>
      </c>
      <c r="AW14">
        <v>2.0120800000000001</v>
      </c>
      <c r="AX14">
        <v>1.97698</v>
      </c>
      <c r="AY14">
        <v>2.05213</v>
      </c>
      <c r="AZ14">
        <v>2.0706799999999999</v>
      </c>
      <c r="BA14">
        <v>2.09063</v>
      </c>
      <c r="BB14">
        <v>2.1166200000000002</v>
      </c>
      <c r="BC14">
        <v>2.1413700000000002</v>
      </c>
      <c r="BD14">
        <v>2.1513399999999998</v>
      </c>
      <c r="BE14">
        <v>2.0333399999999999</v>
      </c>
      <c r="BF14">
        <v>2.1895600000000002</v>
      </c>
      <c r="BG14">
        <v>2.1795800000000001</v>
      </c>
      <c r="BH14">
        <v>2.1700599999999999</v>
      </c>
      <c r="BI14">
        <v>2.1730200000000002</v>
      </c>
      <c r="BJ14">
        <v>2.1730299999999998</v>
      </c>
      <c r="BK14">
        <v>2.16804</v>
      </c>
      <c r="BL14">
        <v>2.1630600000000002</v>
      </c>
      <c r="BM14">
        <v>2.16032</v>
      </c>
      <c r="BN14">
        <v>2.1509</v>
      </c>
      <c r="BO14">
        <v>2.0845899999999999</v>
      </c>
      <c r="BP14">
        <v>2.1506599999999998</v>
      </c>
      <c r="BQ14">
        <v>2.1506699999999999</v>
      </c>
      <c r="BR14">
        <v>2.1425900000000002</v>
      </c>
      <c r="BS14">
        <v>2.1425999999999998</v>
      </c>
      <c r="BT14">
        <v>2.1426099999999999</v>
      </c>
      <c r="BW14">
        <v>2.1393</v>
      </c>
      <c r="BX14">
        <v>2.1407099999999999</v>
      </c>
      <c r="BY14">
        <v>2.14072</v>
      </c>
      <c r="BZ14">
        <v>2.1359900000000001</v>
      </c>
      <c r="CA14">
        <v>2.1360000000000001</v>
      </c>
      <c r="CB14">
        <v>2.1360100000000002</v>
      </c>
      <c r="CC14">
        <v>2.1357499999999998</v>
      </c>
      <c r="CD14">
        <v>2.1357499999999998</v>
      </c>
      <c r="CE14">
        <v>2.1307499999999999</v>
      </c>
      <c r="CF14">
        <v>2.13076</v>
      </c>
      <c r="CG14">
        <v>2.1307700000000001</v>
      </c>
      <c r="CH14">
        <v>2.1327099999999999</v>
      </c>
      <c r="CI14">
        <v>2.1257199999999998</v>
      </c>
      <c r="CJ14">
        <v>2.1260599999999998</v>
      </c>
      <c r="CK14">
        <v>2.1266500000000002</v>
      </c>
      <c r="CL14">
        <v>2.1266500000000002</v>
      </c>
      <c r="CM14">
        <v>2.1266600000000002</v>
      </c>
      <c r="CN14">
        <v>2.1266600000000002</v>
      </c>
      <c r="CO14">
        <v>2.1258300000000001</v>
      </c>
      <c r="CP14">
        <v>2.1232600000000001</v>
      </c>
      <c r="CQ14">
        <v>2.1166800000000001</v>
      </c>
      <c r="CS14">
        <v>2.1091899999999999</v>
      </c>
      <c r="CT14">
        <v>2.1091899999999999</v>
      </c>
      <c r="CU14">
        <v>2.1092</v>
      </c>
      <c r="CV14">
        <v>2.1092</v>
      </c>
      <c r="CW14">
        <v>2.1269900000000002</v>
      </c>
      <c r="CX14">
        <v>2.1269999999999998</v>
      </c>
      <c r="CY14">
        <v>2.1132599999999999</v>
      </c>
      <c r="CZ14">
        <v>2.1103299999999998</v>
      </c>
      <c r="DA14">
        <v>2.1078199999999998</v>
      </c>
      <c r="DB14">
        <v>2.1078299999999999</v>
      </c>
      <c r="DC14">
        <v>2.0158499999999999</v>
      </c>
    </row>
    <row r="15" spans="1:107" x14ac:dyDescent="0.25">
      <c r="A15">
        <f t="shared" si="0"/>
        <v>4</v>
      </c>
      <c r="B15" s="2">
        <v>42025</v>
      </c>
      <c r="C15">
        <v>0.59958999999999996</v>
      </c>
      <c r="D15">
        <v>0.67479</v>
      </c>
      <c r="E15">
        <v>0.62944999999999995</v>
      </c>
      <c r="F15">
        <v>0.65878000000000003</v>
      </c>
      <c r="G15">
        <v>0.70684999999999998</v>
      </c>
      <c r="H15">
        <v>0.67867</v>
      </c>
      <c r="I15">
        <v>0.64715</v>
      </c>
      <c r="J15">
        <v>0.59245000000000003</v>
      </c>
      <c r="K15">
        <v>0.65869999999999995</v>
      </c>
      <c r="L15">
        <v>0.63702999999999999</v>
      </c>
      <c r="M15">
        <v>0.64436000000000004</v>
      </c>
      <c r="N15">
        <v>0.58684999999999998</v>
      </c>
      <c r="O15">
        <v>0.72213000000000005</v>
      </c>
      <c r="P15">
        <v>0.72374000000000005</v>
      </c>
      <c r="Q15">
        <v>0.58496999999999999</v>
      </c>
      <c r="R15">
        <v>0.62551000000000001</v>
      </c>
      <c r="S15">
        <v>0.66793999999999998</v>
      </c>
      <c r="T15">
        <v>0.72301000000000004</v>
      </c>
      <c r="U15">
        <v>0.77027000000000001</v>
      </c>
      <c r="V15">
        <v>0.7702</v>
      </c>
      <c r="W15">
        <v>0.85872999999999999</v>
      </c>
      <c r="X15">
        <v>0.87280000000000002</v>
      </c>
      <c r="Y15">
        <v>0.95016999999999996</v>
      </c>
      <c r="Z15">
        <v>0.90425</v>
      </c>
      <c r="AA15">
        <v>0.99217</v>
      </c>
      <c r="AB15">
        <v>0.96331</v>
      </c>
      <c r="AC15">
        <v>1.04894</v>
      </c>
      <c r="AD15">
        <v>0.97731999999999997</v>
      </c>
      <c r="AE15">
        <v>0.92715000000000003</v>
      </c>
      <c r="AF15">
        <v>1.08264</v>
      </c>
      <c r="AG15">
        <v>1.10947</v>
      </c>
      <c r="AH15">
        <v>1.25593</v>
      </c>
      <c r="AI15">
        <v>1.17455</v>
      </c>
      <c r="AJ15">
        <v>1.19939</v>
      </c>
      <c r="AK15">
        <v>1.0247900000000001</v>
      </c>
      <c r="AL15">
        <v>1.25908</v>
      </c>
      <c r="AM15">
        <v>1.3841399999999999</v>
      </c>
      <c r="AN15">
        <v>1.1978500000000001</v>
      </c>
      <c r="AO15">
        <v>1.4339200000000001</v>
      </c>
      <c r="AP15">
        <v>1.50505</v>
      </c>
      <c r="AQ15">
        <v>1.32297</v>
      </c>
      <c r="AR15">
        <v>1.5498000000000001</v>
      </c>
      <c r="AS15">
        <v>1.5991</v>
      </c>
      <c r="AT15">
        <v>1.63449</v>
      </c>
      <c r="AU15">
        <v>1.6404000000000001</v>
      </c>
      <c r="AV15">
        <v>1.55999</v>
      </c>
      <c r="AW15">
        <v>1.9477199999999999</v>
      </c>
      <c r="AX15">
        <v>1.9234800000000001</v>
      </c>
      <c r="AY15">
        <v>1.9974499999999999</v>
      </c>
      <c r="AZ15">
        <v>2.0144199999999999</v>
      </c>
      <c r="BA15">
        <v>2.0346700000000002</v>
      </c>
      <c r="BB15">
        <v>2.0684100000000001</v>
      </c>
      <c r="BC15">
        <v>2.0912000000000002</v>
      </c>
      <c r="BD15">
        <v>2.1197699999999999</v>
      </c>
      <c r="BE15">
        <v>1.99793</v>
      </c>
      <c r="BF15">
        <v>2.1747899999999998</v>
      </c>
      <c r="BG15">
        <v>2.1546400000000001</v>
      </c>
      <c r="BH15">
        <v>2.1401300000000001</v>
      </c>
      <c r="BI15">
        <v>2.1577700000000002</v>
      </c>
      <c r="BJ15">
        <v>2.15978</v>
      </c>
      <c r="BK15">
        <v>2.15646</v>
      </c>
      <c r="BL15">
        <v>2.1498200000000001</v>
      </c>
      <c r="BM15">
        <v>2.14317</v>
      </c>
      <c r="BN15">
        <v>2.1378499999999998</v>
      </c>
      <c r="BO15">
        <v>2.0804</v>
      </c>
      <c r="BP15">
        <v>2.1328800000000001</v>
      </c>
      <c r="BQ15">
        <v>2.1328900000000002</v>
      </c>
      <c r="BR15">
        <v>2.1365699999999999</v>
      </c>
      <c r="BS15">
        <v>2.1365799999999999</v>
      </c>
      <c r="BT15">
        <v>2.13659</v>
      </c>
      <c r="BW15">
        <v>2.1299600000000001</v>
      </c>
      <c r="BX15">
        <v>2.1266400000000001</v>
      </c>
      <c r="BY15">
        <v>2.1266500000000002</v>
      </c>
      <c r="BZ15">
        <v>2.1209099999999999</v>
      </c>
      <c r="CA15">
        <v>2.1209199999999999</v>
      </c>
      <c r="CB15">
        <v>2.12093</v>
      </c>
      <c r="CC15">
        <v>2.11476</v>
      </c>
      <c r="CD15">
        <v>2.11477</v>
      </c>
      <c r="CE15">
        <v>2.10812</v>
      </c>
      <c r="CF15">
        <v>2.1081300000000001</v>
      </c>
      <c r="CG15">
        <v>2.1081400000000001</v>
      </c>
      <c r="CH15">
        <v>2.1101800000000002</v>
      </c>
      <c r="CI15">
        <v>2.1128800000000001</v>
      </c>
      <c r="CJ15">
        <v>2.1051899999999999</v>
      </c>
      <c r="CK15">
        <v>2.1052</v>
      </c>
      <c r="CL15">
        <v>2.10521</v>
      </c>
      <c r="CM15">
        <v>2.1052200000000001</v>
      </c>
      <c r="CN15">
        <v>2.1052300000000002</v>
      </c>
      <c r="CO15">
        <v>2.1106500000000001</v>
      </c>
      <c r="CP15">
        <v>2.1106500000000001</v>
      </c>
      <c r="CQ15">
        <v>2.1081599999999998</v>
      </c>
      <c r="CS15">
        <v>2.10568</v>
      </c>
      <c r="CT15">
        <v>2.10568</v>
      </c>
      <c r="CU15">
        <v>2.1056900000000001</v>
      </c>
      <c r="CV15">
        <v>2.1057000000000001</v>
      </c>
      <c r="CW15">
        <v>2.1086100000000001</v>
      </c>
      <c r="CX15">
        <v>2.1086200000000002</v>
      </c>
      <c r="CY15">
        <v>2.1086299999999998</v>
      </c>
      <c r="CZ15">
        <v>2.0963099999999999</v>
      </c>
      <c r="DA15">
        <v>2.09382</v>
      </c>
      <c r="DB15">
        <v>2.09382</v>
      </c>
      <c r="DC15">
        <v>1.9991099999999999</v>
      </c>
    </row>
    <row r="16" spans="1:107" x14ac:dyDescent="0.25">
      <c r="A16">
        <f t="shared" si="0"/>
        <v>5</v>
      </c>
      <c r="B16" s="2">
        <v>42026</v>
      </c>
      <c r="C16">
        <v>0.55596999999999996</v>
      </c>
      <c r="D16">
        <v>0.63110999999999995</v>
      </c>
      <c r="E16">
        <v>0.61121999999999999</v>
      </c>
      <c r="F16">
        <v>0.61960999999999999</v>
      </c>
      <c r="G16">
        <v>0.62878999999999996</v>
      </c>
      <c r="H16">
        <v>0.64285999999999999</v>
      </c>
      <c r="I16">
        <v>0.60824999999999996</v>
      </c>
      <c r="J16">
        <v>0.57365999999999995</v>
      </c>
      <c r="K16">
        <v>0.60009999999999997</v>
      </c>
      <c r="L16">
        <v>0.62973000000000001</v>
      </c>
      <c r="M16">
        <v>0.62551999999999996</v>
      </c>
      <c r="N16">
        <v>0.57715000000000005</v>
      </c>
      <c r="O16">
        <v>0.71114999999999995</v>
      </c>
      <c r="P16">
        <v>0.71435999999999999</v>
      </c>
      <c r="Q16">
        <v>0.58150999999999997</v>
      </c>
      <c r="R16">
        <v>0.61267000000000005</v>
      </c>
      <c r="S16">
        <v>0.65225</v>
      </c>
      <c r="T16">
        <v>0.72521000000000002</v>
      </c>
      <c r="U16">
        <v>0.74573</v>
      </c>
      <c r="V16">
        <v>0.74639</v>
      </c>
      <c r="W16">
        <v>0.81977</v>
      </c>
      <c r="X16">
        <v>0.85631999999999997</v>
      </c>
      <c r="Y16">
        <v>0.95582</v>
      </c>
      <c r="Z16">
        <v>0.89376999999999995</v>
      </c>
      <c r="AA16">
        <v>0.96011999999999997</v>
      </c>
      <c r="AB16">
        <v>0.94779999999999998</v>
      </c>
      <c r="AC16">
        <v>1.03138</v>
      </c>
      <c r="AD16">
        <v>0.96841999999999995</v>
      </c>
      <c r="AE16">
        <v>0.92918000000000001</v>
      </c>
      <c r="AF16">
        <v>1.08535</v>
      </c>
      <c r="AG16">
        <v>1.1022099999999999</v>
      </c>
      <c r="AH16">
        <v>1.18258</v>
      </c>
      <c r="AI16">
        <v>1.18811</v>
      </c>
      <c r="AJ16">
        <v>1.1983999999999999</v>
      </c>
      <c r="AK16">
        <v>1.0359499999999999</v>
      </c>
      <c r="AL16">
        <v>1.2551000000000001</v>
      </c>
      <c r="AM16">
        <v>1.3814599999999999</v>
      </c>
      <c r="AN16">
        <v>1.18936</v>
      </c>
      <c r="AO16">
        <v>1.42835</v>
      </c>
      <c r="AP16">
        <v>1.49082</v>
      </c>
      <c r="AQ16">
        <v>1.3200099999999999</v>
      </c>
      <c r="AR16">
        <v>1.54383</v>
      </c>
      <c r="AS16">
        <v>1.5931999999999999</v>
      </c>
      <c r="AT16">
        <v>1.62568</v>
      </c>
      <c r="AU16">
        <v>1.6252</v>
      </c>
      <c r="AV16">
        <v>1.57229</v>
      </c>
      <c r="AW16">
        <v>1.95777</v>
      </c>
      <c r="AX16">
        <v>1.9409000000000001</v>
      </c>
      <c r="AY16">
        <v>2.00854</v>
      </c>
      <c r="AZ16">
        <v>2.0350700000000002</v>
      </c>
      <c r="BA16">
        <v>2.0579299999999998</v>
      </c>
      <c r="BB16">
        <v>2.0835599999999999</v>
      </c>
      <c r="BC16">
        <v>2.1032199999999999</v>
      </c>
      <c r="BD16">
        <v>2.1276899999999999</v>
      </c>
      <c r="BE16">
        <v>2.0156700000000001</v>
      </c>
      <c r="BF16">
        <v>2.18302</v>
      </c>
      <c r="BG16">
        <v>2.1814499999999999</v>
      </c>
      <c r="BH16">
        <v>2.1682600000000001</v>
      </c>
      <c r="BI16">
        <v>2.1746099999999999</v>
      </c>
      <c r="BJ16">
        <v>2.1746300000000001</v>
      </c>
      <c r="BK16">
        <v>2.1696499999999999</v>
      </c>
      <c r="BL16">
        <v>2.1602199999999998</v>
      </c>
      <c r="BM16">
        <v>2.1569099999999999</v>
      </c>
      <c r="BN16">
        <v>2.1497099999999998</v>
      </c>
      <c r="BO16">
        <v>2.1125600000000002</v>
      </c>
      <c r="BP16">
        <v>2.1512799999999999</v>
      </c>
      <c r="BQ16">
        <v>2.1512899999999999</v>
      </c>
      <c r="BR16">
        <v>2.1512500000000001</v>
      </c>
      <c r="BS16">
        <v>2.1512600000000002</v>
      </c>
      <c r="BT16">
        <v>2.1512799999999999</v>
      </c>
      <c r="BW16">
        <v>2.1446900000000002</v>
      </c>
      <c r="BX16">
        <v>2.1447099999999999</v>
      </c>
      <c r="BY16">
        <v>2.14472</v>
      </c>
      <c r="BZ16">
        <v>2.1463399999999999</v>
      </c>
      <c r="CA16">
        <v>2.14635</v>
      </c>
      <c r="CB16">
        <v>2.14636</v>
      </c>
      <c r="CC16">
        <v>2.1484299999999998</v>
      </c>
      <c r="CD16">
        <v>2.1484399999999999</v>
      </c>
      <c r="CE16">
        <v>2.1451199999999999</v>
      </c>
      <c r="CF16">
        <v>2.14513</v>
      </c>
      <c r="CG16">
        <v>2.14514</v>
      </c>
      <c r="CH16">
        <v>2.1371000000000002</v>
      </c>
      <c r="CI16">
        <v>2.13849</v>
      </c>
      <c r="CJ16">
        <v>2.13212</v>
      </c>
      <c r="CK16">
        <v>2.13645</v>
      </c>
      <c r="CL16">
        <v>2.13646</v>
      </c>
      <c r="CM16">
        <v>2.1364700000000001</v>
      </c>
      <c r="CN16">
        <v>2.1364800000000002</v>
      </c>
      <c r="CO16">
        <v>2.1339899999999998</v>
      </c>
      <c r="CP16">
        <v>2.1216699999999999</v>
      </c>
      <c r="CQ16">
        <v>2.12168</v>
      </c>
      <c r="CS16">
        <v>2.1240199999999998</v>
      </c>
      <c r="CT16">
        <v>2.1240299999999999</v>
      </c>
      <c r="CU16">
        <v>2.1240399999999999</v>
      </c>
      <c r="CV16">
        <v>2.1240399999999999</v>
      </c>
      <c r="CW16">
        <v>2.12155</v>
      </c>
      <c r="CX16">
        <v>2.1215600000000001</v>
      </c>
      <c r="CY16">
        <v>2.1190600000000002</v>
      </c>
      <c r="CZ16">
        <v>2.1190699999999998</v>
      </c>
      <c r="DA16">
        <v>2.1165699999999998</v>
      </c>
      <c r="DB16">
        <v>2.1165799999999999</v>
      </c>
      <c r="DC16">
        <v>2.0371000000000001</v>
      </c>
    </row>
    <row r="17" spans="1:107" x14ac:dyDescent="0.25">
      <c r="A17">
        <f t="shared" si="0"/>
        <v>6</v>
      </c>
      <c r="B17" s="2">
        <v>42027</v>
      </c>
      <c r="C17">
        <v>0.55659999999999998</v>
      </c>
      <c r="D17">
        <v>0.63129000000000002</v>
      </c>
      <c r="E17">
        <v>0.61275999999999997</v>
      </c>
      <c r="F17">
        <v>0.61953999999999998</v>
      </c>
      <c r="G17">
        <v>0.62792000000000003</v>
      </c>
      <c r="H17">
        <v>0.64359999999999995</v>
      </c>
      <c r="I17">
        <v>0.58618999999999999</v>
      </c>
      <c r="J17">
        <v>0.57167000000000001</v>
      </c>
      <c r="K17">
        <v>0.58140999999999998</v>
      </c>
      <c r="L17">
        <v>0.62541000000000002</v>
      </c>
      <c r="M17">
        <v>0.62353000000000003</v>
      </c>
      <c r="N17">
        <v>0.57257000000000002</v>
      </c>
      <c r="O17">
        <v>0.70606999999999998</v>
      </c>
      <c r="P17">
        <v>0.71187</v>
      </c>
      <c r="Q17">
        <v>0.57213999999999998</v>
      </c>
      <c r="R17">
        <v>0.60240000000000005</v>
      </c>
      <c r="S17">
        <v>0.70262999999999998</v>
      </c>
      <c r="T17">
        <v>0.73216999999999999</v>
      </c>
      <c r="U17">
        <v>0.70548999999999995</v>
      </c>
      <c r="V17">
        <v>0.70814999999999995</v>
      </c>
      <c r="W17">
        <v>0.76739000000000002</v>
      </c>
      <c r="X17">
        <v>0.83481000000000005</v>
      </c>
      <c r="Y17">
        <v>0.87870999999999999</v>
      </c>
      <c r="Z17">
        <v>0.83584000000000003</v>
      </c>
      <c r="AA17">
        <v>0.90130999999999994</v>
      </c>
      <c r="AB17">
        <v>0.89297000000000004</v>
      </c>
      <c r="AC17">
        <v>0.96277000000000001</v>
      </c>
      <c r="AD17">
        <v>0.92064000000000001</v>
      </c>
      <c r="AE17">
        <v>0.86204000000000003</v>
      </c>
      <c r="AF17">
        <v>1.02329</v>
      </c>
      <c r="AG17">
        <v>1.04175</v>
      </c>
      <c r="AH17">
        <v>1.11392</v>
      </c>
      <c r="AI17">
        <v>1.1168400000000001</v>
      </c>
      <c r="AJ17">
        <v>1.1212</v>
      </c>
      <c r="AK17">
        <v>0.95428000000000002</v>
      </c>
      <c r="AL17">
        <v>1.1946399999999999</v>
      </c>
      <c r="AM17">
        <v>1.30342</v>
      </c>
      <c r="AN17">
        <v>1.1124000000000001</v>
      </c>
      <c r="AO17">
        <v>1.3504499999999999</v>
      </c>
      <c r="AP17">
        <v>1.41205</v>
      </c>
      <c r="AQ17">
        <v>1.2351700000000001</v>
      </c>
      <c r="AR17">
        <v>1.45784</v>
      </c>
      <c r="AS17">
        <v>1.50728</v>
      </c>
      <c r="AT17">
        <v>1.54494</v>
      </c>
      <c r="AU17">
        <v>1.55461</v>
      </c>
      <c r="AV17">
        <v>1.4846900000000001</v>
      </c>
      <c r="AW17">
        <v>1.8871599999999999</v>
      </c>
      <c r="AX17">
        <v>1.8698399999999999</v>
      </c>
      <c r="AY17">
        <v>1.9322299999999999</v>
      </c>
      <c r="AZ17">
        <v>1.9620599999999999</v>
      </c>
      <c r="BA17">
        <v>1.9902200000000001</v>
      </c>
      <c r="BB17">
        <v>2.0243199999999999</v>
      </c>
      <c r="BC17">
        <v>2.0542500000000001</v>
      </c>
      <c r="BD17">
        <v>2.08006</v>
      </c>
      <c r="BE17">
        <v>1.9708699999999999</v>
      </c>
      <c r="BF17">
        <v>2.1188799999999999</v>
      </c>
      <c r="BG17">
        <v>2.13415</v>
      </c>
      <c r="BH17">
        <v>2.1288299999999998</v>
      </c>
      <c r="BI17">
        <v>2.1307</v>
      </c>
      <c r="BJ17">
        <v>2.1307200000000002</v>
      </c>
      <c r="BK17">
        <v>2.12574</v>
      </c>
      <c r="BL17">
        <v>2.1207600000000002</v>
      </c>
      <c r="BM17">
        <v>2.1130200000000001</v>
      </c>
      <c r="BN17">
        <v>2.1057899999999998</v>
      </c>
      <c r="BO17">
        <v>2.0768800000000001</v>
      </c>
      <c r="BP17">
        <v>2.1075499999999998</v>
      </c>
      <c r="BQ17">
        <v>2.1075599999999999</v>
      </c>
      <c r="BR17">
        <v>2.11233</v>
      </c>
      <c r="BS17">
        <v>2.1123500000000002</v>
      </c>
      <c r="BT17">
        <v>2.1123599999999998</v>
      </c>
      <c r="BW17">
        <v>2.0976400000000002</v>
      </c>
      <c r="BX17">
        <v>2.1041400000000001</v>
      </c>
      <c r="BY17">
        <v>2.1008300000000002</v>
      </c>
      <c r="BZ17">
        <v>2.10242</v>
      </c>
      <c r="CA17">
        <v>2.1024400000000001</v>
      </c>
      <c r="CB17">
        <v>2.1024500000000002</v>
      </c>
      <c r="CC17">
        <v>2.1024600000000002</v>
      </c>
      <c r="CD17">
        <v>2.1024699999999998</v>
      </c>
      <c r="CE17">
        <v>2.1038299999999999</v>
      </c>
      <c r="CF17">
        <v>2.1069</v>
      </c>
      <c r="CG17">
        <v>2.1069100000000001</v>
      </c>
      <c r="CH17">
        <v>2.0971600000000001</v>
      </c>
      <c r="CI17">
        <v>2.09721</v>
      </c>
      <c r="CJ17">
        <v>2.09388</v>
      </c>
      <c r="CK17">
        <v>2.0925400000000001</v>
      </c>
      <c r="CL17">
        <v>2.0925400000000001</v>
      </c>
      <c r="CM17">
        <v>2.0925500000000001</v>
      </c>
      <c r="CN17">
        <v>2.0925600000000002</v>
      </c>
      <c r="CO17">
        <v>2.0900699999999999</v>
      </c>
      <c r="CP17">
        <v>2.0955300000000001</v>
      </c>
      <c r="CQ17">
        <v>2.0778300000000001</v>
      </c>
      <c r="CS17">
        <v>2.0800999999999998</v>
      </c>
      <c r="CT17">
        <v>2.0801099999999999</v>
      </c>
      <c r="CU17">
        <v>2.08012</v>
      </c>
      <c r="CV17">
        <v>2.08012</v>
      </c>
      <c r="CW17">
        <v>2.0776300000000001</v>
      </c>
      <c r="CX17">
        <v>2.0776400000000002</v>
      </c>
      <c r="CY17">
        <v>2.0751400000000002</v>
      </c>
      <c r="CZ17">
        <v>2.0751499999999998</v>
      </c>
      <c r="DA17">
        <v>2.0726499999999999</v>
      </c>
      <c r="DB17">
        <v>2.0726599999999999</v>
      </c>
      <c r="DC17">
        <v>2.00068</v>
      </c>
    </row>
    <row r="18" spans="1:107" x14ac:dyDescent="0.25">
      <c r="A18">
        <f t="shared" si="0"/>
        <v>2</v>
      </c>
      <c r="B18" s="2">
        <v>42030</v>
      </c>
      <c r="C18">
        <v>0.58643000000000001</v>
      </c>
      <c r="D18">
        <v>0.64827000000000001</v>
      </c>
      <c r="E18">
        <v>0.61421999999999999</v>
      </c>
      <c r="F18">
        <v>0.61534</v>
      </c>
      <c r="G18">
        <v>0.62505999999999995</v>
      </c>
      <c r="H18">
        <v>0.63656000000000001</v>
      </c>
      <c r="I18">
        <v>0.56572</v>
      </c>
      <c r="J18">
        <v>0.54379999999999995</v>
      </c>
      <c r="K18">
        <v>0.58333999999999997</v>
      </c>
      <c r="L18">
        <v>0.60865000000000002</v>
      </c>
      <c r="M18">
        <v>0.59486000000000006</v>
      </c>
      <c r="N18">
        <v>0.54644000000000004</v>
      </c>
      <c r="O18">
        <v>0.69033</v>
      </c>
      <c r="P18">
        <v>0.67013</v>
      </c>
      <c r="Q18">
        <v>0.55345</v>
      </c>
      <c r="R18">
        <v>0.58743999999999996</v>
      </c>
      <c r="S18">
        <v>0.68001999999999996</v>
      </c>
      <c r="T18">
        <v>0.69254000000000004</v>
      </c>
      <c r="U18">
        <v>0.69238</v>
      </c>
      <c r="V18">
        <v>0.69599999999999995</v>
      </c>
      <c r="W18">
        <v>0.76656000000000002</v>
      </c>
      <c r="X18">
        <v>0.81964000000000004</v>
      </c>
      <c r="Y18">
        <v>0.88544999999999996</v>
      </c>
      <c r="Z18">
        <v>0.84047000000000005</v>
      </c>
      <c r="AA18">
        <v>0.90712000000000004</v>
      </c>
      <c r="AB18">
        <v>0.89941000000000004</v>
      </c>
      <c r="AC18">
        <v>0.97545999999999999</v>
      </c>
      <c r="AD18">
        <v>0.92430999999999996</v>
      </c>
      <c r="AE18">
        <v>0.87746999999999997</v>
      </c>
      <c r="AF18">
        <v>1.02634</v>
      </c>
      <c r="AG18">
        <v>1.0557000000000001</v>
      </c>
      <c r="AH18">
        <v>1.1157600000000001</v>
      </c>
      <c r="AI18">
        <v>1.115</v>
      </c>
      <c r="AJ18">
        <v>1.1226799999999999</v>
      </c>
      <c r="AK18">
        <v>0.98975999999999997</v>
      </c>
      <c r="AL18">
        <v>1.1961299999999999</v>
      </c>
      <c r="AM18">
        <v>1.30982</v>
      </c>
      <c r="AN18">
        <v>1.1356200000000001</v>
      </c>
      <c r="AO18">
        <v>1.35826</v>
      </c>
      <c r="AP18">
        <v>1.42652</v>
      </c>
      <c r="AQ18">
        <v>1.2480599999999999</v>
      </c>
      <c r="AR18">
        <v>1.47454</v>
      </c>
      <c r="AS18">
        <v>1.5249699999999999</v>
      </c>
      <c r="AT18">
        <v>1.5561799999999999</v>
      </c>
      <c r="AU18">
        <v>1.5640499999999999</v>
      </c>
      <c r="AV18">
        <v>1.49776</v>
      </c>
      <c r="AW18">
        <v>1.9073599999999999</v>
      </c>
      <c r="AX18">
        <v>1.8874</v>
      </c>
      <c r="AY18">
        <v>1.9494</v>
      </c>
      <c r="AZ18">
        <v>1.9694</v>
      </c>
      <c r="BA18">
        <v>1.9874400000000001</v>
      </c>
      <c r="BB18">
        <v>2.0368400000000002</v>
      </c>
      <c r="BC18">
        <v>2.0680800000000001</v>
      </c>
      <c r="BD18">
        <v>2.09395</v>
      </c>
      <c r="BE18">
        <v>1.9826600000000001</v>
      </c>
      <c r="BF18">
        <v>2.1519499999999998</v>
      </c>
      <c r="BG18">
        <v>2.1469800000000001</v>
      </c>
      <c r="BH18">
        <v>2.1436999999999999</v>
      </c>
      <c r="BI18">
        <v>2.1430199999999999</v>
      </c>
      <c r="BJ18">
        <v>2.14303</v>
      </c>
      <c r="BK18">
        <v>2.1380499999999998</v>
      </c>
      <c r="BL18">
        <v>2.1330499999999999</v>
      </c>
      <c r="BM18">
        <v>2.1280700000000001</v>
      </c>
      <c r="BN18">
        <v>2.11808</v>
      </c>
      <c r="BO18">
        <v>2.0886800000000001</v>
      </c>
      <c r="BP18">
        <v>2.1187399999999998</v>
      </c>
      <c r="BQ18">
        <v>2.1187499999999999</v>
      </c>
      <c r="BR18">
        <v>2.1236000000000002</v>
      </c>
      <c r="BS18">
        <v>2.1236100000000002</v>
      </c>
      <c r="BT18">
        <v>2.1236199999999998</v>
      </c>
      <c r="BW18">
        <v>2.1087899999999999</v>
      </c>
      <c r="BX18">
        <v>2.1153499999999998</v>
      </c>
      <c r="BY18">
        <v>2.1120299999999999</v>
      </c>
      <c r="BZ18">
        <v>2.1136599999999999</v>
      </c>
      <c r="CA18">
        <v>2.1136599999999999</v>
      </c>
      <c r="CB18">
        <v>2.1136699999999999</v>
      </c>
      <c r="CC18">
        <v>2.11368</v>
      </c>
      <c r="CD18">
        <v>2.11368</v>
      </c>
      <c r="CE18">
        <v>2.11924</v>
      </c>
      <c r="CF18">
        <v>2.11924</v>
      </c>
      <c r="CG18">
        <v>2.1192500000000001</v>
      </c>
      <c r="CH18">
        <v>2.1124499999999999</v>
      </c>
      <c r="CI18">
        <v>2.1091299999999999</v>
      </c>
      <c r="CJ18">
        <v>2.1057999999999999</v>
      </c>
      <c r="CK18">
        <v>2.10372</v>
      </c>
      <c r="CL18">
        <v>2.1037300000000001</v>
      </c>
      <c r="CM18">
        <v>2.1037300000000001</v>
      </c>
      <c r="CN18">
        <v>2.1037400000000002</v>
      </c>
      <c r="CO18">
        <v>2.1012499999999998</v>
      </c>
      <c r="CP18">
        <v>2.1067300000000002</v>
      </c>
      <c r="CQ18">
        <v>2.0889099999999998</v>
      </c>
      <c r="CS18">
        <v>2.0912700000000002</v>
      </c>
      <c r="CT18">
        <v>2.0912700000000002</v>
      </c>
      <c r="CU18">
        <v>2.0912700000000002</v>
      </c>
      <c r="CV18">
        <v>2.0912799999999998</v>
      </c>
      <c r="CW18">
        <v>2.0887799999999999</v>
      </c>
      <c r="CX18">
        <v>2.0887899999999999</v>
      </c>
      <c r="CY18">
        <v>2.08629</v>
      </c>
      <c r="CZ18">
        <v>2.08629</v>
      </c>
      <c r="DA18">
        <v>2.08379</v>
      </c>
      <c r="DB18">
        <v>2.0838000000000001</v>
      </c>
      <c r="DC18">
        <v>2.0118100000000001</v>
      </c>
    </row>
    <row r="19" spans="1:107" x14ac:dyDescent="0.25">
      <c r="A19">
        <f t="shared" si="0"/>
        <v>3</v>
      </c>
      <c r="B19" s="2">
        <v>42031</v>
      </c>
      <c r="C19">
        <v>0.57460999999999995</v>
      </c>
      <c r="D19">
        <v>0.63705000000000001</v>
      </c>
      <c r="E19">
        <v>0.59338999999999997</v>
      </c>
      <c r="F19">
        <v>0.59558</v>
      </c>
      <c r="G19">
        <v>0.60980000000000001</v>
      </c>
      <c r="H19">
        <v>0.61661999999999995</v>
      </c>
      <c r="I19">
        <v>0.53978999999999999</v>
      </c>
      <c r="J19">
        <v>0.52395000000000003</v>
      </c>
      <c r="K19">
        <v>0.54888999999999999</v>
      </c>
      <c r="L19">
        <v>0.57169000000000003</v>
      </c>
      <c r="M19">
        <v>0.57496000000000003</v>
      </c>
      <c r="N19">
        <v>0.51856000000000002</v>
      </c>
      <c r="O19">
        <v>0.65539999999999998</v>
      </c>
      <c r="P19">
        <v>0.66249999999999998</v>
      </c>
      <c r="Q19">
        <v>0.52002000000000004</v>
      </c>
      <c r="R19">
        <v>0.54983000000000004</v>
      </c>
      <c r="S19">
        <v>0.64814000000000005</v>
      </c>
      <c r="T19">
        <v>0.66310000000000002</v>
      </c>
      <c r="U19">
        <v>0.65264999999999995</v>
      </c>
      <c r="V19">
        <v>0.65400000000000003</v>
      </c>
      <c r="W19">
        <v>0.71140999999999999</v>
      </c>
      <c r="X19">
        <v>0.77698</v>
      </c>
      <c r="Y19">
        <v>0.84045000000000003</v>
      </c>
      <c r="Z19">
        <v>0.79279999999999995</v>
      </c>
      <c r="AA19">
        <v>0.85994999999999999</v>
      </c>
      <c r="AB19">
        <v>0.86002000000000001</v>
      </c>
      <c r="AC19">
        <v>0.91696999999999995</v>
      </c>
      <c r="AD19">
        <v>0.87597999999999998</v>
      </c>
      <c r="AE19">
        <v>0.82815000000000005</v>
      </c>
      <c r="AF19">
        <v>0.97628999999999999</v>
      </c>
      <c r="AG19">
        <v>1.00607</v>
      </c>
      <c r="AH19">
        <v>1.0687599999999999</v>
      </c>
      <c r="AI19">
        <v>1.06734</v>
      </c>
      <c r="AJ19">
        <v>1.07396</v>
      </c>
      <c r="AK19">
        <v>0.94191999999999998</v>
      </c>
      <c r="AL19">
        <v>1.1475599999999999</v>
      </c>
      <c r="AM19">
        <v>1.2555700000000001</v>
      </c>
      <c r="AN19">
        <v>1.0809500000000001</v>
      </c>
      <c r="AO19">
        <v>1.2966200000000001</v>
      </c>
      <c r="AP19">
        <v>1.37514</v>
      </c>
      <c r="AQ19">
        <v>1.1946300000000001</v>
      </c>
      <c r="AR19">
        <v>1.42283</v>
      </c>
      <c r="AS19">
        <v>1.46976</v>
      </c>
      <c r="AT19">
        <v>1.5009600000000001</v>
      </c>
      <c r="AU19">
        <v>1.5113000000000001</v>
      </c>
      <c r="AV19">
        <v>1.4491799999999999</v>
      </c>
      <c r="AW19">
        <v>1.8539300000000001</v>
      </c>
      <c r="AX19">
        <v>1.8695299999999999</v>
      </c>
      <c r="AY19">
        <v>1.8959699999999999</v>
      </c>
      <c r="AZ19">
        <v>1.9121999999999999</v>
      </c>
      <c r="BA19">
        <v>1.93347</v>
      </c>
      <c r="BB19">
        <v>1.9881599999999999</v>
      </c>
      <c r="BC19">
        <v>2.0164599999999999</v>
      </c>
      <c r="BD19">
        <v>2.04278</v>
      </c>
      <c r="BE19">
        <v>1.9277599999999999</v>
      </c>
      <c r="BF19">
        <v>2.1066400000000001</v>
      </c>
      <c r="BG19">
        <v>2.1016699999999999</v>
      </c>
      <c r="BH19">
        <v>2.1008499999999999</v>
      </c>
      <c r="BI19">
        <v>2.0977000000000001</v>
      </c>
      <c r="BJ19">
        <v>2.0977100000000002</v>
      </c>
      <c r="BK19">
        <v>2.0927199999999999</v>
      </c>
      <c r="BL19">
        <v>2.0877300000000001</v>
      </c>
      <c r="BM19">
        <v>2.0827399999999998</v>
      </c>
      <c r="BN19">
        <v>2.0677599999999998</v>
      </c>
      <c r="BO19">
        <v>2.0336099999999999</v>
      </c>
      <c r="BP19">
        <v>2.0752000000000002</v>
      </c>
      <c r="BQ19">
        <v>2.0752000000000002</v>
      </c>
      <c r="BR19">
        <v>2.0787800000000001</v>
      </c>
      <c r="BS19">
        <v>2.0787900000000001</v>
      </c>
      <c r="BT19">
        <v>2.0787900000000001</v>
      </c>
      <c r="BW19">
        <v>2.0737999999999999</v>
      </c>
      <c r="BX19">
        <v>2.0738099999999999</v>
      </c>
      <c r="BY19">
        <v>2.0688300000000002</v>
      </c>
      <c r="BZ19">
        <v>2.0619299999999998</v>
      </c>
      <c r="CA19">
        <v>2.0619399999999999</v>
      </c>
      <c r="CB19">
        <v>2.0619499999999999</v>
      </c>
      <c r="CC19">
        <v>2.0619499999999999</v>
      </c>
      <c r="CD19">
        <v>2.06196</v>
      </c>
      <c r="CE19">
        <v>2.0647000000000002</v>
      </c>
      <c r="CF19">
        <v>2.0647099999999998</v>
      </c>
      <c r="CG19">
        <v>2.0647099999999998</v>
      </c>
      <c r="CH19">
        <v>2.0573000000000001</v>
      </c>
      <c r="CI19">
        <v>2.0580599999999998</v>
      </c>
      <c r="CJ19">
        <v>2.0509400000000002</v>
      </c>
      <c r="CK19">
        <v>2.0482100000000001</v>
      </c>
      <c r="CL19">
        <v>2.0482200000000002</v>
      </c>
      <c r="CM19">
        <v>2.0482200000000002</v>
      </c>
      <c r="CN19">
        <v>2.0482300000000002</v>
      </c>
      <c r="CO19">
        <v>2.0482300000000002</v>
      </c>
      <c r="CP19">
        <v>2.0514199999999998</v>
      </c>
      <c r="CQ19">
        <v>2.0489299999999999</v>
      </c>
      <c r="CS19">
        <v>2.04644</v>
      </c>
      <c r="CT19">
        <v>2.04644</v>
      </c>
      <c r="CU19">
        <v>2.04644</v>
      </c>
      <c r="CV19">
        <v>2.0464500000000001</v>
      </c>
      <c r="CW19">
        <v>2.0439500000000002</v>
      </c>
      <c r="CX19">
        <v>2.0439500000000002</v>
      </c>
      <c r="CY19">
        <v>2.0414500000000002</v>
      </c>
      <c r="CZ19">
        <v>2.0503800000000001</v>
      </c>
      <c r="DA19">
        <v>2.0389499999999998</v>
      </c>
      <c r="DB19">
        <v>2.0389499999999998</v>
      </c>
      <c r="DC19">
        <v>1.9619800000000001</v>
      </c>
    </row>
    <row r="20" spans="1:107" x14ac:dyDescent="0.25">
      <c r="A20">
        <f t="shared" si="0"/>
        <v>4</v>
      </c>
      <c r="B20" s="2">
        <v>42032</v>
      </c>
      <c r="C20">
        <v>0.54629000000000005</v>
      </c>
      <c r="D20">
        <v>0.61304999999999998</v>
      </c>
      <c r="E20">
        <v>0.58325000000000005</v>
      </c>
      <c r="F20">
        <v>0.56645999999999996</v>
      </c>
      <c r="G20">
        <v>0.58987000000000001</v>
      </c>
      <c r="H20">
        <v>0.61638000000000004</v>
      </c>
      <c r="I20">
        <v>0.50441999999999998</v>
      </c>
      <c r="J20">
        <v>0.47876999999999997</v>
      </c>
      <c r="K20">
        <v>0.51548000000000005</v>
      </c>
      <c r="L20">
        <v>0.53651000000000004</v>
      </c>
      <c r="M20">
        <v>0.53029999999999999</v>
      </c>
      <c r="N20">
        <v>0.46838999999999997</v>
      </c>
      <c r="O20">
        <v>0.62253000000000003</v>
      </c>
      <c r="P20">
        <v>0.60094999999999998</v>
      </c>
      <c r="Q20">
        <v>0.46842</v>
      </c>
      <c r="R20">
        <v>0.49456</v>
      </c>
      <c r="S20">
        <v>0.59765999999999997</v>
      </c>
      <c r="T20">
        <v>0.62824000000000002</v>
      </c>
      <c r="U20">
        <v>0.62553999999999998</v>
      </c>
      <c r="V20">
        <v>0.60951999999999995</v>
      </c>
      <c r="W20">
        <v>0.68294999999999995</v>
      </c>
      <c r="X20">
        <v>0.72499000000000002</v>
      </c>
      <c r="Y20">
        <v>0.78285000000000005</v>
      </c>
      <c r="Z20">
        <v>0.76161999999999996</v>
      </c>
      <c r="AA20">
        <v>0.81764000000000003</v>
      </c>
      <c r="AB20">
        <v>0.80615000000000003</v>
      </c>
      <c r="AC20">
        <v>0.87026000000000003</v>
      </c>
      <c r="AD20">
        <v>0.82959000000000005</v>
      </c>
      <c r="AE20">
        <v>0.77288000000000001</v>
      </c>
      <c r="AF20">
        <v>0.93422000000000005</v>
      </c>
      <c r="AG20">
        <v>0.95387</v>
      </c>
      <c r="AH20">
        <v>1.0404100000000001</v>
      </c>
      <c r="AI20">
        <v>1.00282</v>
      </c>
      <c r="AJ20">
        <v>1.0452999999999999</v>
      </c>
      <c r="AK20">
        <v>0.85299000000000003</v>
      </c>
      <c r="AL20">
        <v>1.0961700000000001</v>
      </c>
      <c r="AM20">
        <v>1.20773</v>
      </c>
      <c r="AN20">
        <v>1.0191699999999999</v>
      </c>
      <c r="AO20">
        <v>1.24495</v>
      </c>
      <c r="AP20">
        <v>1.3185100000000001</v>
      </c>
      <c r="AQ20">
        <v>1.1412199999999999</v>
      </c>
      <c r="AR20">
        <v>1.3632500000000001</v>
      </c>
      <c r="AS20">
        <v>1.41086</v>
      </c>
      <c r="AT20">
        <v>1.44624</v>
      </c>
      <c r="AU20">
        <v>1.4592499999999999</v>
      </c>
      <c r="AV20">
        <v>1.3942000000000001</v>
      </c>
      <c r="AW20">
        <v>1.79335</v>
      </c>
      <c r="AX20">
        <v>1.80104</v>
      </c>
      <c r="AY20">
        <v>1.8384199999999999</v>
      </c>
      <c r="AZ20">
        <v>1.8641799999999999</v>
      </c>
      <c r="BA20">
        <v>1.8947799999999999</v>
      </c>
      <c r="BB20">
        <v>1.9391</v>
      </c>
      <c r="BC20">
        <v>1.96305</v>
      </c>
      <c r="BD20">
        <v>1.9897800000000001</v>
      </c>
      <c r="BE20">
        <v>1.8803399999999999</v>
      </c>
      <c r="BF20">
        <v>2.0546500000000001</v>
      </c>
      <c r="BG20">
        <v>2.0496799999999999</v>
      </c>
      <c r="BH20">
        <v>2.0486800000000001</v>
      </c>
      <c r="BI20">
        <v>2.0457200000000002</v>
      </c>
      <c r="BJ20">
        <v>2.0457399999999999</v>
      </c>
      <c r="BK20">
        <v>2.0407500000000001</v>
      </c>
      <c r="BL20">
        <v>2.0357799999999999</v>
      </c>
      <c r="BM20">
        <v>2.0307900000000001</v>
      </c>
      <c r="BN20">
        <v>2.0149300000000001</v>
      </c>
      <c r="BO20">
        <v>1.98607</v>
      </c>
      <c r="BP20">
        <v>2.0268299999999999</v>
      </c>
      <c r="BQ20">
        <v>2.02684</v>
      </c>
      <c r="BR20">
        <v>2.02685</v>
      </c>
      <c r="BS20">
        <v>2.0268700000000002</v>
      </c>
      <c r="BT20">
        <v>2.0268799999999998</v>
      </c>
      <c r="BW20">
        <v>2.0219</v>
      </c>
      <c r="BX20">
        <v>2.0219200000000002</v>
      </c>
      <c r="BY20">
        <v>2.0169299999999999</v>
      </c>
      <c r="BZ20">
        <v>2.0099300000000002</v>
      </c>
      <c r="CA20">
        <v>2.0099399999999998</v>
      </c>
      <c r="CB20">
        <v>2.0099499999999999</v>
      </c>
      <c r="CC20">
        <v>2.00996</v>
      </c>
      <c r="CD20">
        <v>2.00997</v>
      </c>
      <c r="CE20">
        <v>2.0127199999999998</v>
      </c>
      <c r="CF20">
        <v>2.0127299999999999</v>
      </c>
      <c r="CG20">
        <v>2.01274</v>
      </c>
      <c r="CH20">
        <v>2.0059800000000001</v>
      </c>
      <c r="CI20">
        <v>2.0060899999999999</v>
      </c>
      <c r="CJ20">
        <v>2.0033599999999998</v>
      </c>
      <c r="CK20">
        <v>1.9968900000000001</v>
      </c>
      <c r="CL20">
        <v>1.9968999999999999</v>
      </c>
      <c r="CM20">
        <v>1.9968999999999999</v>
      </c>
      <c r="CN20">
        <v>1.99691</v>
      </c>
      <c r="CO20">
        <v>1.99692</v>
      </c>
      <c r="CP20">
        <v>1.99959</v>
      </c>
      <c r="CQ20">
        <v>1.9971000000000001</v>
      </c>
      <c r="CS20">
        <v>1.99461</v>
      </c>
      <c r="CT20">
        <v>1.9946200000000001</v>
      </c>
      <c r="CU20">
        <v>1.9946200000000001</v>
      </c>
      <c r="CV20">
        <v>1.9946299999999999</v>
      </c>
      <c r="CW20">
        <v>1.99213</v>
      </c>
      <c r="CX20">
        <v>1.99214</v>
      </c>
      <c r="CY20">
        <v>1.9896400000000001</v>
      </c>
      <c r="CZ20">
        <v>1.9999899999999999</v>
      </c>
      <c r="DA20">
        <v>1.9871399999999999</v>
      </c>
      <c r="DB20">
        <v>1.9871399999999999</v>
      </c>
      <c r="DC20">
        <v>1.9093</v>
      </c>
    </row>
    <row r="21" spans="1:107" x14ac:dyDescent="0.25">
      <c r="A21">
        <f t="shared" si="0"/>
        <v>5</v>
      </c>
      <c r="B21" s="2">
        <v>42033</v>
      </c>
      <c r="C21">
        <v>0.52761999999999998</v>
      </c>
      <c r="D21">
        <v>0.60124999999999995</v>
      </c>
      <c r="E21">
        <v>0.57069000000000003</v>
      </c>
      <c r="F21">
        <v>0.56638999999999995</v>
      </c>
      <c r="G21">
        <v>0.59148999999999996</v>
      </c>
      <c r="H21">
        <v>0.60880999999999996</v>
      </c>
      <c r="I21">
        <v>0.52141999999999999</v>
      </c>
      <c r="J21">
        <v>0.49159000000000003</v>
      </c>
      <c r="K21">
        <v>0.51497000000000004</v>
      </c>
      <c r="L21">
        <v>0.53898999999999997</v>
      </c>
      <c r="M21">
        <v>0.54318</v>
      </c>
      <c r="N21">
        <v>0.48681000000000002</v>
      </c>
      <c r="O21">
        <v>0.62639</v>
      </c>
      <c r="P21">
        <v>0.62868000000000002</v>
      </c>
      <c r="Q21">
        <v>0.47611999999999999</v>
      </c>
      <c r="R21">
        <v>0.51356999999999997</v>
      </c>
      <c r="S21">
        <v>0.61485000000000001</v>
      </c>
      <c r="T21">
        <v>0.64378999999999997</v>
      </c>
      <c r="U21">
        <v>0.61616000000000004</v>
      </c>
      <c r="V21">
        <v>0.61623000000000006</v>
      </c>
      <c r="W21">
        <v>0.69003000000000003</v>
      </c>
      <c r="X21">
        <v>0.73624999999999996</v>
      </c>
      <c r="Y21">
        <v>0.82254000000000005</v>
      </c>
      <c r="Z21">
        <v>0.75290000000000001</v>
      </c>
      <c r="AA21">
        <v>0.82077999999999995</v>
      </c>
      <c r="AB21">
        <v>0.81449000000000005</v>
      </c>
      <c r="AC21">
        <v>0.87804000000000004</v>
      </c>
      <c r="AD21">
        <v>0.85080999999999996</v>
      </c>
      <c r="AE21">
        <v>0.78651000000000004</v>
      </c>
      <c r="AF21">
        <v>0.93457000000000001</v>
      </c>
      <c r="AG21">
        <v>0.96653</v>
      </c>
      <c r="AH21">
        <v>1.0242199999999999</v>
      </c>
      <c r="AI21">
        <v>1.02196</v>
      </c>
      <c r="AJ21">
        <v>1.0297499999999999</v>
      </c>
      <c r="AK21">
        <v>0.89607000000000003</v>
      </c>
      <c r="AL21">
        <v>1.1041399999999999</v>
      </c>
      <c r="AM21">
        <v>1.20688</v>
      </c>
      <c r="AN21">
        <v>1.0306900000000001</v>
      </c>
      <c r="AO21">
        <v>1.25461</v>
      </c>
      <c r="AP21">
        <v>1.3218799999999999</v>
      </c>
      <c r="AQ21">
        <v>1.1499999999999999</v>
      </c>
      <c r="AR21">
        <v>1.3692599999999999</v>
      </c>
      <c r="AS21">
        <v>1.4170400000000001</v>
      </c>
      <c r="AT21">
        <v>1.45197</v>
      </c>
      <c r="AU21">
        <v>1.4626999999999999</v>
      </c>
      <c r="AV21">
        <v>1.39547</v>
      </c>
      <c r="AW21">
        <v>1.8119000000000001</v>
      </c>
      <c r="AX21">
        <v>1.79427</v>
      </c>
      <c r="AY21">
        <v>1.85528</v>
      </c>
      <c r="AZ21">
        <v>1.8705499999999999</v>
      </c>
      <c r="BA21">
        <v>1.89629</v>
      </c>
      <c r="BB21">
        <v>1.94431</v>
      </c>
      <c r="BC21">
        <v>1.9739199999999999</v>
      </c>
      <c r="BD21">
        <v>2.00162</v>
      </c>
      <c r="BE21">
        <v>1.8952199999999999</v>
      </c>
      <c r="BF21">
        <v>2.0669200000000001</v>
      </c>
      <c r="BG21">
        <v>2.0619499999999999</v>
      </c>
      <c r="BH21">
        <v>2.0611700000000002</v>
      </c>
      <c r="BI21">
        <v>2.0575000000000001</v>
      </c>
      <c r="BJ21">
        <v>2.0575100000000002</v>
      </c>
      <c r="BK21">
        <v>2.05253</v>
      </c>
      <c r="BL21">
        <v>2.0475500000000002</v>
      </c>
      <c r="BM21">
        <v>2.0383200000000001</v>
      </c>
      <c r="BN21">
        <v>2.0284800000000001</v>
      </c>
      <c r="BO21">
        <v>1.9946699999999999</v>
      </c>
      <c r="BP21">
        <v>2.0350299999999999</v>
      </c>
      <c r="BQ21">
        <v>2.03504</v>
      </c>
      <c r="BR21">
        <v>2.0376300000000001</v>
      </c>
      <c r="BS21">
        <v>2.0376400000000001</v>
      </c>
      <c r="BT21">
        <v>2.0376599999999998</v>
      </c>
      <c r="BW21">
        <v>2.0284399999999998</v>
      </c>
      <c r="BX21">
        <v>2.0326900000000001</v>
      </c>
      <c r="BY21">
        <v>2.0251299999999999</v>
      </c>
      <c r="BZ21">
        <v>2.0218099999999999</v>
      </c>
      <c r="CA21">
        <v>2.02182</v>
      </c>
      <c r="CB21">
        <v>2.02183</v>
      </c>
      <c r="CC21">
        <v>2.0218400000000001</v>
      </c>
      <c r="CD21">
        <v>2.0218500000000001</v>
      </c>
      <c r="CE21">
        <v>2.0247199999999999</v>
      </c>
      <c r="CF21">
        <v>2.0247299999999999</v>
      </c>
      <c r="CG21">
        <v>2.02474</v>
      </c>
      <c r="CH21">
        <v>2.0184799999999998</v>
      </c>
      <c r="CI21">
        <v>2.0181</v>
      </c>
      <c r="CJ21">
        <v>2.0147699999999999</v>
      </c>
      <c r="CK21">
        <v>2.00922</v>
      </c>
      <c r="CL21">
        <v>2.0092300000000001</v>
      </c>
      <c r="CM21">
        <v>2.0092400000000001</v>
      </c>
      <c r="CN21">
        <v>2.0092400000000001</v>
      </c>
      <c r="CO21">
        <v>2.0092500000000002</v>
      </c>
      <c r="CP21">
        <v>2.01037</v>
      </c>
      <c r="CQ21">
        <v>2.0078800000000001</v>
      </c>
      <c r="CS21">
        <v>2.0053899999999998</v>
      </c>
      <c r="CT21">
        <v>2.0053899999999998</v>
      </c>
      <c r="CU21">
        <v>2.0053999999999998</v>
      </c>
      <c r="CV21">
        <v>2.0054099999999999</v>
      </c>
      <c r="CW21">
        <v>2.00291</v>
      </c>
      <c r="CX21">
        <v>2.00292</v>
      </c>
      <c r="CY21">
        <v>2.00041</v>
      </c>
      <c r="CZ21">
        <v>2.0107200000000001</v>
      </c>
      <c r="DA21">
        <v>1.9979100000000001</v>
      </c>
      <c r="DB21">
        <v>1.9979199999999999</v>
      </c>
      <c r="DC21">
        <v>1.9218500000000001</v>
      </c>
    </row>
    <row r="22" spans="1:107" x14ac:dyDescent="0.25">
      <c r="A22">
        <f t="shared" si="0"/>
        <v>6</v>
      </c>
      <c r="B22" s="2">
        <v>42034</v>
      </c>
      <c r="C22">
        <v>0.51141000000000003</v>
      </c>
      <c r="D22">
        <v>0.59701000000000004</v>
      </c>
      <c r="E22">
        <v>0.56508000000000003</v>
      </c>
      <c r="F22">
        <v>0.54093999999999998</v>
      </c>
      <c r="G22">
        <v>0.57086999999999999</v>
      </c>
      <c r="H22">
        <v>0.59589000000000003</v>
      </c>
      <c r="I22">
        <v>0.47491</v>
      </c>
      <c r="J22">
        <v>0.44123000000000001</v>
      </c>
      <c r="K22">
        <v>0.47406999999999999</v>
      </c>
      <c r="L22">
        <v>0.49332999999999999</v>
      </c>
      <c r="M22">
        <v>0.49260999999999999</v>
      </c>
      <c r="N22">
        <v>0.43364999999999998</v>
      </c>
      <c r="O22">
        <v>0.58359000000000005</v>
      </c>
      <c r="P22">
        <v>0.58445000000000003</v>
      </c>
      <c r="Q22">
        <v>0.41738999999999998</v>
      </c>
      <c r="R22">
        <v>0.45480999999999999</v>
      </c>
      <c r="S22">
        <v>0.55454999999999999</v>
      </c>
      <c r="T22">
        <v>0.57108999999999999</v>
      </c>
      <c r="U22">
        <v>0.53893000000000002</v>
      </c>
      <c r="V22">
        <v>0.55286999999999997</v>
      </c>
      <c r="W22">
        <v>0.59201999999999999</v>
      </c>
      <c r="X22">
        <v>0.66285000000000005</v>
      </c>
      <c r="Y22">
        <v>0.70852000000000004</v>
      </c>
      <c r="Z22">
        <v>0.66339000000000004</v>
      </c>
      <c r="AA22">
        <v>0.72858000000000001</v>
      </c>
      <c r="AB22">
        <v>0.72868999999999995</v>
      </c>
      <c r="AC22">
        <v>0.78703999999999996</v>
      </c>
      <c r="AD22">
        <v>0.76371999999999995</v>
      </c>
      <c r="AE22">
        <v>0.68474000000000002</v>
      </c>
      <c r="AF22">
        <v>0.84348000000000001</v>
      </c>
      <c r="AG22">
        <v>0.87331000000000003</v>
      </c>
      <c r="AH22">
        <v>0.92706</v>
      </c>
      <c r="AI22">
        <v>0.92457999999999996</v>
      </c>
      <c r="AJ22">
        <v>0.94930999999999999</v>
      </c>
      <c r="AK22">
        <v>0.78859000000000001</v>
      </c>
      <c r="AL22">
        <v>1.0125999999999999</v>
      </c>
      <c r="AM22">
        <v>1.0918600000000001</v>
      </c>
      <c r="AN22">
        <v>0.92098999999999998</v>
      </c>
      <c r="AO22">
        <v>1.14212</v>
      </c>
      <c r="AP22">
        <v>1.2112099999999999</v>
      </c>
      <c r="AQ22">
        <v>1.0351600000000001</v>
      </c>
      <c r="AR22">
        <v>1.26407</v>
      </c>
      <c r="AS22">
        <v>1.3093699999999999</v>
      </c>
      <c r="AT22">
        <v>1.3405899999999999</v>
      </c>
      <c r="AU22">
        <v>1.3547</v>
      </c>
      <c r="AV22">
        <v>1.2901800000000001</v>
      </c>
      <c r="AW22">
        <v>1.7168300000000001</v>
      </c>
      <c r="AX22">
        <v>1.7320599999999999</v>
      </c>
      <c r="AY22">
        <v>1.7588900000000001</v>
      </c>
      <c r="AZ22">
        <v>1.7725200000000001</v>
      </c>
      <c r="BA22">
        <v>1.7938000000000001</v>
      </c>
      <c r="BB22">
        <v>1.85422</v>
      </c>
      <c r="BC22">
        <v>1.88141</v>
      </c>
      <c r="BD22">
        <v>1.9039200000000001</v>
      </c>
      <c r="BE22">
        <v>1.8058000000000001</v>
      </c>
      <c r="BF22">
        <v>1.96709</v>
      </c>
      <c r="BG22">
        <v>1.9621200000000001</v>
      </c>
      <c r="BH22">
        <v>1.96374</v>
      </c>
      <c r="BI22">
        <v>1.95767</v>
      </c>
      <c r="BJ22">
        <v>1.9576800000000001</v>
      </c>
      <c r="BK22">
        <v>1.9527000000000001</v>
      </c>
      <c r="BL22">
        <v>1.9477199999999999</v>
      </c>
      <c r="BM22">
        <v>1.9427399999999999</v>
      </c>
      <c r="BN22">
        <v>1.92689</v>
      </c>
      <c r="BO22">
        <v>1.89882</v>
      </c>
      <c r="BP22">
        <v>1.9387700000000001</v>
      </c>
      <c r="BQ22">
        <v>1.9387799999999999</v>
      </c>
      <c r="BR22">
        <v>1.93879</v>
      </c>
      <c r="BS22">
        <v>1.9388099999999999</v>
      </c>
      <c r="BT22">
        <v>1.93882</v>
      </c>
      <c r="BW22">
        <v>1.93384</v>
      </c>
      <c r="BX22">
        <v>1.9338500000000001</v>
      </c>
      <c r="BY22">
        <v>1.9288700000000001</v>
      </c>
      <c r="BZ22">
        <v>1.91564</v>
      </c>
      <c r="CA22">
        <v>1.9156500000000001</v>
      </c>
      <c r="CB22">
        <v>1.9156599999999999</v>
      </c>
      <c r="CC22">
        <v>1.9208700000000001</v>
      </c>
      <c r="CD22">
        <v>1.9208799999999999</v>
      </c>
      <c r="CE22">
        <v>1.9271</v>
      </c>
      <c r="CF22">
        <v>1.9271100000000001</v>
      </c>
      <c r="CG22">
        <v>1.9271199999999999</v>
      </c>
      <c r="CH22">
        <v>1.92004</v>
      </c>
      <c r="CI22">
        <v>1.9180999999999999</v>
      </c>
      <c r="CJ22">
        <v>1.91093</v>
      </c>
      <c r="CK22">
        <v>1.92587</v>
      </c>
      <c r="CL22">
        <v>1.92588</v>
      </c>
      <c r="CM22">
        <v>1.9258900000000001</v>
      </c>
      <c r="CN22">
        <v>1.9139900000000001</v>
      </c>
      <c r="CO22">
        <v>1.90578</v>
      </c>
      <c r="CP22">
        <v>1.9115200000000001</v>
      </c>
      <c r="CQ22">
        <v>1.90903</v>
      </c>
      <c r="CS22">
        <v>1.9065399999999999</v>
      </c>
      <c r="CT22">
        <v>1.90655</v>
      </c>
      <c r="CU22">
        <v>1.90655</v>
      </c>
      <c r="CV22">
        <v>1.90656</v>
      </c>
      <c r="CW22">
        <v>1.9040699999999999</v>
      </c>
      <c r="CX22">
        <v>1.9040699999999999</v>
      </c>
      <c r="CY22">
        <v>1.90157</v>
      </c>
      <c r="CZ22">
        <v>1.9140200000000001</v>
      </c>
      <c r="DA22">
        <v>1.9140299999999999</v>
      </c>
      <c r="DB22">
        <v>1.9140299999999999</v>
      </c>
      <c r="DC22">
        <v>1.81894</v>
      </c>
    </row>
    <row r="23" spans="1:107" x14ac:dyDescent="0.25">
      <c r="A23">
        <f t="shared" si="0"/>
        <v>2</v>
      </c>
      <c r="B23" s="2">
        <v>42037</v>
      </c>
      <c r="C23">
        <v>0.53878000000000004</v>
      </c>
      <c r="D23">
        <v>0.64246000000000003</v>
      </c>
      <c r="E23">
        <v>0.56577999999999995</v>
      </c>
      <c r="F23">
        <v>0.56577</v>
      </c>
      <c r="G23">
        <v>0.56745999999999996</v>
      </c>
      <c r="H23">
        <v>0.60160999999999998</v>
      </c>
      <c r="I23">
        <v>0.47070000000000001</v>
      </c>
      <c r="J23">
        <v>0.44152999999999998</v>
      </c>
      <c r="K23">
        <v>0.46949999999999997</v>
      </c>
      <c r="L23">
        <v>0.49275000000000002</v>
      </c>
      <c r="M23">
        <v>0.49236999999999997</v>
      </c>
      <c r="N23">
        <v>0.42871999999999999</v>
      </c>
      <c r="O23">
        <v>0.58216999999999997</v>
      </c>
      <c r="P23">
        <v>0.56244000000000005</v>
      </c>
      <c r="Q23">
        <v>0.41549999999999998</v>
      </c>
      <c r="R23">
        <v>0.45171</v>
      </c>
      <c r="S23">
        <v>0.55306999999999995</v>
      </c>
      <c r="T23">
        <v>0.56747999999999998</v>
      </c>
      <c r="U23">
        <v>0.52827000000000002</v>
      </c>
      <c r="V23">
        <v>0.54552999999999996</v>
      </c>
      <c r="W23">
        <v>0.60814999999999997</v>
      </c>
      <c r="X23">
        <v>0.65176999999999996</v>
      </c>
      <c r="Y23">
        <v>0.68969000000000003</v>
      </c>
      <c r="Z23">
        <v>0.64610000000000001</v>
      </c>
      <c r="AA23">
        <v>0.71497999999999995</v>
      </c>
      <c r="AB23">
        <v>0.71138000000000001</v>
      </c>
      <c r="AC23">
        <v>0.77873000000000003</v>
      </c>
      <c r="AD23">
        <v>0.72440000000000004</v>
      </c>
      <c r="AE23">
        <v>0.67259999999999998</v>
      </c>
      <c r="AF23">
        <v>0.81510000000000005</v>
      </c>
      <c r="AG23">
        <v>0.85516999999999999</v>
      </c>
      <c r="AH23">
        <v>0.91408</v>
      </c>
      <c r="AI23">
        <v>0.91088999999999998</v>
      </c>
      <c r="AJ23">
        <v>0.93588000000000005</v>
      </c>
      <c r="AK23">
        <v>0.76819999999999999</v>
      </c>
      <c r="AL23">
        <v>0.98634999999999995</v>
      </c>
      <c r="AM23">
        <v>1.0743100000000001</v>
      </c>
      <c r="AN23">
        <v>0.89759</v>
      </c>
      <c r="AO23">
        <v>1.12249</v>
      </c>
      <c r="AP23">
        <v>1.2002200000000001</v>
      </c>
      <c r="AQ23">
        <v>1.02125</v>
      </c>
      <c r="AR23">
        <v>1.24529</v>
      </c>
      <c r="AS23">
        <v>1.28905</v>
      </c>
      <c r="AT23">
        <v>1.3264400000000001</v>
      </c>
      <c r="AU23">
        <v>1.31948</v>
      </c>
      <c r="AV23">
        <v>1.2638799999999999</v>
      </c>
      <c r="AW23">
        <v>1.7016899999999999</v>
      </c>
      <c r="AX23">
        <v>1.68133</v>
      </c>
      <c r="AY23">
        <v>1.74373</v>
      </c>
      <c r="AZ23">
        <v>1.7713000000000001</v>
      </c>
      <c r="BA23">
        <v>1.7933699999999999</v>
      </c>
      <c r="BB23">
        <v>1.83521</v>
      </c>
      <c r="BC23">
        <v>1.86043</v>
      </c>
      <c r="BD23">
        <v>1.8856299999999999</v>
      </c>
      <c r="BE23">
        <v>1.7871900000000001</v>
      </c>
      <c r="BF23">
        <v>1.9551499999999999</v>
      </c>
      <c r="BG23">
        <v>1.95017</v>
      </c>
      <c r="BH23">
        <v>1.9481900000000001</v>
      </c>
      <c r="BI23">
        <v>1.9456899999999999</v>
      </c>
      <c r="BJ23">
        <v>1.9457</v>
      </c>
      <c r="BK23">
        <v>1.9407000000000001</v>
      </c>
      <c r="BL23">
        <v>1.9357200000000001</v>
      </c>
      <c r="BM23">
        <v>1.92648</v>
      </c>
      <c r="BN23">
        <v>1.91574</v>
      </c>
      <c r="BO23">
        <v>1.8881699999999999</v>
      </c>
      <c r="BP23">
        <v>1.9241699999999999</v>
      </c>
      <c r="BQ23">
        <v>1.92418</v>
      </c>
      <c r="BR23">
        <v>1.92727</v>
      </c>
      <c r="BS23">
        <v>1.92727</v>
      </c>
      <c r="BT23">
        <v>1.9272800000000001</v>
      </c>
      <c r="BW23">
        <v>1.9222900000000001</v>
      </c>
      <c r="BX23">
        <v>1.9222999999999999</v>
      </c>
      <c r="BY23">
        <v>1.9173100000000001</v>
      </c>
      <c r="BZ23">
        <v>1.9109</v>
      </c>
      <c r="CA23">
        <v>1.9109100000000001</v>
      </c>
      <c r="CB23">
        <v>1.9109100000000001</v>
      </c>
      <c r="CC23">
        <v>1.91092</v>
      </c>
      <c r="CD23">
        <v>1.91093</v>
      </c>
      <c r="CE23">
        <v>1.9123600000000001</v>
      </c>
      <c r="CF23">
        <v>1.9123600000000001</v>
      </c>
      <c r="CG23">
        <v>1.9123699999999999</v>
      </c>
      <c r="CH23">
        <v>1.90526</v>
      </c>
      <c r="CI23">
        <v>1.90571</v>
      </c>
      <c r="CJ23">
        <v>1.8995599999999999</v>
      </c>
      <c r="CK23">
        <v>1.8981399999999999</v>
      </c>
      <c r="CL23">
        <v>1.8981399999999999</v>
      </c>
      <c r="CM23">
        <v>1.89815</v>
      </c>
      <c r="CN23">
        <v>1.89815</v>
      </c>
      <c r="CO23">
        <v>1.8981600000000001</v>
      </c>
      <c r="CP23">
        <v>1.8998999999999999</v>
      </c>
      <c r="CQ23">
        <v>1.89741</v>
      </c>
      <c r="CS23">
        <v>1.8949100000000001</v>
      </c>
      <c r="CT23">
        <v>1.8949100000000001</v>
      </c>
      <c r="CU23">
        <v>1.8949199999999999</v>
      </c>
      <c r="CV23">
        <v>1.8949199999999999</v>
      </c>
      <c r="CW23">
        <v>1.89242</v>
      </c>
      <c r="CX23">
        <v>1.89242</v>
      </c>
      <c r="CY23">
        <v>1.88992</v>
      </c>
      <c r="CZ23">
        <v>1.89934</v>
      </c>
      <c r="DA23">
        <v>1.88741</v>
      </c>
      <c r="DB23">
        <v>1.8874200000000001</v>
      </c>
      <c r="DC23">
        <v>1.7986</v>
      </c>
    </row>
    <row r="24" spans="1:107" x14ac:dyDescent="0.25">
      <c r="A24">
        <f t="shared" si="0"/>
        <v>3</v>
      </c>
      <c r="B24" s="2">
        <v>42038</v>
      </c>
      <c r="C24">
        <v>0.53805000000000003</v>
      </c>
      <c r="D24">
        <v>0.62870000000000004</v>
      </c>
      <c r="E24">
        <v>0.56740999999999997</v>
      </c>
      <c r="F24">
        <v>0.56572999999999996</v>
      </c>
      <c r="G24">
        <v>0.57345999999999997</v>
      </c>
      <c r="H24">
        <v>0.59779000000000004</v>
      </c>
      <c r="I24">
        <v>0.49162</v>
      </c>
      <c r="J24">
        <v>0.45540999999999998</v>
      </c>
      <c r="K24">
        <v>0.48398000000000002</v>
      </c>
      <c r="L24">
        <v>0.51134000000000002</v>
      </c>
      <c r="M24">
        <v>0.50629000000000002</v>
      </c>
      <c r="N24">
        <v>0.45356999999999997</v>
      </c>
      <c r="O24">
        <v>0.59560000000000002</v>
      </c>
      <c r="P24">
        <v>0.59626000000000001</v>
      </c>
      <c r="Q24">
        <v>0.45154</v>
      </c>
      <c r="R24">
        <v>0.49041000000000001</v>
      </c>
      <c r="S24">
        <v>0.58916999999999997</v>
      </c>
      <c r="T24">
        <v>0.60350999999999999</v>
      </c>
      <c r="U24">
        <v>0.56886000000000003</v>
      </c>
      <c r="V24">
        <v>0.58375999999999995</v>
      </c>
      <c r="W24">
        <v>0.64673999999999998</v>
      </c>
      <c r="X24">
        <v>0.69089999999999996</v>
      </c>
      <c r="Y24">
        <v>0.74819000000000002</v>
      </c>
      <c r="Z24">
        <v>0.69745999999999997</v>
      </c>
      <c r="AA24">
        <v>0.76626000000000005</v>
      </c>
      <c r="AB24">
        <v>0.76049999999999995</v>
      </c>
      <c r="AC24">
        <v>0.82160999999999995</v>
      </c>
      <c r="AD24">
        <v>0.79437000000000002</v>
      </c>
      <c r="AE24">
        <v>0.72680999999999996</v>
      </c>
      <c r="AF24">
        <v>0.87687000000000004</v>
      </c>
      <c r="AG24">
        <v>0.91074999999999995</v>
      </c>
      <c r="AH24">
        <v>0.98126999999999998</v>
      </c>
      <c r="AI24">
        <v>0.96060000000000001</v>
      </c>
      <c r="AJ24">
        <v>0.98438000000000003</v>
      </c>
      <c r="AK24">
        <v>0.83559000000000005</v>
      </c>
      <c r="AL24">
        <v>1.0472999999999999</v>
      </c>
      <c r="AM24">
        <v>1.1303799999999999</v>
      </c>
      <c r="AN24">
        <v>0.95445999999999998</v>
      </c>
      <c r="AO24">
        <v>1.1797599999999999</v>
      </c>
      <c r="AP24">
        <v>1.25556</v>
      </c>
      <c r="AQ24">
        <v>1.08294</v>
      </c>
      <c r="AR24">
        <v>1.3040700000000001</v>
      </c>
      <c r="AS24">
        <v>1.3442400000000001</v>
      </c>
      <c r="AT24">
        <v>1.3809499999999999</v>
      </c>
      <c r="AU24">
        <v>1.38825</v>
      </c>
      <c r="AV24">
        <v>1.3227800000000001</v>
      </c>
      <c r="AW24">
        <v>1.7605</v>
      </c>
      <c r="AX24">
        <v>1.77274</v>
      </c>
      <c r="AY24">
        <v>1.80419</v>
      </c>
      <c r="AZ24">
        <v>1.8201099999999999</v>
      </c>
      <c r="BA24">
        <v>1.84137</v>
      </c>
      <c r="BB24">
        <v>1.8917900000000001</v>
      </c>
      <c r="BC24">
        <v>1.9172499999999999</v>
      </c>
      <c r="BD24">
        <v>1.94862</v>
      </c>
      <c r="BE24">
        <v>1.8370599999999999</v>
      </c>
      <c r="BF24">
        <v>2.0158999999999998</v>
      </c>
      <c r="BG24">
        <v>2.01092</v>
      </c>
      <c r="BH24">
        <v>2.00895</v>
      </c>
      <c r="BI24">
        <v>2.00745</v>
      </c>
      <c r="BJ24">
        <v>2.00746</v>
      </c>
      <c r="BK24">
        <v>1.9874700000000001</v>
      </c>
      <c r="BL24">
        <v>1.9974799999999999</v>
      </c>
      <c r="BM24">
        <v>1.9884900000000001</v>
      </c>
      <c r="BN24">
        <v>1.9775</v>
      </c>
      <c r="BO24">
        <v>1.95119</v>
      </c>
      <c r="BP24">
        <v>1.9861899999999999</v>
      </c>
      <c r="BQ24">
        <v>1.9862</v>
      </c>
      <c r="BR24">
        <v>1.9890300000000001</v>
      </c>
      <c r="BS24">
        <v>1.9890300000000001</v>
      </c>
      <c r="BT24">
        <v>1.9890399999999999</v>
      </c>
      <c r="BW24">
        <v>1.9840599999999999</v>
      </c>
      <c r="BX24">
        <v>1.9840599999999999</v>
      </c>
      <c r="BY24">
        <v>1.9790700000000001</v>
      </c>
      <c r="BZ24">
        <v>1.97292</v>
      </c>
      <c r="CA24">
        <v>1.9729300000000001</v>
      </c>
      <c r="CB24">
        <v>1.9729399999999999</v>
      </c>
      <c r="CC24">
        <v>1.9729399999999999</v>
      </c>
      <c r="CD24">
        <v>1.97295</v>
      </c>
      <c r="CE24">
        <v>1.9737899999999999</v>
      </c>
      <c r="CF24">
        <v>1.9737899999999999</v>
      </c>
      <c r="CG24">
        <v>1.9738</v>
      </c>
      <c r="CH24">
        <v>1.9648300000000001</v>
      </c>
      <c r="CI24">
        <v>1.9653799999999999</v>
      </c>
      <c r="CJ24">
        <v>1.9615100000000001</v>
      </c>
      <c r="CK24">
        <v>1.96068</v>
      </c>
      <c r="CL24">
        <v>1.96069</v>
      </c>
      <c r="CM24">
        <v>1.96069</v>
      </c>
      <c r="CN24">
        <v>1.9607000000000001</v>
      </c>
      <c r="CO24">
        <v>1.9607000000000001</v>
      </c>
      <c r="CP24">
        <v>1.96167</v>
      </c>
      <c r="CQ24">
        <v>1.9591700000000001</v>
      </c>
      <c r="CS24">
        <v>1.95668</v>
      </c>
      <c r="CT24">
        <v>1.95668</v>
      </c>
      <c r="CU24">
        <v>1.95668</v>
      </c>
      <c r="CV24">
        <v>1.95669</v>
      </c>
      <c r="CW24">
        <v>1.95418</v>
      </c>
      <c r="CX24">
        <v>1.9541900000000001</v>
      </c>
      <c r="CY24">
        <v>1.9516800000000001</v>
      </c>
      <c r="CZ24">
        <v>1.96099</v>
      </c>
      <c r="DA24">
        <v>1.94503</v>
      </c>
      <c r="DB24">
        <v>1.94503</v>
      </c>
      <c r="DC24">
        <v>1.85924</v>
      </c>
    </row>
    <row r="25" spans="1:107" x14ac:dyDescent="0.25">
      <c r="A25">
        <f t="shared" si="0"/>
        <v>4</v>
      </c>
      <c r="B25" s="2">
        <v>42039</v>
      </c>
      <c r="C25">
        <v>0.49247000000000002</v>
      </c>
      <c r="D25">
        <v>0.55815999999999999</v>
      </c>
      <c r="E25">
        <v>0.53225999999999996</v>
      </c>
      <c r="F25">
        <v>0.55039000000000005</v>
      </c>
      <c r="G25">
        <v>0.55206</v>
      </c>
      <c r="H25">
        <v>0.57652999999999999</v>
      </c>
      <c r="I25">
        <v>0.46871000000000002</v>
      </c>
      <c r="J25">
        <v>0.43819000000000002</v>
      </c>
      <c r="K25">
        <v>0.46489000000000003</v>
      </c>
      <c r="L25">
        <v>0.49046000000000001</v>
      </c>
      <c r="M25">
        <v>0.48959999999999998</v>
      </c>
      <c r="N25">
        <v>0.43402000000000002</v>
      </c>
      <c r="O25">
        <v>0.57465999999999995</v>
      </c>
      <c r="P25">
        <v>0.55442999999999998</v>
      </c>
      <c r="Q25">
        <v>0.43997999999999998</v>
      </c>
      <c r="R25">
        <v>0.45876</v>
      </c>
      <c r="S25">
        <v>0.56491999999999998</v>
      </c>
      <c r="T25">
        <v>0.57979999999999998</v>
      </c>
      <c r="U25">
        <v>0.55125999999999997</v>
      </c>
      <c r="V25">
        <v>0.56821999999999995</v>
      </c>
      <c r="W25">
        <v>0.62990000000000002</v>
      </c>
      <c r="X25">
        <v>0.67654999999999998</v>
      </c>
      <c r="Y25">
        <v>0.72440000000000004</v>
      </c>
      <c r="Z25">
        <v>0.68037999999999998</v>
      </c>
      <c r="AA25">
        <v>0.74507999999999996</v>
      </c>
      <c r="AB25">
        <v>0.74507000000000001</v>
      </c>
      <c r="AC25">
        <v>0.80112000000000005</v>
      </c>
      <c r="AD25">
        <v>0.77822999999999998</v>
      </c>
      <c r="AE25">
        <v>0.70447000000000004</v>
      </c>
      <c r="AF25">
        <v>0.86016999999999999</v>
      </c>
      <c r="AG25">
        <v>0.88649999999999995</v>
      </c>
      <c r="AH25">
        <v>0.9627</v>
      </c>
      <c r="AI25">
        <v>0.95486000000000004</v>
      </c>
      <c r="AJ25">
        <v>0.94699999999999995</v>
      </c>
      <c r="AK25">
        <v>0.80667999999999995</v>
      </c>
      <c r="AL25">
        <v>1.0283199999999999</v>
      </c>
      <c r="AM25">
        <v>1.1261699999999999</v>
      </c>
      <c r="AN25">
        <v>0.93444000000000005</v>
      </c>
      <c r="AO25">
        <v>1.1643699999999999</v>
      </c>
      <c r="AP25">
        <v>1.2370699999999999</v>
      </c>
      <c r="AQ25">
        <v>1.0570999999999999</v>
      </c>
      <c r="AR25">
        <v>1.2900499999999999</v>
      </c>
      <c r="AS25">
        <v>1.3273299999999999</v>
      </c>
      <c r="AT25">
        <v>1.3626100000000001</v>
      </c>
      <c r="AU25">
        <v>1.3656699999999999</v>
      </c>
      <c r="AV25">
        <v>1.31063</v>
      </c>
      <c r="AW25">
        <v>1.7492799999999999</v>
      </c>
      <c r="AX25">
        <v>1.7609699999999999</v>
      </c>
      <c r="AY25">
        <v>1.79135</v>
      </c>
      <c r="AZ25">
        <v>1.8091299999999999</v>
      </c>
      <c r="BA25">
        <v>1.8304100000000001</v>
      </c>
      <c r="BB25">
        <v>1.8711500000000001</v>
      </c>
      <c r="BC25">
        <v>1.8989100000000001</v>
      </c>
      <c r="BD25">
        <v>1.9120200000000001</v>
      </c>
      <c r="BE25">
        <v>1.82155</v>
      </c>
      <c r="BF25">
        <v>1.9904999999999999</v>
      </c>
      <c r="BG25">
        <v>1.98553</v>
      </c>
      <c r="BH25">
        <v>1.9852300000000001</v>
      </c>
      <c r="BI25">
        <v>1.9820599999999999</v>
      </c>
      <c r="BJ25">
        <v>1.9820800000000001</v>
      </c>
      <c r="BK25">
        <v>1.96211</v>
      </c>
      <c r="BL25">
        <v>1.9621200000000001</v>
      </c>
      <c r="BM25">
        <v>1.9638</v>
      </c>
      <c r="BN25">
        <v>1.9521500000000001</v>
      </c>
      <c r="BO25">
        <v>1.92862</v>
      </c>
      <c r="BP25">
        <v>1.9615100000000001</v>
      </c>
      <c r="BQ25">
        <v>1.9615199999999999</v>
      </c>
      <c r="BR25">
        <v>1.9636899999999999</v>
      </c>
      <c r="BS25">
        <v>1.9637</v>
      </c>
      <c r="BT25">
        <v>1.9637199999999999</v>
      </c>
      <c r="BW25">
        <v>1.95492</v>
      </c>
      <c r="BX25">
        <v>1.9587600000000001</v>
      </c>
      <c r="BY25">
        <v>1.9516100000000001</v>
      </c>
      <c r="BZ25">
        <v>1.9482900000000001</v>
      </c>
      <c r="CA25">
        <v>1.9482999999999999</v>
      </c>
      <c r="CB25">
        <v>1.94831</v>
      </c>
      <c r="CC25">
        <v>1.9483200000000001</v>
      </c>
      <c r="CD25">
        <v>1.9483299999999999</v>
      </c>
      <c r="CE25">
        <v>1.95018</v>
      </c>
      <c r="CF25">
        <v>1.9501900000000001</v>
      </c>
      <c r="CG25">
        <v>1.9501999999999999</v>
      </c>
      <c r="CH25">
        <v>1.9451499999999999</v>
      </c>
      <c r="CI25">
        <v>1.9416199999999999</v>
      </c>
      <c r="CJ25">
        <v>1.9383900000000001</v>
      </c>
      <c r="CK25">
        <v>1.9374199999999999</v>
      </c>
      <c r="CL25">
        <v>1.93743</v>
      </c>
      <c r="CM25">
        <v>1.9374400000000001</v>
      </c>
      <c r="CN25">
        <v>1.9374400000000001</v>
      </c>
      <c r="CO25">
        <v>1.9374499999999999</v>
      </c>
      <c r="CP25">
        <v>1.93642</v>
      </c>
      <c r="CQ25">
        <v>1.92893</v>
      </c>
      <c r="CS25">
        <v>1.93144</v>
      </c>
      <c r="CT25">
        <v>1.93144</v>
      </c>
      <c r="CU25">
        <v>1.9314499999999999</v>
      </c>
      <c r="CV25">
        <v>1.93146</v>
      </c>
      <c r="CW25">
        <v>1.9289499999999999</v>
      </c>
      <c r="CX25">
        <v>1.92896</v>
      </c>
      <c r="CY25">
        <v>1.92645</v>
      </c>
      <c r="CZ25">
        <v>1.93828</v>
      </c>
      <c r="DA25">
        <v>1.92106</v>
      </c>
      <c r="DB25">
        <v>1.9210700000000001</v>
      </c>
      <c r="DC25">
        <v>1.83704</v>
      </c>
    </row>
    <row r="26" spans="1:107" x14ac:dyDescent="0.25">
      <c r="A26">
        <f t="shared" si="0"/>
        <v>5</v>
      </c>
      <c r="B26" s="2">
        <v>42040</v>
      </c>
      <c r="C26">
        <v>0.46561000000000002</v>
      </c>
      <c r="D26">
        <v>0.58211000000000002</v>
      </c>
      <c r="E26">
        <v>0.52419000000000004</v>
      </c>
      <c r="F26">
        <v>0.55032000000000003</v>
      </c>
      <c r="G26">
        <v>0.55223</v>
      </c>
      <c r="H26">
        <v>0.58040999999999998</v>
      </c>
      <c r="I26">
        <v>0.48053000000000001</v>
      </c>
      <c r="J26">
        <v>0.44706000000000001</v>
      </c>
      <c r="K26">
        <v>0.45934999999999998</v>
      </c>
      <c r="L26">
        <v>0.49641999999999997</v>
      </c>
      <c r="M26">
        <v>0.49851000000000001</v>
      </c>
      <c r="N26">
        <v>0.44853999999999999</v>
      </c>
      <c r="O26">
        <v>0.58321999999999996</v>
      </c>
      <c r="P26">
        <v>0.58450000000000002</v>
      </c>
      <c r="Q26">
        <v>0.45405000000000001</v>
      </c>
      <c r="R26">
        <v>0.48581999999999997</v>
      </c>
      <c r="S26">
        <v>0.59101999999999999</v>
      </c>
      <c r="T26">
        <v>0.60445000000000004</v>
      </c>
      <c r="U26">
        <v>0.58248</v>
      </c>
      <c r="V26">
        <v>0.59623999999999999</v>
      </c>
      <c r="W26">
        <v>0.66134000000000004</v>
      </c>
      <c r="X26">
        <v>0.71333999999999997</v>
      </c>
      <c r="Y26">
        <v>0.80906</v>
      </c>
      <c r="Z26">
        <v>0.73902999999999996</v>
      </c>
      <c r="AA26">
        <v>0.80784</v>
      </c>
      <c r="AB26">
        <v>0.80786999999999998</v>
      </c>
      <c r="AC26">
        <v>0.85941000000000001</v>
      </c>
      <c r="AD26">
        <v>0.81781000000000004</v>
      </c>
      <c r="AE26">
        <v>0.76488</v>
      </c>
      <c r="AF26">
        <v>0.9153</v>
      </c>
      <c r="AG26">
        <v>0.95096999999999998</v>
      </c>
      <c r="AH26">
        <v>1.0184299999999999</v>
      </c>
      <c r="AI26">
        <v>1.0184</v>
      </c>
      <c r="AJ26">
        <v>1.0074099999999999</v>
      </c>
      <c r="AK26">
        <v>0.87583999999999995</v>
      </c>
      <c r="AL26">
        <v>1.08518</v>
      </c>
      <c r="AM26">
        <v>1.19215</v>
      </c>
      <c r="AN26">
        <v>1.00925</v>
      </c>
      <c r="AO26">
        <v>1.2404299999999999</v>
      </c>
      <c r="AP26">
        <v>1.31437</v>
      </c>
      <c r="AQ26">
        <v>1.1438699999999999</v>
      </c>
      <c r="AR26">
        <v>1.36225</v>
      </c>
      <c r="AS26">
        <v>1.4095800000000001</v>
      </c>
      <c r="AT26">
        <v>1.43692</v>
      </c>
      <c r="AU26">
        <v>1.44492</v>
      </c>
      <c r="AV26">
        <v>1.3818999999999999</v>
      </c>
      <c r="AW26">
        <v>1.82176</v>
      </c>
      <c r="AX26">
        <v>1.83508</v>
      </c>
      <c r="AY26">
        <v>1.86843</v>
      </c>
      <c r="AZ26">
        <v>1.88283</v>
      </c>
      <c r="BA26">
        <v>1.901</v>
      </c>
      <c r="BB26">
        <v>1.9436599999999999</v>
      </c>
      <c r="BC26">
        <v>1.9714100000000001</v>
      </c>
      <c r="BD26">
        <v>1.98691</v>
      </c>
      <c r="BE26">
        <v>1.8866400000000001</v>
      </c>
      <c r="BF26">
        <v>2.06413</v>
      </c>
      <c r="BG26">
        <v>2.0591599999999999</v>
      </c>
      <c r="BH26">
        <v>2.0598399999999999</v>
      </c>
      <c r="BI26">
        <v>2.0552000000000001</v>
      </c>
      <c r="BJ26">
        <v>2.0552199999999998</v>
      </c>
      <c r="BK26">
        <v>2.05023</v>
      </c>
      <c r="BL26">
        <v>2.0452599999999999</v>
      </c>
      <c r="BM26">
        <v>2.036</v>
      </c>
      <c r="BN26">
        <v>2.0253000000000001</v>
      </c>
      <c r="BO26">
        <v>1.99905</v>
      </c>
      <c r="BP26">
        <v>2.03681</v>
      </c>
      <c r="BQ26">
        <v>2.0368200000000001</v>
      </c>
      <c r="BR26">
        <v>2.0368400000000002</v>
      </c>
      <c r="BS26">
        <v>2.0368499999999998</v>
      </c>
      <c r="BT26">
        <v>2.0368599999999999</v>
      </c>
      <c r="BW26">
        <v>2.0318900000000002</v>
      </c>
      <c r="BX26">
        <v>2.0318999999999998</v>
      </c>
      <c r="BY26">
        <v>2.0238200000000002</v>
      </c>
      <c r="BZ26">
        <v>2.0204900000000001</v>
      </c>
      <c r="CA26">
        <v>2.0176500000000002</v>
      </c>
      <c r="CB26">
        <v>2.0176599999999998</v>
      </c>
      <c r="CC26">
        <v>2.0205299999999999</v>
      </c>
      <c r="CD26">
        <v>2.02054</v>
      </c>
      <c r="CE26">
        <v>2.0241400000000001</v>
      </c>
      <c r="CF26">
        <v>2.0241500000000001</v>
      </c>
      <c r="CG26">
        <v>2.0241500000000001</v>
      </c>
      <c r="CH26">
        <v>2.0181100000000001</v>
      </c>
      <c r="CI26">
        <v>2.0175100000000001</v>
      </c>
      <c r="CJ26">
        <v>2.0105900000000001</v>
      </c>
      <c r="CK26">
        <v>2.0077500000000001</v>
      </c>
      <c r="CL26">
        <v>2.0077500000000001</v>
      </c>
      <c r="CM26">
        <v>2.0077600000000002</v>
      </c>
      <c r="CN26">
        <v>2.0077699999999998</v>
      </c>
      <c r="CO26">
        <v>2.0077799999999999</v>
      </c>
      <c r="CP26">
        <v>2.0095700000000001</v>
      </c>
      <c r="CQ26">
        <v>2.0070800000000002</v>
      </c>
      <c r="CS26">
        <v>2.0045899999999999</v>
      </c>
      <c r="CT26">
        <v>2.0045999999999999</v>
      </c>
      <c r="CU26">
        <v>2.00461</v>
      </c>
      <c r="CV26">
        <v>2.00461</v>
      </c>
      <c r="CW26">
        <v>2.0021200000000001</v>
      </c>
      <c r="CX26">
        <v>2.0021200000000001</v>
      </c>
      <c r="CY26">
        <v>1.99962</v>
      </c>
      <c r="CZ26">
        <v>1.99963</v>
      </c>
      <c r="DA26">
        <v>1.99712</v>
      </c>
      <c r="DB26">
        <v>1.9971300000000001</v>
      </c>
      <c r="DC26">
        <v>1.90934</v>
      </c>
    </row>
    <row r="27" spans="1:107" x14ac:dyDescent="0.25">
      <c r="A27">
        <f t="shared" si="0"/>
        <v>6</v>
      </c>
      <c r="B27" s="2">
        <v>42041</v>
      </c>
      <c r="C27">
        <v>0.47225</v>
      </c>
      <c r="D27">
        <v>0.56547999999999998</v>
      </c>
      <c r="E27">
        <v>0.53732999999999997</v>
      </c>
      <c r="F27">
        <v>0.55123</v>
      </c>
      <c r="G27">
        <v>0.56503000000000003</v>
      </c>
      <c r="H27">
        <v>0.59633000000000003</v>
      </c>
      <c r="I27">
        <v>0.49786999999999998</v>
      </c>
      <c r="J27">
        <v>0.48948999999999998</v>
      </c>
      <c r="K27">
        <v>0.50407000000000002</v>
      </c>
      <c r="L27">
        <v>0.53622999999999998</v>
      </c>
      <c r="M27">
        <v>0.54113</v>
      </c>
      <c r="N27">
        <v>0.49908000000000002</v>
      </c>
      <c r="O27">
        <v>0.62880000000000003</v>
      </c>
      <c r="P27">
        <v>0.62851999999999997</v>
      </c>
      <c r="Q27">
        <v>0.53429000000000004</v>
      </c>
      <c r="R27">
        <v>0.54986999999999997</v>
      </c>
      <c r="S27">
        <v>0.65239000000000003</v>
      </c>
      <c r="T27">
        <v>0.66513999999999995</v>
      </c>
      <c r="U27">
        <v>0.65666000000000002</v>
      </c>
      <c r="V27">
        <v>0.66818999999999995</v>
      </c>
      <c r="W27">
        <v>0.73387000000000002</v>
      </c>
      <c r="X27">
        <v>0.77973000000000003</v>
      </c>
      <c r="Y27">
        <v>0.89251999999999998</v>
      </c>
      <c r="Z27">
        <v>0.82389999999999997</v>
      </c>
      <c r="AA27">
        <v>0.89349000000000001</v>
      </c>
      <c r="AB27">
        <v>0.88844999999999996</v>
      </c>
      <c r="AC27">
        <v>0.94581000000000004</v>
      </c>
      <c r="AD27">
        <v>0.91900999999999999</v>
      </c>
      <c r="AE27">
        <v>0.85394999999999999</v>
      </c>
      <c r="AF27">
        <v>1.00271</v>
      </c>
      <c r="AG27">
        <v>1.04741</v>
      </c>
      <c r="AH27">
        <v>1.10897</v>
      </c>
      <c r="AI27">
        <v>1.10663</v>
      </c>
      <c r="AJ27">
        <v>1.1056299999999999</v>
      </c>
      <c r="AK27">
        <v>0.96348999999999996</v>
      </c>
      <c r="AL27">
        <v>1.17855</v>
      </c>
      <c r="AM27">
        <v>1.2764800000000001</v>
      </c>
      <c r="AN27">
        <v>1.09273</v>
      </c>
      <c r="AO27">
        <v>1.3242700000000001</v>
      </c>
      <c r="AP27">
        <v>1.3911</v>
      </c>
      <c r="AQ27">
        <v>1.23278</v>
      </c>
      <c r="AR27">
        <v>1.4428099999999999</v>
      </c>
      <c r="AS27">
        <v>1.48811</v>
      </c>
      <c r="AT27">
        <v>1.5216099999999999</v>
      </c>
      <c r="AU27">
        <v>1.51691</v>
      </c>
      <c r="AV27">
        <v>1.4654799999999999</v>
      </c>
      <c r="AW27">
        <v>1.91462</v>
      </c>
      <c r="AX27">
        <v>1.8986000000000001</v>
      </c>
      <c r="AY27">
        <v>1.9554499999999999</v>
      </c>
      <c r="AZ27">
        <v>1.9794799999999999</v>
      </c>
      <c r="BA27">
        <v>2.00752</v>
      </c>
      <c r="BB27">
        <v>2.0288200000000001</v>
      </c>
      <c r="BC27">
        <v>2.0575000000000001</v>
      </c>
      <c r="BD27">
        <v>2.0734400000000002</v>
      </c>
      <c r="BE27">
        <v>1.96987</v>
      </c>
      <c r="BF27">
        <v>2.1449799999999999</v>
      </c>
      <c r="BG27">
        <v>2.1400100000000002</v>
      </c>
      <c r="BH27">
        <v>2.1382400000000001</v>
      </c>
      <c r="BI27">
        <v>2.1355499999999998</v>
      </c>
      <c r="BJ27">
        <v>2.13557</v>
      </c>
      <c r="BK27">
        <v>2.1164999999999998</v>
      </c>
      <c r="BL27">
        <v>2.1255999999999999</v>
      </c>
      <c r="BM27">
        <v>2.1170900000000001</v>
      </c>
      <c r="BN27">
        <v>2.1065499999999999</v>
      </c>
      <c r="BO27">
        <v>2.0814599999999999</v>
      </c>
      <c r="BP27">
        <v>2.1144599999999998</v>
      </c>
      <c r="BQ27">
        <v>2.1144699999999998</v>
      </c>
      <c r="BR27">
        <v>2.1166900000000002</v>
      </c>
      <c r="BS27">
        <v>2.1166999999999998</v>
      </c>
      <c r="BT27">
        <v>2.1167099999999999</v>
      </c>
      <c r="BW27">
        <v>2.1117400000000002</v>
      </c>
      <c r="BX27">
        <v>2.1117499999999998</v>
      </c>
      <c r="BY27">
        <v>2.1045699999999998</v>
      </c>
      <c r="BZ27">
        <v>2.1012499999999998</v>
      </c>
      <c r="CA27">
        <v>2.1012599999999999</v>
      </c>
      <c r="CB27">
        <v>2.10127</v>
      </c>
      <c r="CC27">
        <v>2.10128</v>
      </c>
      <c r="CD27">
        <v>2.1012900000000001</v>
      </c>
      <c r="CE27">
        <v>2.10249</v>
      </c>
      <c r="CF27">
        <v>2.1025</v>
      </c>
      <c r="CG27">
        <v>2.1025100000000001</v>
      </c>
      <c r="CH27">
        <v>2.0961400000000001</v>
      </c>
      <c r="CI27">
        <v>2.0936499999999998</v>
      </c>
      <c r="CJ27">
        <v>2.0911599999999999</v>
      </c>
      <c r="CK27">
        <v>2.0893899999999999</v>
      </c>
      <c r="CL27">
        <v>2.0893999999999999</v>
      </c>
      <c r="CM27">
        <v>2.08941</v>
      </c>
      <c r="CN27">
        <v>2.0894200000000001</v>
      </c>
      <c r="CO27">
        <v>2.0903299999999998</v>
      </c>
      <c r="CP27">
        <v>2.0894300000000001</v>
      </c>
      <c r="CQ27">
        <v>2.0869399999999998</v>
      </c>
      <c r="CS27">
        <v>2.0844499999999999</v>
      </c>
      <c r="CT27">
        <v>2.08446</v>
      </c>
      <c r="CU27">
        <v>2.08447</v>
      </c>
      <c r="CV27">
        <v>2.08447</v>
      </c>
      <c r="CW27">
        <v>2.0819700000000001</v>
      </c>
      <c r="CX27">
        <v>2.0819800000000002</v>
      </c>
      <c r="CY27">
        <v>2.0794800000000002</v>
      </c>
      <c r="CZ27">
        <v>2.0893700000000002</v>
      </c>
      <c r="DA27">
        <v>2.0769799999999998</v>
      </c>
      <c r="DB27">
        <v>2.0769799999999998</v>
      </c>
      <c r="DC27">
        <v>1.98641</v>
      </c>
    </row>
    <row r="28" spans="1:107" x14ac:dyDescent="0.25">
      <c r="A28">
        <f t="shared" si="0"/>
        <v>2</v>
      </c>
      <c r="B28" s="2">
        <v>42044</v>
      </c>
      <c r="C28">
        <v>0.51014999999999999</v>
      </c>
      <c r="D28">
        <v>0.59467999999999999</v>
      </c>
      <c r="E28">
        <v>0.54015999999999997</v>
      </c>
      <c r="F28">
        <v>0.55662</v>
      </c>
      <c r="G28">
        <v>0.56413999999999997</v>
      </c>
      <c r="H28">
        <v>0.59275</v>
      </c>
      <c r="I28">
        <v>0.47781000000000001</v>
      </c>
      <c r="J28">
        <v>0.48809000000000002</v>
      </c>
      <c r="K28">
        <v>0.51080000000000003</v>
      </c>
      <c r="L28">
        <v>0.53200000000000003</v>
      </c>
      <c r="M28">
        <v>0.53908</v>
      </c>
      <c r="N28">
        <v>0.49414999999999998</v>
      </c>
      <c r="O28">
        <v>0.62033000000000005</v>
      </c>
      <c r="P28">
        <v>0.62143999999999999</v>
      </c>
      <c r="Q28">
        <v>0.51344999999999996</v>
      </c>
      <c r="R28">
        <v>0.53942000000000001</v>
      </c>
      <c r="S28">
        <v>0.63953000000000004</v>
      </c>
      <c r="T28">
        <v>0.65339999999999998</v>
      </c>
      <c r="U28">
        <v>0.64185999999999999</v>
      </c>
      <c r="V28">
        <v>0.65534000000000003</v>
      </c>
      <c r="W28">
        <v>0.72096000000000005</v>
      </c>
      <c r="X28">
        <v>0.76790999999999998</v>
      </c>
      <c r="Y28">
        <v>0.87387000000000004</v>
      </c>
      <c r="Z28">
        <v>0.80684999999999996</v>
      </c>
      <c r="AA28">
        <v>0.87478</v>
      </c>
      <c r="AB28">
        <v>0.87490000000000001</v>
      </c>
      <c r="AC28">
        <v>0.92818999999999996</v>
      </c>
      <c r="AD28">
        <v>0.88649999999999995</v>
      </c>
      <c r="AE28">
        <v>0.82816999999999996</v>
      </c>
      <c r="AF28">
        <v>0.98614000000000002</v>
      </c>
      <c r="AG28">
        <v>1.0231699999999999</v>
      </c>
      <c r="AH28">
        <v>1.0891500000000001</v>
      </c>
      <c r="AI28">
        <v>1.08534</v>
      </c>
      <c r="AJ28">
        <v>1.08006</v>
      </c>
      <c r="AK28">
        <v>0.94691999999999998</v>
      </c>
      <c r="AL28">
        <v>1.15788</v>
      </c>
      <c r="AM28">
        <v>1.25502</v>
      </c>
      <c r="AN28">
        <v>1.07186</v>
      </c>
      <c r="AO28">
        <v>1.3043</v>
      </c>
      <c r="AP28">
        <v>1.37131</v>
      </c>
      <c r="AQ28">
        <v>1.2103999999999999</v>
      </c>
      <c r="AR28">
        <v>1.4230100000000001</v>
      </c>
      <c r="AS28">
        <v>1.4656</v>
      </c>
      <c r="AT28">
        <v>1.5022599999999999</v>
      </c>
      <c r="AU28">
        <v>1.48682</v>
      </c>
      <c r="AV28">
        <v>1.44638</v>
      </c>
      <c r="AW28">
        <v>1.89785</v>
      </c>
      <c r="AX28">
        <v>1.91161</v>
      </c>
      <c r="AY28">
        <v>1.94133</v>
      </c>
      <c r="AZ28">
        <v>1.9615</v>
      </c>
      <c r="BA28">
        <v>1.9866699999999999</v>
      </c>
      <c r="BB28">
        <v>2.0200300000000002</v>
      </c>
      <c r="BC28">
        <v>2.0435400000000001</v>
      </c>
      <c r="BD28">
        <v>2.0733100000000002</v>
      </c>
      <c r="BE28">
        <v>1.9675199999999999</v>
      </c>
      <c r="BF28">
        <v>2.1368499999999999</v>
      </c>
      <c r="BG28">
        <v>2.1318700000000002</v>
      </c>
      <c r="BH28">
        <v>2.1320800000000002</v>
      </c>
      <c r="BI28">
        <v>2.1273900000000001</v>
      </c>
      <c r="BJ28">
        <v>2.1274000000000002</v>
      </c>
      <c r="BK28">
        <v>2.1224099999999999</v>
      </c>
      <c r="BL28">
        <v>2.1174300000000001</v>
      </c>
      <c r="BM28">
        <v>2.1087099999999999</v>
      </c>
      <c r="BN28">
        <v>2.09836</v>
      </c>
      <c r="BO28">
        <v>2.0743999999999998</v>
      </c>
      <c r="BP28">
        <v>2.10846</v>
      </c>
      <c r="BQ28">
        <v>2.1084700000000001</v>
      </c>
      <c r="BR28">
        <v>2.1084800000000001</v>
      </c>
      <c r="BS28">
        <v>2.1084800000000001</v>
      </c>
      <c r="BT28">
        <v>2.1084900000000002</v>
      </c>
      <c r="BW28">
        <v>2.10351</v>
      </c>
      <c r="BX28">
        <v>2.10351</v>
      </c>
      <c r="BY28">
        <v>2.09613</v>
      </c>
      <c r="BZ28">
        <v>2.0928100000000001</v>
      </c>
      <c r="CA28">
        <v>2.0928100000000001</v>
      </c>
      <c r="CB28">
        <v>2.0928200000000001</v>
      </c>
      <c r="CC28">
        <v>2.0928300000000002</v>
      </c>
      <c r="CD28">
        <v>2.0928300000000002</v>
      </c>
      <c r="CE28">
        <v>2.0962000000000001</v>
      </c>
      <c r="CF28">
        <v>2.0962100000000001</v>
      </c>
      <c r="CG28">
        <v>2.0962100000000001</v>
      </c>
      <c r="CH28">
        <v>2.0905499999999999</v>
      </c>
      <c r="CI28">
        <v>2.0895600000000001</v>
      </c>
      <c r="CJ28">
        <v>2.0844999999999998</v>
      </c>
      <c r="CK28">
        <v>2.0805199999999999</v>
      </c>
      <c r="CL28">
        <v>2.08053</v>
      </c>
      <c r="CM28">
        <v>2.08053</v>
      </c>
      <c r="CN28">
        <v>2.0805400000000001</v>
      </c>
      <c r="CO28">
        <v>2.08203</v>
      </c>
      <c r="CP28">
        <v>2.0811199999999999</v>
      </c>
      <c r="CQ28">
        <v>2.07863</v>
      </c>
      <c r="CS28">
        <v>2.0761400000000001</v>
      </c>
      <c r="CT28">
        <v>2.0761400000000001</v>
      </c>
      <c r="CU28">
        <v>2.0761400000000001</v>
      </c>
      <c r="CV28">
        <v>2.0761500000000002</v>
      </c>
      <c r="CW28">
        <v>2.0736500000000002</v>
      </c>
      <c r="CX28">
        <v>2.0736500000000002</v>
      </c>
      <c r="CY28">
        <v>2.0711400000000002</v>
      </c>
      <c r="CZ28">
        <v>2.0711499999999998</v>
      </c>
      <c r="DA28">
        <v>2.0686399999999998</v>
      </c>
      <c r="DB28">
        <v>2.0686399999999998</v>
      </c>
      <c r="DC28">
        <v>1.98305</v>
      </c>
    </row>
    <row r="29" spans="1:107" x14ac:dyDescent="0.25">
      <c r="A29">
        <f t="shared" si="0"/>
        <v>3</v>
      </c>
      <c r="B29" s="2">
        <v>42045</v>
      </c>
      <c r="C29">
        <v>0.50024999999999997</v>
      </c>
      <c r="D29">
        <v>0.62649999999999995</v>
      </c>
      <c r="E29">
        <v>0.53788000000000002</v>
      </c>
      <c r="F29">
        <v>0.55657999999999996</v>
      </c>
      <c r="G29">
        <v>0.55450999999999995</v>
      </c>
      <c r="H29">
        <v>0.57669999999999999</v>
      </c>
      <c r="I29">
        <v>0.45108999999999999</v>
      </c>
      <c r="J29">
        <v>0.44640999999999997</v>
      </c>
      <c r="K29">
        <v>0.46087</v>
      </c>
      <c r="L29">
        <v>0.49253000000000002</v>
      </c>
      <c r="M29">
        <v>0.49730000000000002</v>
      </c>
      <c r="N29">
        <v>0.44618999999999998</v>
      </c>
      <c r="O29">
        <v>0.58640000000000003</v>
      </c>
      <c r="P29">
        <v>0.58648</v>
      </c>
      <c r="Q29">
        <v>0.46096999999999999</v>
      </c>
      <c r="R29">
        <v>0.48415000000000002</v>
      </c>
      <c r="S29">
        <v>0.58620000000000005</v>
      </c>
      <c r="T29">
        <v>0.59984000000000004</v>
      </c>
      <c r="U29">
        <v>0.60206000000000004</v>
      </c>
      <c r="V29">
        <v>0.61360000000000003</v>
      </c>
      <c r="W29">
        <v>0.68167</v>
      </c>
      <c r="X29">
        <v>0.72626000000000002</v>
      </c>
      <c r="Y29">
        <v>0.84862000000000004</v>
      </c>
      <c r="Z29">
        <v>0.78625999999999996</v>
      </c>
      <c r="AA29">
        <v>0.85412999999999994</v>
      </c>
      <c r="AB29">
        <v>0.85419999999999996</v>
      </c>
      <c r="AC29">
        <v>0.91096999999999995</v>
      </c>
      <c r="AD29">
        <v>0.86972000000000005</v>
      </c>
      <c r="AE29">
        <v>0.81616</v>
      </c>
      <c r="AF29">
        <v>0.96763999999999994</v>
      </c>
      <c r="AG29">
        <v>1.0067699999999999</v>
      </c>
      <c r="AH29">
        <v>1.0557399999999999</v>
      </c>
      <c r="AI29">
        <v>1.0735300000000001</v>
      </c>
      <c r="AJ29">
        <v>1.0629</v>
      </c>
      <c r="AK29">
        <v>0.92932000000000003</v>
      </c>
      <c r="AL29">
        <v>1.14367</v>
      </c>
      <c r="AM29">
        <v>1.2538800000000001</v>
      </c>
      <c r="AN29">
        <v>1.06376</v>
      </c>
      <c r="AO29">
        <v>1.30217</v>
      </c>
      <c r="AP29">
        <v>1.3773500000000001</v>
      </c>
      <c r="AQ29">
        <v>1.21035</v>
      </c>
      <c r="AR29">
        <v>1.4290499999999999</v>
      </c>
      <c r="AS29">
        <v>1.47831</v>
      </c>
      <c r="AT29">
        <v>1.51433</v>
      </c>
      <c r="AU29">
        <v>1.50732</v>
      </c>
      <c r="AV29">
        <v>1.46075</v>
      </c>
      <c r="AW29">
        <v>1.9135200000000001</v>
      </c>
      <c r="AX29">
        <v>1.92811</v>
      </c>
      <c r="AY29">
        <v>1.95804</v>
      </c>
      <c r="AZ29">
        <v>1.9745200000000001</v>
      </c>
      <c r="BA29">
        <v>1.99621</v>
      </c>
      <c r="BB29">
        <v>2.0393599999999998</v>
      </c>
      <c r="BC29">
        <v>2.0670999999999999</v>
      </c>
      <c r="BD29">
        <v>2.0897600000000001</v>
      </c>
      <c r="BE29">
        <v>1.9879800000000001</v>
      </c>
      <c r="BF29">
        <v>2.1647699999999999</v>
      </c>
      <c r="BG29">
        <v>2.1597900000000001</v>
      </c>
      <c r="BH29">
        <v>2.16161</v>
      </c>
      <c r="BI29">
        <v>2.1558099999999998</v>
      </c>
      <c r="BJ29">
        <v>2.1558199999999998</v>
      </c>
      <c r="BK29">
        <v>2.15082</v>
      </c>
      <c r="BL29">
        <v>2.1458400000000002</v>
      </c>
      <c r="BM29">
        <v>2.1290300000000002</v>
      </c>
      <c r="BN29">
        <v>2.1240399999999999</v>
      </c>
      <c r="BO29">
        <v>2.1084700000000001</v>
      </c>
      <c r="BP29">
        <v>2.1373700000000002</v>
      </c>
      <c r="BQ29">
        <v>2.1373799999999998</v>
      </c>
      <c r="BR29">
        <v>2.1373899999999999</v>
      </c>
      <c r="BS29">
        <v>2.1374</v>
      </c>
      <c r="BT29">
        <v>2.13741</v>
      </c>
      <c r="BW29">
        <v>2.1324299999999998</v>
      </c>
      <c r="BX29">
        <v>2.1324299999999998</v>
      </c>
      <c r="BY29">
        <v>2.1238700000000001</v>
      </c>
      <c r="BZ29">
        <v>2.1185700000000001</v>
      </c>
      <c r="CA29">
        <v>2.1185800000000001</v>
      </c>
      <c r="CB29">
        <v>2.1185800000000001</v>
      </c>
      <c r="CC29">
        <v>2.1205699999999998</v>
      </c>
      <c r="CD29">
        <v>2.1205699999999998</v>
      </c>
      <c r="CE29">
        <v>2.1206499999999999</v>
      </c>
      <c r="CF29">
        <v>2.12066</v>
      </c>
      <c r="CG29">
        <v>2.1206700000000001</v>
      </c>
      <c r="CH29">
        <v>2.1191200000000001</v>
      </c>
      <c r="CI29">
        <v>2.1156799999999998</v>
      </c>
      <c r="CJ29">
        <v>2.1125099999999999</v>
      </c>
      <c r="CK29">
        <v>2.1086399999999998</v>
      </c>
      <c r="CL29">
        <v>2.11252</v>
      </c>
      <c r="CM29">
        <v>2.11253</v>
      </c>
      <c r="CN29">
        <v>2.1086499999999999</v>
      </c>
      <c r="CO29">
        <v>2.1100400000000001</v>
      </c>
      <c r="CP29">
        <v>2.1100400000000001</v>
      </c>
      <c r="CQ29">
        <v>2.1075499999999998</v>
      </c>
      <c r="CS29">
        <v>2.1050499999999999</v>
      </c>
      <c r="CT29">
        <v>2.1050599999999999</v>
      </c>
      <c r="CU29">
        <v>2.1050599999999999</v>
      </c>
      <c r="CV29">
        <v>2.1050599999999999</v>
      </c>
      <c r="CW29">
        <v>2.10256</v>
      </c>
      <c r="CX29">
        <v>2.10256</v>
      </c>
      <c r="CY29">
        <v>2.10006</v>
      </c>
      <c r="CZ29">
        <v>2.10006</v>
      </c>
      <c r="DA29">
        <v>2.0950500000000001</v>
      </c>
      <c r="DB29">
        <v>2.0950500000000001</v>
      </c>
      <c r="DC29">
        <v>2.0190999999999999</v>
      </c>
    </row>
    <row r="30" spans="1:107" x14ac:dyDescent="0.25">
      <c r="A30">
        <f t="shared" si="0"/>
        <v>4</v>
      </c>
      <c r="B30" s="2">
        <v>42046</v>
      </c>
      <c r="C30">
        <v>0.4415</v>
      </c>
      <c r="D30">
        <v>0.52698</v>
      </c>
      <c r="E30">
        <v>0.52685999999999999</v>
      </c>
      <c r="F30">
        <v>0.54806999999999995</v>
      </c>
      <c r="G30">
        <v>0.54308000000000001</v>
      </c>
      <c r="H30">
        <v>0.56452999999999998</v>
      </c>
      <c r="I30">
        <v>0.46366000000000002</v>
      </c>
      <c r="J30">
        <v>0.42214000000000002</v>
      </c>
      <c r="K30">
        <v>0.44191000000000003</v>
      </c>
      <c r="L30">
        <v>0.47921000000000002</v>
      </c>
      <c r="M30">
        <v>0.47382000000000002</v>
      </c>
      <c r="N30">
        <v>0.43920999999999999</v>
      </c>
      <c r="O30">
        <v>0.56677999999999995</v>
      </c>
      <c r="P30">
        <v>0.56545000000000001</v>
      </c>
      <c r="Q30">
        <v>0.45537</v>
      </c>
      <c r="R30">
        <v>0.49164000000000002</v>
      </c>
      <c r="S30">
        <v>0.58850000000000002</v>
      </c>
      <c r="T30">
        <v>0.60407</v>
      </c>
      <c r="U30">
        <v>0.61034999999999995</v>
      </c>
      <c r="V30">
        <v>0.62531999999999999</v>
      </c>
      <c r="W30">
        <v>0.69428999999999996</v>
      </c>
      <c r="X30">
        <v>0.73726000000000003</v>
      </c>
      <c r="Y30">
        <v>0.86567000000000005</v>
      </c>
      <c r="Z30">
        <v>0.79918999999999996</v>
      </c>
      <c r="AA30">
        <v>0.86909000000000003</v>
      </c>
      <c r="AB30">
        <v>0.87256</v>
      </c>
      <c r="AC30">
        <v>0.92430999999999996</v>
      </c>
      <c r="AD30">
        <v>0.88251000000000002</v>
      </c>
      <c r="AE30">
        <v>0.83259000000000005</v>
      </c>
      <c r="AF30">
        <v>0.98111000000000004</v>
      </c>
      <c r="AG30">
        <v>1.0259100000000001</v>
      </c>
      <c r="AH30">
        <v>1.0708200000000001</v>
      </c>
      <c r="AI30">
        <v>1.08585</v>
      </c>
      <c r="AJ30">
        <v>1.0805499999999999</v>
      </c>
      <c r="AK30">
        <v>0.94167999999999996</v>
      </c>
      <c r="AL30">
        <v>1.1553100000000001</v>
      </c>
      <c r="AM30">
        <v>1.2575400000000001</v>
      </c>
      <c r="AN30">
        <v>1.07073</v>
      </c>
      <c r="AO30">
        <v>1.3056700000000001</v>
      </c>
      <c r="AP30">
        <v>1.3810100000000001</v>
      </c>
      <c r="AQ30">
        <v>1.21946</v>
      </c>
      <c r="AR30">
        <v>1.4343999999999999</v>
      </c>
      <c r="AS30">
        <v>1.48278</v>
      </c>
      <c r="AT30">
        <v>1.5158</v>
      </c>
      <c r="AU30">
        <v>1.51336</v>
      </c>
      <c r="AV30">
        <v>1.4652700000000001</v>
      </c>
      <c r="AW30">
        <v>1.9229499999999999</v>
      </c>
      <c r="AX30">
        <v>1.93838</v>
      </c>
      <c r="AY30">
        <v>1.9630399999999999</v>
      </c>
      <c r="AZ30">
        <v>1.9862200000000001</v>
      </c>
      <c r="BA30">
        <v>2.0018099999999999</v>
      </c>
      <c r="BB30">
        <v>2.0470199999999998</v>
      </c>
      <c r="BC30">
        <v>2.0704199999999999</v>
      </c>
      <c r="BD30">
        <v>2.0998899999999998</v>
      </c>
      <c r="BE30">
        <v>2.0000599999999999</v>
      </c>
      <c r="BF30">
        <v>2.1749999999999998</v>
      </c>
      <c r="BG30">
        <v>2.1700400000000002</v>
      </c>
      <c r="BH30">
        <v>2.1735099999999998</v>
      </c>
      <c r="BI30">
        <v>2.1660900000000001</v>
      </c>
      <c r="BJ30">
        <v>2.1661100000000002</v>
      </c>
      <c r="BK30">
        <v>2.16113</v>
      </c>
      <c r="BL30">
        <v>2.1561599999999999</v>
      </c>
      <c r="BM30">
        <v>2.1411899999999999</v>
      </c>
      <c r="BN30">
        <v>2.1362100000000002</v>
      </c>
      <c r="BO30">
        <v>2.1226699999999998</v>
      </c>
      <c r="BP30">
        <v>2.1477200000000001</v>
      </c>
      <c r="BQ30">
        <v>2.1477400000000002</v>
      </c>
      <c r="BR30">
        <v>2.1477599999999999</v>
      </c>
      <c r="BS30">
        <v>2.14777</v>
      </c>
      <c r="BT30">
        <v>2.1477900000000001</v>
      </c>
      <c r="BW30">
        <v>2.1428199999999999</v>
      </c>
      <c r="BX30">
        <v>2.1428400000000001</v>
      </c>
      <c r="BY30">
        <v>2.1378499999999998</v>
      </c>
      <c r="BZ30">
        <v>2.12873</v>
      </c>
      <c r="CA30">
        <v>2.1287500000000001</v>
      </c>
      <c r="CB30">
        <v>2.1287600000000002</v>
      </c>
      <c r="CC30">
        <v>2.1315300000000001</v>
      </c>
      <c r="CD30">
        <v>2.1315400000000002</v>
      </c>
      <c r="CE30">
        <v>2.13293</v>
      </c>
      <c r="CF30">
        <v>2.1329400000000001</v>
      </c>
      <c r="CG30">
        <v>2.1329600000000002</v>
      </c>
      <c r="CH30">
        <v>2.1335899999999999</v>
      </c>
      <c r="CI30">
        <v>2.12798</v>
      </c>
      <c r="CJ30">
        <v>2.12161</v>
      </c>
      <c r="CK30">
        <v>2.1188699999999998</v>
      </c>
      <c r="CL30">
        <v>2.1188799999999999</v>
      </c>
      <c r="CM30">
        <v>2.1188899999999999</v>
      </c>
      <c r="CN30">
        <v>2.1189</v>
      </c>
      <c r="CO30">
        <v>2.1189100000000001</v>
      </c>
      <c r="CP30">
        <v>2.1205599999999998</v>
      </c>
      <c r="CQ30">
        <v>2.1180699999999999</v>
      </c>
      <c r="CS30">
        <v>2.11558</v>
      </c>
      <c r="CT30">
        <v>2.1155900000000001</v>
      </c>
      <c r="CU30">
        <v>2.1156000000000001</v>
      </c>
      <c r="CV30">
        <v>2.1156100000000002</v>
      </c>
      <c r="CW30">
        <v>2.1131099999999998</v>
      </c>
      <c r="CX30">
        <v>2.1131199999999999</v>
      </c>
      <c r="CY30">
        <v>2.1106199999999999</v>
      </c>
      <c r="CZ30">
        <v>2.11063</v>
      </c>
      <c r="DA30">
        <v>2.10812</v>
      </c>
      <c r="DB30">
        <v>2.1081300000000001</v>
      </c>
      <c r="DC30">
        <v>2.0306700000000002</v>
      </c>
    </row>
    <row r="31" spans="1:107" x14ac:dyDescent="0.25">
      <c r="A31">
        <f t="shared" si="0"/>
        <v>5</v>
      </c>
      <c r="B31" s="2">
        <v>42047</v>
      </c>
      <c r="C31">
        <v>0.38789000000000001</v>
      </c>
      <c r="D31">
        <v>0.52351999999999999</v>
      </c>
      <c r="E31">
        <v>0.48283999999999999</v>
      </c>
      <c r="F31">
        <v>0.54798999999999998</v>
      </c>
      <c r="G31">
        <v>0.53239999999999998</v>
      </c>
      <c r="H31">
        <v>0.55400000000000005</v>
      </c>
      <c r="I31">
        <v>0.46251999999999999</v>
      </c>
      <c r="J31">
        <v>0.40638000000000002</v>
      </c>
      <c r="K31">
        <v>0.41733999999999999</v>
      </c>
      <c r="L31">
        <v>0.46203</v>
      </c>
      <c r="M31">
        <v>0.45798</v>
      </c>
      <c r="N31">
        <v>0.42599999999999999</v>
      </c>
      <c r="O31">
        <v>0.55291999999999997</v>
      </c>
      <c r="P31">
        <v>0.55395000000000005</v>
      </c>
      <c r="Q31">
        <v>0.45619999999999999</v>
      </c>
      <c r="R31">
        <v>0.48137999999999997</v>
      </c>
      <c r="S31">
        <v>0.58038000000000001</v>
      </c>
      <c r="T31">
        <v>0.60924</v>
      </c>
      <c r="U31">
        <v>0.57867000000000002</v>
      </c>
      <c r="V31">
        <v>0.59301000000000004</v>
      </c>
      <c r="W31">
        <v>0.65695000000000003</v>
      </c>
      <c r="X31">
        <v>0.70359000000000005</v>
      </c>
      <c r="Y31">
        <v>0.82455000000000001</v>
      </c>
      <c r="Z31">
        <v>0.75890000000000002</v>
      </c>
      <c r="AA31">
        <v>0.82721999999999996</v>
      </c>
      <c r="AB31">
        <v>0.82733999999999996</v>
      </c>
      <c r="AC31">
        <v>0.88370000000000004</v>
      </c>
      <c r="AD31">
        <v>0.84052000000000004</v>
      </c>
      <c r="AE31">
        <v>0.78210999999999997</v>
      </c>
      <c r="AF31">
        <v>0.93896999999999997</v>
      </c>
      <c r="AG31">
        <v>0.97699000000000003</v>
      </c>
      <c r="AH31">
        <v>1.02379</v>
      </c>
      <c r="AI31">
        <v>1.03759</v>
      </c>
      <c r="AJ31">
        <v>1.0414300000000001</v>
      </c>
      <c r="AK31">
        <v>0.89807999999999999</v>
      </c>
      <c r="AL31">
        <v>1.1107899999999999</v>
      </c>
      <c r="AM31">
        <v>1.21109</v>
      </c>
      <c r="AN31">
        <v>1.0225599999999999</v>
      </c>
      <c r="AO31">
        <v>1.2590399999999999</v>
      </c>
      <c r="AP31">
        <v>1.3349599999999999</v>
      </c>
      <c r="AQ31">
        <v>1.1666099999999999</v>
      </c>
      <c r="AR31">
        <v>1.3883399999999999</v>
      </c>
      <c r="AS31">
        <v>1.44296</v>
      </c>
      <c r="AT31">
        <v>1.4758599999999999</v>
      </c>
      <c r="AU31">
        <v>1.47072</v>
      </c>
      <c r="AV31">
        <v>1.42703</v>
      </c>
      <c r="AW31">
        <v>1.8839900000000001</v>
      </c>
      <c r="AX31">
        <v>1.8986700000000001</v>
      </c>
      <c r="AY31">
        <v>1.9248799999999999</v>
      </c>
      <c r="AZ31">
        <v>1.93858</v>
      </c>
      <c r="BA31">
        <v>1.9639200000000001</v>
      </c>
      <c r="BB31">
        <v>2.0194200000000002</v>
      </c>
      <c r="BC31">
        <v>2.0454699999999999</v>
      </c>
      <c r="BD31">
        <v>2.0802900000000002</v>
      </c>
      <c r="BE31">
        <v>1.9775100000000001</v>
      </c>
      <c r="BF31">
        <v>2.1567500000000002</v>
      </c>
      <c r="BG31">
        <v>2.1517900000000001</v>
      </c>
      <c r="BH31">
        <v>2.1518099999999998</v>
      </c>
      <c r="BI31">
        <v>2.1478299999999999</v>
      </c>
      <c r="BJ31">
        <v>2.1478600000000001</v>
      </c>
      <c r="BK31">
        <v>2.1288</v>
      </c>
      <c r="BL31">
        <v>2.1379000000000001</v>
      </c>
      <c r="BM31">
        <v>2.12384</v>
      </c>
      <c r="BN31">
        <v>2.1329400000000001</v>
      </c>
      <c r="BO31">
        <v>2.1055999999999999</v>
      </c>
      <c r="BP31">
        <v>2.1253799999999998</v>
      </c>
      <c r="BQ31">
        <v>2.1254</v>
      </c>
      <c r="BR31">
        <v>2.1295000000000002</v>
      </c>
      <c r="BS31">
        <v>2.1295199999999999</v>
      </c>
      <c r="BT31">
        <v>2.1295299999999999</v>
      </c>
      <c r="BW31">
        <v>2.1245699999999998</v>
      </c>
      <c r="BX31">
        <v>2.1210499999999999</v>
      </c>
      <c r="BY31">
        <v>2.11551</v>
      </c>
      <c r="BZ31">
        <v>2.11313</v>
      </c>
      <c r="CA31">
        <v>2.11314</v>
      </c>
      <c r="CB31">
        <v>2.1131500000000001</v>
      </c>
      <c r="CC31">
        <v>2.1144599999999998</v>
      </c>
      <c r="CD31">
        <v>2.1144699999999998</v>
      </c>
      <c r="CE31">
        <v>2.1155900000000001</v>
      </c>
      <c r="CF31">
        <v>2.1156000000000001</v>
      </c>
      <c r="CG31">
        <v>2.1156100000000002</v>
      </c>
      <c r="CH31">
        <v>2.11619</v>
      </c>
      <c r="CI31">
        <v>2.1106400000000001</v>
      </c>
      <c r="CJ31">
        <v>2.1045500000000001</v>
      </c>
      <c r="CK31">
        <v>2.1032600000000001</v>
      </c>
      <c r="CL31">
        <v>2.1032700000000002</v>
      </c>
      <c r="CM31">
        <v>2.1032799999999998</v>
      </c>
      <c r="CN31">
        <v>2.1032899999999999</v>
      </c>
      <c r="CO31">
        <v>2.10229</v>
      </c>
      <c r="CP31">
        <v>2.1023000000000001</v>
      </c>
      <c r="CQ31">
        <v>2.09572</v>
      </c>
      <c r="CS31">
        <v>2.0973199999999999</v>
      </c>
      <c r="CT31">
        <v>2.0973299999999999</v>
      </c>
      <c r="CU31">
        <v>2.09734</v>
      </c>
      <c r="CV31">
        <v>2.09735</v>
      </c>
      <c r="CW31">
        <v>2.0948500000000001</v>
      </c>
      <c r="CX31">
        <v>2.0948600000000002</v>
      </c>
      <c r="CY31">
        <v>2.0923500000000002</v>
      </c>
      <c r="CZ31">
        <v>2.0923600000000002</v>
      </c>
      <c r="DA31">
        <v>2.0898500000000002</v>
      </c>
      <c r="DB31">
        <v>2.0898599999999998</v>
      </c>
      <c r="DC31">
        <v>2.0119199999999999</v>
      </c>
    </row>
    <row r="32" spans="1:107" x14ac:dyDescent="0.25">
      <c r="A32">
        <f t="shared" si="0"/>
        <v>6</v>
      </c>
      <c r="B32" s="2">
        <v>42048</v>
      </c>
      <c r="C32">
        <v>0.37164000000000003</v>
      </c>
      <c r="D32">
        <v>0.50248000000000004</v>
      </c>
      <c r="E32">
        <v>0.49889</v>
      </c>
      <c r="F32">
        <v>0.54790000000000005</v>
      </c>
      <c r="G32">
        <v>0.54393999999999998</v>
      </c>
      <c r="H32">
        <v>0.54596999999999996</v>
      </c>
      <c r="I32">
        <v>0.46579999999999999</v>
      </c>
      <c r="J32">
        <v>0.40931000000000001</v>
      </c>
      <c r="K32">
        <v>0.44932</v>
      </c>
      <c r="L32">
        <v>0.47088000000000002</v>
      </c>
      <c r="M32">
        <v>0.46094000000000002</v>
      </c>
      <c r="N32">
        <v>0.43126999999999999</v>
      </c>
      <c r="O32">
        <v>0.56057000000000001</v>
      </c>
      <c r="P32">
        <v>0.53344000000000003</v>
      </c>
      <c r="Q32">
        <v>0.46444999999999997</v>
      </c>
      <c r="R32">
        <v>0.49012</v>
      </c>
      <c r="S32">
        <v>0.58980999999999995</v>
      </c>
      <c r="T32">
        <v>0.60187000000000002</v>
      </c>
      <c r="U32">
        <v>0.59497999999999995</v>
      </c>
      <c r="V32">
        <v>0.60651999999999995</v>
      </c>
      <c r="W32">
        <v>0.67249000000000003</v>
      </c>
      <c r="X32">
        <v>0.70847000000000004</v>
      </c>
      <c r="Y32">
        <v>0.8478</v>
      </c>
      <c r="Z32">
        <v>0.78293000000000001</v>
      </c>
      <c r="AA32">
        <v>0.85326000000000002</v>
      </c>
      <c r="AB32">
        <v>0.85328999999999999</v>
      </c>
      <c r="AC32">
        <v>0.90756999999999999</v>
      </c>
      <c r="AD32">
        <v>0.88466999999999996</v>
      </c>
      <c r="AE32">
        <v>0.81594999999999995</v>
      </c>
      <c r="AF32">
        <v>0.96528999999999998</v>
      </c>
      <c r="AG32">
        <v>1.00654</v>
      </c>
      <c r="AH32">
        <v>1.05121</v>
      </c>
      <c r="AI32">
        <v>1.0643199999999999</v>
      </c>
      <c r="AJ32">
        <v>1.06199</v>
      </c>
      <c r="AK32">
        <v>0.92561000000000004</v>
      </c>
      <c r="AL32">
        <v>1.1351599999999999</v>
      </c>
      <c r="AM32">
        <v>1.2269000000000001</v>
      </c>
      <c r="AN32">
        <v>1.0551999999999999</v>
      </c>
      <c r="AO32">
        <v>1.2870299999999999</v>
      </c>
      <c r="AP32">
        <v>1.3640000000000001</v>
      </c>
      <c r="AQ32">
        <v>1.2067099999999999</v>
      </c>
      <c r="AR32">
        <v>1.4157200000000001</v>
      </c>
      <c r="AS32">
        <v>1.47742</v>
      </c>
      <c r="AT32">
        <v>1.5069600000000001</v>
      </c>
      <c r="AU32">
        <v>1.4903500000000001</v>
      </c>
      <c r="AV32">
        <v>1.4612700000000001</v>
      </c>
      <c r="AW32">
        <v>1.9125000000000001</v>
      </c>
      <c r="AX32">
        <v>1.92422</v>
      </c>
      <c r="AY32">
        <v>1.96088</v>
      </c>
      <c r="AZ32">
        <v>1.9662200000000001</v>
      </c>
      <c r="BA32">
        <v>1.9965299999999999</v>
      </c>
      <c r="BB32">
        <v>2.0582500000000001</v>
      </c>
      <c r="BC32">
        <v>2.0864400000000001</v>
      </c>
      <c r="BD32">
        <v>2.10501</v>
      </c>
      <c r="BE32">
        <v>2.02589</v>
      </c>
      <c r="BF32">
        <v>2.19068</v>
      </c>
      <c r="BG32">
        <v>2.1857099999999998</v>
      </c>
      <c r="BH32">
        <v>2.18574</v>
      </c>
      <c r="BI32">
        <v>2.1817600000000001</v>
      </c>
      <c r="BJ32">
        <v>2.1817899999999999</v>
      </c>
      <c r="BK32">
        <v>2.1768000000000001</v>
      </c>
      <c r="BL32">
        <v>2.1718299999999999</v>
      </c>
      <c r="BM32">
        <v>2.1559400000000002</v>
      </c>
      <c r="BN32">
        <v>2.15096</v>
      </c>
      <c r="BO32">
        <v>2.1425299999999998</v>
      </c>
      <c r="BP32">
        <v>2.1634000000000002</v>
      </c>
      <c r="BQ32">
        <v>2.1634099999999998</v>
      </c>
      <c r="BR32">
        <v>2.16343</v>
      </c>
      <c r="BS32">
        <v>2.1634500000000001</v>
      </c>
      <c r="BT32">
        <v>2.1634699999999998</v>
      </c>
      <c r="BW32">
        <v>2.1585000000000001</v>
      </c>
      <c r="BX32">
        <v>2.1585100000000002</v>
      </c>
      <c r="BY32">
        <v>2.1535299999999999</v>
      </c>
      <c r="BZ32">
        <v>2.14418</v>
      </c>
      <c r="CA32">
        <v>2.14419</v>
      </c>
      <c r="CB32">
        <v>2.1442000000000001</v>
      </c>
      <c r="CC32">
        <v>2.1442199999999998</v>
      </c>
      <c r="CD32">
        <v>2.1442299999999999</v>
      </c>
      <c r="CE32">
        <v>2.1476899999999999</v>
      </c>
      <c r="CF32">
        <v>2.1476999999999999</v>
      </c>
      <c r="CG32">
        <v>2.14771</v>
      </c>
      <c r="CH32">
        <v>2.14988</v>
      </c>
      <c r="CI32">
        <v>2.1427399999999999</v>
      </c>
      <c r="CJ32">
        <v>2.1369099999999999</v>
      </c>
      <c r="CK32">
        <v>2.1343100000000002</v>
      </c>
      <c r="CL32">
        <v>2.13869</v>
      </c>
      <c r="CM32">
        <v>2.1387</v>
      </c>
      <c r="CN32">
        <v>2.1343399999999999</v>
      </c>
      <c r="CO32">
        <v>2.13435</v>
      </c>
      <c r="CP32">
        <v>2.1362299999999999</v>
      </c>
      <c r="CQ32">
        <v>2.13374</v>
      </c>
      <c r="CS32">
        <v>2.1312600000000002</v>
      </c>
      <c r="CT32">
        <v>2.1312700000000002</v>
      </c>
      <c r="CU32">
        <v>2.1312799999999998</v>
      </c>
      <c r="CV32">
        <v>2.1312899999999999</v>
      </c>
      <c r="CW32">
        <v>2.12879</v>
      </c>
      <c r="CX32">
        <v>2.1288</v>
      </c>
      <c r="CY32">
        <v>2.12629</v>
      </c>
      <c r="CZ32">
        <v>2.1263000000000001</v>
      </c>
      <c r="DA32">
        <v>2.1238000000000001</v>
      </c>
      <c r="DB32">
        <v>2.1238000000000001</v>
      </c>
      <c r="DC32">
        <v>2.05274</v>
      </c>
    </row>
    <row r="33" spans="1:107" x14ac:dyDescent="0.25">
      <c r="A33">
        <f t="shared" si="0"/>
        <v>3</v>
      </c>
      <c r="B33" s="2">
        <v>42052</v>
      </c>
      <c r="C33">
        <v>0.45693</v>
      </c>
      <c r="D33">
        <v>0.56560999999999995</v>
      </c>
      <c r="E33">
        <v>0.51920999999999995</v>
      </c>
      <c r="F33">
        <v>0.55628</v>
      </c>
      <c r="G33">
        <v>0.56376000000000004</v>
      </c>
      <c r="H33">
        <v>0.55528</v>
      </c>
      <c r="I33">
        <v>0.47917999999999999</v>
      </c>
      <c r="J33">
        <v>0.43345</v>
      </c>
      <c r="K33">
        <v>0.46662999999999999</v>
      </c>
      <c r="L33">
        <v>0.49680999999999997</v>
      </c>
      <c r="M33">
        <v>0.48433999999999999</v>
      </c>
      <c r="N33">
        <v>0.45904</v>
      </c>
      <c r="O33">
        <v>0.58406000000000002</v>
      </c>
      <c r="P33">
        <v>0.56361000000000006</v>
      </c>
      <c r="Q33">
        <v>0.51802000000000004</v>
      </c>
      <c r="R33">
        <v>0.51812999999999998</v>
      </c>
      <c r="S33">
        <v>0.59574000000000005</v>
      </c>
      <c r="T33">
        <v>0.61648999999999998</v>
      </c>
      <c r="U33">
        <v>0.65369999999999995</v>
      </c>
      <c r="V33">
        <v>0.64675000000000005</v>
      </c>
      <c r="W33">
        <v>0.72552000000000005</v>
      </c>
      <c r="X33">
        <v>0.76393999999999995</v>
      </c>
      <c r="Y33">
        <v>0.90849999999999997</v>
      </c>
      <c r="Z33">
        <v>0.84806999999999999</v>
      </c>
      <c r="AA33">
        <v>0.91976000000000002</v>
      </c>
      <c r="AB33">
        <v>0.91422000000000003</v>
      </c>
      <c r="AC33">
        <v>0.98778999999999995</v>
      </c>
      <c r="AD33">
        <v>0.95816000000000001</v>
      </c>
      <c r="AE33">
        <v>0.89283999999999997</v>
      </c>
      <c r="AF33">
        <v>1.0364500000000001</v>
      </c>
      <c r="AG33">
        <v>1.0764800000000001</v>
      </c>
      <c r="AH33">
        <v>1.12453</v>
      </c>
      <c r="AI33">
        <v>1.1458699999999999</v>
      </c>
      <c r="AJ33">
        <v>1.13846</v>
      </c>
      <c r="AK33">
        <v>1.0084</v>
      </c>
      <c r="AL33">
        <v>1.20922</v>
      </c>
      <c r="AM33">
        <v>1.3024</v>
      </c>
      <c r="AN33">
        <v>1.13097</v>
      </c>
      <c r="AO33">
        <v>1.3605</v>
      </c>
      <c r="AP33">
        <v>1.4466000000000001</v>
      </c>
      <c r="AQ33">
        <v>1.2837099999999999</v>
      </c>
      <c r="AR33">
        <v>1.4983</v>
      </c>
      <c r="AS33">
        <v>1.55158</v>
      </c>
      <c r="AT33">
        <v>1.5866400000000001</v>
      </c>
      <c r="AU33">
        <v>1.5898300000000001</v>
      </c>
      <c r="AV33">
        <v>1.5280100000000001</v>
      </c>
      <c r="AW33">
        <v>1.98922</v>
      </c>
      <c r="AX33">
        <v>2.00651</v>
      </c>
      <c r="AY33">
        <v>2.0332599999999998</v>
      </c>
      <c r="AZ33">
        <v>2.0459100000000001</v>
      </c>
      <c r="BA33">
        <v>2.06718</v>
      </c>
      <c r="BB33">
        <v>2.1244000000000001</v>
      </c>
      <c r="BC33">
        <v>2.1442800000000002</v>
      </c>
      <c r="BD33">
        <v>2.1670699999999998</v>
      </c>
      <c r="BE33">
        <v>2.0714100000000002</v>
      </c>
      <c r="BF33">
        <v>2.2500399999999998</v>
      </c>
      <c r="BG33">
        <v>2.2450600000000001</v>
      </c>
      <c r="BH33">
        <v>2.2450700000000001</v>
      </c>
      <c r="BI33">
        <v>2.2410899999999998</v>
      </c>
      <c r="BJ33">
        <v>2.2410999999999999</v>
      </c>
      <c r="BK33">
        <v>2.2361</v>
      </c>
      <c r="BL33">
        <v>2.2311200000000002</v>
      </c>
      <c r="BM33">
        <v>2.2161400000000002</v>
      </c>
      <c r="BN33">
        <v>2.2111499999999999</v>
      </c>
      <c r="BO33">
        <v>2.19774</v>
      </c>
      <c r="BP33">
        <v>2.2226499999999998</v>
      </c>
      <c r="BQ33">
        <v>2.2226599999999999</v>
      </c>
      <c r="BR33">
        <v>2.2226699999999999</v>
      </c>
      <c r="BS33">
        <v>2.22268</v>
      </c>
      <c r="BT33">
        <v>2.2226900000000001</v>
      </c>
      <c r="BW33">
        <v>2.2176999999999998</v>
      </c>
      <c r="BX33">
        <v>2.2177099999999998</v>
      </c>
      <c r="BY33">
        <v>2.21272</v>
      </c>
      <c r="BZ33">
        <v>2.2029800000000002</v>
      </c>
      <c r="CA33">
        <v>2.2029899999999998</v>
      </c>
      <c r="CB33">
        <v>2.2029899999999998</v>
      </c>
      <c r="CC33">
        <v>2.2029999999999998</v>
      </c>
      <c r="CD33">
        <v>2.2030099999999999</v>
      </c>
      <c r="CE33">
        <v>2.2077599999999999</v>
      </c>
      <c r="CF33">
        <v>2.20777</v>
      </c>
      <c r="CG33">
        <v>2.20777</v>
      </c>
      <c r="CH33">
        <v>2.2098200000000001</v>
      </c>
      <c r="CI33">
        <v>2.2027899999999998</v>
      </c>
      <c r="CJ33">
        <v>2.1962100000000002</v>
      </c>
      <c r="CK33">
        <v>2.1930499999999999</v>
      </c>
      <c r="CL33">
        <v>2.1930499999999999</v>
      </c>
      <c r="CM33">
        <v>2.2110099999999999</v>
      </c>
      <c r="CN33">
        <v>2.19306</v>
      </c>
      <c r="CO33">
        <v>2.1930700000000001</v>
      </c>
      <c r="CP33">
        <v>2.1953299999999998</v>
      </c>
      <c r="CQ33">
        <v>2.1928299999999998</v>
      </c>
      <c r="CS33">
        <v>2.19034</v>
      </c>
      <c r="CT33">
        <v>2.19035</v>
      </c>
      <c r="CU33">
        <v>2.19035</v>
      </c>
      <c r="CV33">
        <v>2.19035</v>
      </c>
      <c r="CW33">
        <v>2.1878500000000001</v>
      </c>
      <c r="CX33">
        <v>2.1878600000000001</v>
      </c>
      <c r="CY33">
        <v>2.1853500000000001</v>
      </c>
      <c r="CZ33">
        <v>2.1853600000000002</v>
      </c>
      <c r="DA33">
        <v>2.1828500000000002</v>
      </c>
      <c r="DB33">
        <v>2.1828500000000002</v>
      </c>
      <c r="DC33">
        <v>2.1125799999999999</v>
      </c>
    </row>
    <row r="34" spans="1:107" x14ac:dyDescent="0.25">
      <c r="A34">
        <f t="shared" si="0"/>
        <v>4</v>
      </c>
      <c r="B34" s="2">
        <v>42053</v>
      </c>
      <c r="C34">
        <v>0.38667000000000001</v>
      </c>
      <c r="D34">
        <v>0.52148000000000005</v>
      </c>
      <c r="E34">
        <v>0.51463999999999999</v>
      </c>
      <c r="F34">
        <v>0.55135999999999996</v>
      </c>
      <c r="G34">
        <v>0.55883000000000005</v>
      </c>
      <c r="H34">
        <v>0.54818999999999996</v>
      </c>
      <c r="I34">
        <v>0.45881</v>
      </c>
      <c r="J34">
        <v>0.41331000000000001</v>
      </c>
      <c r="K34">
        <v>0.45029999999999998</v>
      </c>
      <c r="L34">
        <v>0.46937000000000001</v>
      </c>
      <c r="M34">
        <v>0.46472000000000002</v>
      </c>
      <c r="N34">
        <v>0.43324000000000001</v>
      </c>
      <c r="O34">
        <v>0.56415000000000004</v>
      </c>
      <c r="P34">
        <v>0.52470000000000006</v>
      </c>
      <c r="Q34">
        <v>0.46650000000000003</v>
      </c>
      <c r="R34">
        <v>0.48608000000000001</v>
      </c>
      <c r="S34">
        <v>0.56410000000000005</v>
      </c>
      <c r="T34">
        <v>0.58484999999999998</v>
      </c>
      <c r="U34">
        <v>0.61638999999999999</v>
      </c>
      <c r="V34">
        <v>0.60818000000000005</v>
      </c>
      <c r="W34">
        <v>0.68494999999999995</v>
      </c>
      <c r="X34">
        <v>0.72509000000000001</v>
      </c>
      <c r="Y34">
        <v>0.87741000000000002</v>
      </c>
      <c r="Z34">
        <v>0.81996000000000002</v>
      </c>
      <c r="AA34">
        <v>0.89115999999999995</v>
      </c>
      <c r="AB34">
        <v>0.88604000000000005</v>
      </c>
      <c r="AC34">
        <v>0.94903999999999999</v>
      </c>
      <c r="AD34">
        <v>0.91552</v>
      </c>
      <c r="AE34">
        <v>0.85648999999999997</v>
      </c>
      <c r="AF34">
        <v>1.0054000000000001</v>
      </c>
      <c r="AG34">
        <v>1.04505</v>
      </c>
      <c r="AH34">
        <v>1.10734</v>
      </c>
      <c r="AI34">
        <v>1.1095299999999999</v>
      </c>
      <c r="AJ34">
        <v>1.1042000000000001</v>
      </c>
      <c r="AK34">
        <v>0.96603000000000006</v>
      </c>
      <c r="AL34">
        <v>1.1767399999999999</v>
      </c>
      <c r="AM34">
        <v>1.2670699999999999</v>
      </c>
      <c r="AN34">
        <v>1.0976900000000001</v>
      </c>
      <c r="AO34">
        <v>1.3227899999999999</v>
      </c>
      <c r="AP34">
        <v>1.40669</v>
      </c>
      <c r="AQ34">
        <v>1.2441199999999999</v>
      </c>
      <c r="AR34">
        <v>1.45841</v>
      </c>
      <c r="AS34">
        <v>1.5135099999999999</v>
      </c>
      <c r="AT34">
        <v>1.54501</v>
      </c>
      <c r="AU34">
        <v>1.5522800000000001</v>
      </c>
      <c r="AV34">
        <v>1.49074</v>
      </c>
      <c r="AW34">
        <v>1.9511000000000001</v>
      </c>
      <c r="AX34">
        <v>1.96713</v>
      </c>
      <c r="AY34">
        <v>1.9951700000000001</v>
      </c>
      <c r="AZ34">
        <v>2.0149699999999999</v>
      </c>
      <c r="BA34">
        <v>2.0300199999999999</v>
      </c>
      <c r="BB34">
        <v>2.0909800000000001</v>
      </c>
      <c r="BC34">
        <v>2.1141899999999998</v>
      </c>
      <c r="BD34">
        <v>2.14554</v>
      </c>
      <c r="BE34">
        <v>2.0493800000000002</v>
      </c>
      <c r="BF34">
        <v>2.2332100000000001</v>
      </c>
      <c r="BG34">
        <v>2.22824</v>
      </c>
      <c r="BH34">
        <v>2.2304400000000002</v>
      </c>
      <c r="BI34">
        <v>2.2242999999999999</v>
      </c>
      <c r="BJ34">
        <v>2.2243200000000001</v>
      </c>
      <c r="BK34">
        <v>2.2193399999999999</v>
      </c>
      <c r="BL34">
        <v>2.2143600000000001</v>
      </c>
      <c r="BM34">
        <v>2.2093799999999999</v>
      </c>
      <c r="BN34">
        <v>2.1943999999999999</v>
      </c>
      <c r="BO34">
        <v>2.1801300000000001</v>
      </c>
      <c r="BP34">
        <v>2.2009099999999999</v>
      </c>
      <c r="BQ34">
        <v>2.2009300000000001</v>
      </c>
      <c r="BR34">
        <v>2.2009400000000001</v>
      </c>
      <c r="BS34">
        <v>2.2009599999999998</v>
      </c>
      <c r="BT34">
        <v>2.2009699999999999</v>
      </c>
      <c r="BW34">
        <v>2.1960000000000002</v>
      </c>
      <c r="BX34">
        <v>2.1960099999999998</v>
      </c>
      <c r="BY34">
        <v>2.19103</v>
      </c>
      <c r="BZ34">
        <v>2.1819299999999999</v>
      </c>
      <c r="CA34">
        <v>2.18194</v>
      </c>
      <c r="CB34">
        <v>2.1819500000000001</v>
      </c>
      <c r="CC34">
        <v>2.1846999999999999</v>
      </c>
      <c r="CD34">
        <v>2.1847099999999999</v>
      </c>
      <c r="CE34">
        <v>2.1860900000000001</v>
      </c>
      <c r="CF34">
        <v>2.1861000000000002</v>
      </c>
      <c r="CG34">
        <v>2.1861100000000002</v>
      </c>
      <c r="CH34">
        <v>2.1871299999999998</v>
      </c>
      <c r="CI34">
        <v>2.1811400000000001</v>
      </c>
      <c r="CJ34">
        <v>2.1747700000000001</v>
      </c>
      <c r="CK34">
        <v>2.17204</v>
      </c>
      <c r="CL34">
        <v>2.17205</v>
      </c>
      <c r="CM34">
        <v>2.1720600000000001</v>
      </c>
      <c r="CN34">
        <v>2.1720700000000002</v>
      </c>
      <c r="CO34">
        <v>2.1720799999999998</v>
      </c>
      <c r="CP34">
        <v>2.1737000000000002</v>
      </c>
      <c r="CQ34">
        <v>2.1712099999999999</v>
      </c>
      <c r="CS34">
        <v>2.16872</v>
      </c>
      <c r="CT34">
        <v>2.16873</v>
      </c>
      <c r="CU34">
        <v>2.16873</v>
      </c>
      <c r="CV34">
        <v>2.1687400000000001</v>
      </c>
      <c r="CW34">
        <v>2.1662400000000002</v>
      </c>
      <c r="CX34">
        <v>2.1662499999999998</v>
      </c>
      <c r="CY34">
        <v>2.1637499999999998</v>
      </c>
      <c r="CZ34">
        <v>2.1637599999999999</v>
      </c>
      <c r="DA34">
        <v>2.1612499999999999</v>
      </c>
      <c r="DB34">
        <v>2.16126</v>
      </c>
      <c r="DC34">
        <v>2.07863</v>
      </c>
    </row>
    <row r="35" spans="1:107" x14ac:dyDescent="0.25">
      <c r="A35">
        <f t="shared" si="0"/>
        <v>5</v>
      </c>
      <c r="B35" s="2">
        <v>42054</v>
      </c>
      <c r="C35">
        <v>0.31884000000000001</v>
      </c>
      <c r="D35">
        <v>0.52295999999999998</v>
      </c>
      <c r="E35">
        <v>0.49647000000000002</v>
      </c>
      <c r="F35">
        <v>0.55127999999999999</v>
      </c>
      <c r="G35">
        <v>0.54874999999999996</v>
      </c>
      <c r="H35">
        <v>0.53391</v>
      </c>
      <c r="I35">
        <v>0.46343000000000001</v>
      </c>
      <c r="J35">
        <v>0.44585000000000002</v>
      </c>
      <c r="K35">
        <v>0.45317000000000002</v>
      </c>
      <c r="L35">
        <v>0.48014000000000001</v>
      </c>
      <c r="M35">
        <v>0.49741000000000002</v>
      </c>
      <c r="N35">
        <v>0.43081999999999998</v>
      </c>
      <c r="O35">
        <v>0.55337000000000003</v>
      </c>
      <c r="P35">
        <v>0.54661000000000004</v>
      </c>
      <c r="Q35">
        <v>0.47110000000000002</v>
      </c>
      <c r="R35">
        <v>0.48997000000000002</v>
      </c>
      <c r="S35">
        <v>0.56094999999999995</v>
      </c>
      <c r="T35">
        <v>0.59462999999999999</v>
      </c>
      <c r="U35">
        <v>0.59199000000000002</v>
      </c>
      <c r="V35">
        <v>0.58157000000000003</v>
      </c>
      <c r="W35">
        <v>0.65237000000000001</v>
      </c>
      <c r="X35">
        <v>0.70186000000000004</v>
      </c>
      <c r="Y35">
        <v>0.85379000000000005</v>
      </c>
      <c r="Z35">
        <v>0.80101999999999995</v>
      </c>
      <c r="AA35">
        <v>0.87056999999999995</v>
      </c>
      <c r="AB35">
        <v>0.86504000000000003</v>
      </c>
      <c r="AC35">
        <v>0.93342999999999998</v>
      </c>
      <c r="AD35">
        <v>0.91669</v>
      </c>
      <c r="AE35">
        <v>0.84028000000000003</v>
      </c>
      <c r="AF35">
        <v>0.98955000000000004</v>
      </c>
      <c r="AG35">
        <v>1.0303</v>
      </c>
      <c r="AH35">
        <v>1.07843</v>
      </c>
      <c r="AI35">
        <v>1.0925400000000001</v>
      </c>
      <c r="AJ35">
        <v>1.09053</v>
      </c>
      <c r="AK35">
        <v>0.94916</v>
      </c>
      <c r="AL35">
        <v>1.16307</v>
      </c>
      <c r="AM35">
        <v>1.2536</v>
      </c>
      <c r="AN35">
        <v>1.08121</v>
      </c>
      <c r="AO35">
        <v>1.3070200000000001</v>
      </c>
      <c r="AP35">
        <v>1.38811</v>
      </c>
      <c r="AQ35">
        <v>1.2215199999999999</v>
      </c>
      <c r="AR35">
        <v>1.4451799999999999</v>
      </c>
      <c r="AS35">
        <v>1.5011000000000001</v>
      </c>
      <c r="AT35">
        <v>1.534</v>
      </c>
      <c r="AU35">
        <v>1.5345599999999999</v>
      </c>
      <c r="AV35">
        <v>1.4781599999999999</v>
      </c>
      <c r="AW35">
        <v>1.93483</v>
      </c>
      <c r="AX35">
        <v>1.9501299999999999</v>
      </c>
      <c r="AY35">
        <v>1.9789099999999999</v>
      </c>
      <c r="AZ35">
        <v>1.99349</v>
      </c>
      <c r="BA35">
        <v>2.01458</v>
      </c>
      <c r="BB35">
        <v>2.08006</v>
      </c>
      <c r="BC35">
        <v>2.10439</v>
      </c>
      <c r="BD35">
        <v>2.1315</v>
      </c>
      <c r="BE35">
        <v>2.04284</v>
      </c>
      <c r="BF35">
        <v>2.21577</v>
      </c>
      <c r="BG35">
        <v>2.2107999999999999</v>
      </c>
      <c r="BH35">
        <v>2.21489</v>
      </c>
      <c r="BI35">
        <v>2.2068500000000002</v>
      </c>
      <c r="BJ35">
        <v>2.2068699999999999</v>
      </c>
      <c r="BK35">
        <v>2.2018800000000001</v>
      </c>
      <c r="BL35">
        <v>2.1969099999999999</v>
      </c>
      <c r="BM35">
        <v>2.1919200000000001</v>
      </c>
      <c r="BN35">
        <v>2.1760299999999999</v>
      </c>
      <c r="BO35">
        <v>2.1641300000000001</v>
      </c>
      <c r="BP35">
        <v>2.1839599999999999</v>
      </c>
      <c r="BQ35">
        <v>2.18398</v>
      </c>
      <c r="BR35">
        <v>2.1839900000000001</v>
      </c>
      <c r="BS35">
        <v>2.1840099999999998</v>
      </c>
      <c r="BT35">
        <v>2.1840199999999999</v>
      </c>
      <c r="BW35">
        <v>2.1790500000000002</v>
      </c>
      <c r="BX35">
        <v>2.1790600000000002</v>
      </c>
      <c r="BY35">
        <v>2.1740699999999999</v>
      </c>
      <c r="BZ35">
        <v>2.1661000000000001</v>
      </c>
      <c r="CA35">
        <v>2.1661100000000002</v>
      </c>
      <c r="CB35">
        <v>2.1661199999999998</v>
      </c>
      <c r="CC35">
        <v>2.1661299999999999</v>
      </c>
      <c r="CD35">
        <v>2.16614</v>
      </c>
      <c r="CE35">
        <v>2.1682199999999998</v>
      </c>
      <c r="CF35">
        <v>2.1682299999999999</v>
      </c>
      <c r="CG35">
        <v>2.1682399999999999</v>
      </c>
      <c r="CH35">
        <v>2.16825</v>
      </c>
      <c r="CI35">
        <v>2.1612100000000001</v>
      </c>
      <c r="CJ35">
        <v>2.1578900000000001</v>
      </c>
      <c r="CK35">
        <v>2.1562100000000002</v>
      </c>
      <c r="CL35">
        <v>2.1562199999999998</v>
      </c>
      <c r="CM35">
        <v>2.1562299999999999</v>
      </c>
      <c r="CN35">
        <v>2.1562399999999999</v>
      </c>
      <c r="CO35">
        <v>2.1567400000000001</v>
      </c>
      <c r="CP35">
        <v>2.1567500000000002</v>
      </c>
      <c r="CQ35">
        <v>2.1542500000000002</v>
      </c>
      <c r="CS35">
        <v>2.1517599999999999</v>
      </c>
      <c r="CT35">
        <v>2.15177</v>
      </c>
      <c r="CU35">
        <v>2.15178</v>
      </c>
      <c r="CV35">
        <v>2.1517900000000001</v>
      </c>
      <c r="CW35">
        <v>2.1492900000000001</v>
      </c>
      <c r="CX35">
        <v>2.1492900000000001</v>
      </c>
      <c r="CY35">
        <v>2.1467900000000002</v>
      </c>
      <c r="CZ35">
        <v>2.1467900000000002</v>
      </c>
      <c r="DA35">
        <v>2.14181</v>
      </c>
      <c r="DB35">
        <v>2.1418200000000001</v>
      </c>
      <c r="DC35">
        <v>2.06175</v>
      </c>
    </row>
    <row r="36" spans="1:107" x14ac:dyDescent="0.25">
      <c r="A36">
        <f t="shared" si="0"/>
        <v>6</v>
      </c>
      <c r="B36" s="2">
        <v>42055</v>
      </c>
      <c r="C36">
        <v>0.26861000000000002</v>
      </c>
      <c r="D36">
        <v>0.47299000000000002</v>
      </c>
      <c r="E36">
        <v>0.47260000000000002</v>
      </c>
      <c r="F36">
        <v>0.48107</v>
      </c>
      <c r="G36">
        <v>0.51639000000000002</v>
      </c>
      <c r="H36">
        <v>0.51385999999999998</v>
      </c>
      <c r="I36">
        <v>0.42518</v>
      </c>
      <c r="J36">
        <v>0.43991000000000002</v>
      </c>
      <c r="K36">
        <v>0.42936999999999997</v>
      </c>
      <c r="L36">
        <v>0.44535000000000002</v>
      </c>
      <c r="M36">
        <v>0.49146000000000001</v>
      </c>
      <c r="N36">
        <v>0.41670000000000001</v>
      </c>
      <c r="O36">
        <v>0.54479</v>
      </c>
      <c r="P36">
        <v>0.52544000000000002</v>
      </c>
      <c r="Q36">
        <v>0.44489000000000001</v>
      </c>
      <c r="R36">
        <v>0.47600999999999999</v>
      </c>
      <c r="S36">
        <v>0.51912999999999998</v>
      </c>
      <c r="T36">
        <v>0.57240000000000002</v>
      </c>
      <c r="U36">
        <v>0.5806</v>
      </c>
      <c r="V36">
        <v>0.55127999999999999</v>
      </c>
      <c r="W36">
        <v>0.62078999999999995</v>
      </c>
      <c r="X36">
        <v>0.66186999999999996</v>
      </c>
      <c r="Y36">
        <v>0.81877999999999995</v>
      </c>
      <c r="Z36">
        <v>0.76563000000000003</v>
      </c>
      <c r="AA36">
        <v>0.83404</v>
      </c>
      <c r="AB36">
        <v>0.83421999999999996</v>
      </c>
      <c r="AC36">
        <v>0.90168000000000004</v>
      </c>
      <c r="AD36">
        <v>0.88802000000000003</v>
      </c>
      <c r="AE36">
        <v>0.81108000000000002</v>
      </c>
      <c r="AF36">
        <v>0.96038000000000001</v>
      </c>
      <c r="AG36">
        <v>1.00159</v>
      </c>
      <c r="AH36">
        <v>1.0514399999999999</v>
      </c>
      <c r="AI36">
        <v>1.0650599999999999</v>
      </c>
      <c r="AJ36">
        <v>1.05511</v>
      </c>
      <c r="AK36">
        <v>0.92386999999999997</v>
      </c>
      <c r="AL36">
        <v>1.1369400000000001</v>
      </c>
      <c r="AM36">
        <v>1.2258599999999999</v>
      </c>
      <c r="AN36">
        <v>1.0435399999999999</v>
      </c>
      <c r="AO36">
        <v>1.2720100000000001</v>
      </c>
      <c r="AP36">
        <v>1.3640699999999999</v>
      </c>
      <c r="AQ36">
        <v>1.19604</v>
      </c>
      <c r="AR36">
        <v>1.42058</v>
      </c>
      <c r="AS36">
        <v>1.4810000000000001</v>
      </c>
      <c r="AT36">
        <v>1.5169999999999999</v>
      </c>
      <c r="AU36">
        <v>1.51352</v>
      </c>
      <c r="AV36">
        <v>1.45363</v>
      </c>
      <c r="AW36">
        <v>1.9215599999999999</v>
      </c>
      <c r="AX36">
        <v>1.9360999999999999</v>
      </c>
      <c r="AY36">
        <v>1.96563</v>
      </c>
      <c r="AZ36">
        <v>1.9799899999999999</v>
      </c>
      <c r="BA36">
        <v>2.0064299999999999</v>
      </c>
      <c r="BB36">
        <v>2.0635500000000002</v>
      </c>
      <c r="BC36">
        <v>2.0891899999999999</v>
      </c>
      <c r="BD36">
        <v>2.1156700000000002</v>
      </c>
      <c r="BE36">
        <v>2.02528</v>
      </c>
      <c r="BF36">
        <v>2.20526</v>
      </c>
      <c r="BG36">
        <v>2.2002999999999999</v>
      </c>
      <c r="BH36">
        <v>2.20384</v>
      </c>
      <c r="BI36">
        <v>2.1958500000000001</v>
      </c>
      <c r="BJ36">
        <v>2.1958700000000002</v>
      </c>
      <c r="BK36">
        <v>2.19089</v>
      </c>
      <c r="BL36">
        <v>2.1859099999999998</v>
      </c>
      <c r="BM36">
        <v>2.18092</v>
      </c>
      <c r="BN36">
        <v>2.1640999999999999</v>
      </c>
      <c r="BO36">
        <v>2.1522800000000002</v>
      </c>
      <c r="BP36">
        <v>2.1729599999999998</v>
      </c>
      <c r="BQ36">
        <v>2.1729799999999999</v>
      </c>
      <c r="BR36">
        <v>2.17299</v>
      </c>
      <c r="BS36">
        <v>2.1730100000000001</v>
      </c>
      <c r="BT36">
        <v>2.1730200000000002</v>
      </c>
      <c r="BW36">
        <v>2.16804</v>
      </c>
      <c r="BX36">
        <v>2.1680600000000001</v>
      </c>
      <c r="BY36">
        <v>2.1630699999999998</v>
      </c>
      <c r="BZ36">
        <v>2.1521699999999999</v>
      </c>
      <c r="CA36">
        <v>2.15218</v>
      </c>
      <c r="CB36">
        <v>2.15219</v>
      </c>
      <c r="CC36">
        <v>2.1522000000000001</v>
      </c>
      <c r="CD36">
        <v>2.1522100000000002</v>
      </c>
      <c r="CE36">
        <v>2.1562899999999998</v>
      </c>
      <c r="CF36">
        <v>2.1562999999999999</v>
      </c>
      <c r="CG36">
        <v>2.1563099999999999</v>
      </c>
      <c r="CH36">
        <v>2.15863</v>
      </c>
      <c r="CI36">
        <v>2.1513399999999998</v>
      </c>
      <c r="CJ36">
        <v>2.1456</v>
      </c>
      <c r="CK36">
        <v>2.14228</v>
      </c>
      <c r="CL36">
        <v>2.14229</v>
      </c>
      <c r="CM36">
        <v>2.1423000000000001</v>
      </c>
      <c r="CN36">
        <v>2.1423100000000002</v>
      </c>
      <c r="CO36">
        <v>2.14574</v>
      </c>
      <c r="CP36">
        <v>2.14574</v>
      </c>
      <c r="CQ36">
        <v>2.1432500000000001</v>
      </c>
      <c r="CS36">
        <v>2.1407699999999998</v>
      </c>
      <c r="CT36">
        <v>2.1407699999999998</v>
      </c>
      <c r="CU36">
        <v>2.1407799999999999</v>
      </c>
      <c r="CV36">
        <v>2.14079</v>
      </c>
      <c r="CW36">
        <v>2.13829</v>
      </c>
      <c r="CX36">
        <v>2.1383000000000001</v>
      </c>
      <c r="CY36">
        <v>2.1357900000000001</v>
      </c>
      <c r="CZ36">
        <v>2.1453199999999999</v>
      </c>
      <c r="DA36">
        <v>2.12832</v>
      </c>
      <c r="DB36">
        <v>2.12832</v>
      </c>
      <c r="DC36">
        <v>2.0564499999999999</v>
      </c>
    </row>
    <row r="37" spans="1:107" x14ac:dyDescent="0.25">
      <c r="A37">
        <f t="shared" si="0"/>
        <v>2</v>
      </c>
      <c r="B37" s="2">
        <v>42058</v>
      </c>
      <c r="C37">
        <v>0.32483000000000001</v>
      </c>
      <c r="D37">
        <v>0.51561000000000001</v>
      </c>
      <c r="E37">
        <v>0.48092000000000001</v>
      </c>
      <c r="F37">
        <v>0.48710999999999999</v>
      </c>
      <c r="G37">
        <v>0.50549999999999995</v>
      </c>
      <c r="H37">
        <v>0.5141</v>
      </c>
      <c r="I37">
        <v>0.41003000000000001</v>
      </c>
      <c r="J37">
        <v>0.42248000000000002</v>
      </c>
      <c r="K37">
        <v>0.41976999999999998</v>
      </c>
      <c r="L37">
        <v>0.43425000000000002</v>
      </c>
      <c r="M37">
        <v>0.47337000000000001</v>
      </c>
      <c r="N37">
        <v>0.39857999999999999</v>
      </c>
      <c r="O37">
        <v>0.52215</v>
      </c>
      <c r="P37">
        <v>0.51449999999999996</v>
      </c>
      <c r="Q37">
        <v>0.42541000000000001</v>
      </c>
      <c r="R37">
        <v>0.45583000000000001</v>
      </c>
      <c r="S37">
        <v>0.52124000000000004</v>
      </c>
      <c r="T37">
        <v>0.55298000000000003</v>
      </c>
      <c r="U37">
        <v>0.52859999999999996</v>
      </c>
      <c r="V37">
        <v>0.51956999999999998</v>
      </c>
      <c r="W37">
        <v>0.58899000000000001</v>
      </c>
      <c r="X37">
        <v>0.63368000000000002</v>
      </c>
      <c r="Y37">
        <v>0.76985000000000003</v>
      </c>
      <c r="Z37">
        <v>0.70909</v>
      </c>
      <c r="AA37">
        <v>0.77814000000000005</v>
      </c>
      <c r="AB37">
        <v>0.77819000000000005</v>
      </c>
      <c r="AC37">
        <v>0.84553999999999996</v>
      </c>
      <c r="AD37">
        <v>0.83067999999999997</v>
      </c>
      <c r="AE37">
        <v>0.74453000000000003</v>
      </c>
      <c r="AF37">
        <v>0.90439999999999998</v>
      </c>
      <c r="AG37">
        <v>0.94545999999999997</v>
      </c>
      <c r="AH37">
        <v>1.0110300000000001</v>
      </c>
      <c r="AI37">
        <v>1.0047999999999999</v>
      </c>
      <c r="AJ37">
        <v>0.99782999999999999</v>
      </c>
      <c r="AK37">
        <v>0.86645000000000005</v>
      </c>
      <c r="AL37">
        <v>1.07996</v>
      </c>
      <c r="AM37">
        <v>1.1537500000000001</v>
      </c>
      <c r="AN37">
        <v>0.97208000000000006</v>
      </c>
      <c r="AO37">
        <v>1.21248</v>
      </c>
      <c r="AP37">
        <v>1.2944</v>
      </c>
      <c r="AQ37">
        <v>1.12378</v>
      </c>
      <c r="AR37">
        <v>1.34609</v>
      </c>
      <c r="AS37">
        <v>1.40818</v>
      </c>
      <c r="AT37">
        <v>1.4444900000000001</v>
      </c>
      <c r="AU37">
        <v>1.44136</v>
      </c>
      <c r="AV37">
        <v>1.3827</v>
      </c>
      <c r="AW37">
        <v>1.84989</v>
      </c>
      <c r="AX37">
        <v>1.86599</v>
      </c>
      <c r="AY37">
        <v>1.8939299999999999</v>
      </c>
      <c r="AZ37">
        <v>1.90679</v>
      </c>
      <c r="BA37">
        <v>1.9280600000000001</v>
      </c>
      <c r="BB37">
        <v>2.0018099999999999</v>
      </c>
      <c r="BC37">
        <v>2.0274299999999998</v>
      </c>
      <c r="BD37">
        <v>2.0691999999999999</v>
      </c>
      <c r="BE37">
        <v>1.9685299999999999</v>
      </c>
      <c r="BF37">
        <v>2.14682</v>
      </c>
      <c r="BG37">
        <v>2.1418400000000002</v>
      </c>
      <c r="BH37">
        <v>2.14514</v>
      </c>
      <c r="BI37">
        <v>2.13605</v>
      </c>
      <c r="BJ37">
        <v>2.1360700000000001</v>
      </c>
      <c r="BK37">
        <v>2.1310799999999999</v>
      </c>
      <c r="BL37">
        <v>2.12609</v>
      </c>
      <c r="BM37">
        <v>2.1211000000000002</v>
      </c>
      <c r="BN37">
        <v>2.10521</v>
      </c>
      <c r="BO37">
        <v>2.0960700000000001</v>
      </c>
      <c r="BP37">
        <v>2.1131199999999999</v>
      </c>
      <c r="BQ37">
        <v>2.11313</v>
      </c>
      <c r="BR37">
        <v>2.11314</v>
      </c>
      <c r="BS37">
        <v>2.1131500000000001</v>
      </c>
      <c r="BT37">
        <v>2.1131600000000001</v>
      </c>
      <c r="BW37">
        <v>2.1081699999999999</v>
      </c>
      <c r="BX37">
        <v>2.1081799999999999</v>
      </c>
      <c r="BY37">
        <v>2.1031900000000001</v>
      </c>
      <c r="BZ37">
        <v>2.0929700000000002</v>
      </c>
      <c r="CA37">
        <v>2.0929799999999998</v>
      </c>
      <c r="CB37">
        <v>2.0929899999999999</v>
      </c>
      <c r="CC37">
        <v>2.0929899999999999</v>
      </c>
      <c r="CD37">
        <v>2.093</v>
      </c>
      <c r="CE37">
        <v>2.0973099999999998</v>
      </c>
      <c r="CF37">
        <v>2.0973199999999999</v>
      </c>
      <c r="CG37">
        <v>2.0973299999999999</v>
      </c>
      <c r="CH37">
        <v>2.0998600000000001</v>
      </c>
      <c r="CI37">
        <v>2.0923400000000001</v>
      </c>
      <c r="CJ37">
        <v>2.0862099999999999</v>
      </c>
      <c r="CK37">
        <v>2.08304</v>
      </c>
      <c r="CL37">
        <v>2.08304</v>
      </c>
      <c r="CM37">
        <v>2.0830500000000001</v>
      </c>
      <c r="CN37">
        <v>2.0830500000000001</v>
      </c>
      <c r="CO37">
        <v>2.0830600000000001</v>
      </c>
      <c r="CP37">
        <v>2.0857899999999998</v>
      </c>
      <c r="CQ37">
        <v>2.0832899999999999</v>
      </c>
      <c r="CS37">
        <v>2.0808</v>
      </c>
      <c r="CT37">
        <v>2.0808</v>
      </c>
      <c r="CU37">
        <v>2.08081</v>
      </c>
      <c r="CV37">
        <v>2.08081</v>
      </c>
      <c r="CW37">
        <v>2.0783100000000001</v>
      </c>
      <c r="CX37">
        <v>2.0783100000000001</v>
      </c>
      <c r="CY37">
        <v>2.0758100000000002</v>
      </c>
      <c r="CZ37">
        <v>2.0860099999999999</v>
      </c>
      <c r="DA37">
        <v>2.0733100000000002</v>
      </c>
      <c r="DB37">
        <v>2.0733100000000002</v>
      </c>
      <c r="DC37">
        <v>1.9878400000000001</v>
      </c>
    </row>
    <row r="38" spans="1:107" x14ac:dyDescent="0.25">
      <c r="A38">
        <f t="shared" si="0"/>
        <v>3</v>
      </c>
      <c r="B38" s="2">
        <v>42059</v>
      </c>
      <c r="C38">
        <v>0.31025999999999998</v>
      </c>
      <c r="D38">
        <v>0.59662000000000004</v>
      </c>
      <c r="E38">
        <v>0.52307999999999999</v>
      </c>
      <c r="F38">
        <v>0.50575999999999999</v>
      </c>
      <c r="G38">
        <v>0.55615999999999999</v>
      </c>
      <c r="H38">
        <v>0.58130000000000004</v>
      </c>
      <c r="I38">
        <v>0.46146999999999999</v>
      </c>
      <c r="J38">
        <v>0.49785000000000001</v>
      </c>
      <c r="K38">
        <v>0.50563999999999998</v>
      </c>
      <c r="L38">
        <v>0.52937000000000001</v>
      </c>
      <c r="M38">
        <v>0.54895000000000005</v>
      </c>
      <c r="N38">
        <v>0.47527000000000003</v>
      </c>
      <c r="O38">
        <v>0.61907000000000001</v>
      </c>
      <c r="P38">
        <v>0.59709000000000001</v>
      </c>
      <c r="Q38">
        <v>0.50922000000000001</v>
      </c>
      <c r="R38">
        <v>0.52795000000000003</v>
      </c>
      <c r="S38">
        <v>0.59702</v>
      </c>
      <c r="T38">
        <v>0.63715999999999995</v>
      </c>
      <c r="U38">
        <v>0.59484000000000004</v>
      </c>
      <c r="V38">
        <v>0.58406999999999998</v>
      </c>
      <c r="W38">
        <v>0.66073000000000004</v>
      </c>
      <c r="X38">
        <v>0.69208999999999998</v>
      </c>
      <c r="Y38">
        <v>0.75963000000000003</v>
      </c>
      <c r="Z38">
        <v>0.71150000000000002</v>
      </c>
      <c r="AA38">
        <v>0.78090000000000004</v>
      </c>
      <c r="AB38">
        <v>0.78086999999999995</v>
      </c>
      <c r="AC38">
        <v>0.84231</v>
      </c>
      <c r="AD38">
        <v>0.82560999999999996</v>
      </c>
      <c r="AE38">
        <v>0.74224000000000001</v>
      </c>
      <c r="AF38">
        <v>0.90176999999999996</v>
      </c>
      <c r="AG38">
        <v>0.93791000000000002</v>
      </c>
      <c r="AH38">
        <v>0.99692000000000003</v>
      </c>
      <c r="AI38">
        <v>0.98834</v>
      </c>
      <c r="AJ38">
        <v>1.0019100000000001</v>
      </c>
      <c r="AK38">
        <v>0.85080999999999996</v>
      </c>
      <c r="AL38">
        <v>1.06623</v>
      </c>
      <c r="AM38">
        <v>1.1297900000000001</v>
      </c>
      <c r="AN38">
        <v>0.95038999999999996</v>
      </c>
      <c r="AO38">
        <v>1.17604</v>
      </c>
      <c r="AP38">
        <v>1.2590600000000001</v>
      </c>
      <c r="AQ38">
        <v>1.0884499999999999</v>
      </c>
      <c r="AR38">
        <v>1.3107599999999999</v>
      </c>
      <c r="AS38">
        <v>1.3689100000000001</v>
      </c>
      <c r="AT38">
        <v>1.40178</v>
      </c>
      <c r="AU38">
        <v>1.40012</v>
      </c>
      <c r="AV38">
        <v>1.3401799999999999</v>
      </c>
      <c r="AW38">
        <v>1.8031900000000001</v>
      </c>
      <c r="AX38">
        <v>1.81985</v>
      </c>
      <c r="AY38">
        <v>1.8472200000000001</v>
      </c>
      <c r="AZ38">
        <v>1.86069</v>
      </c>
      <c r="BA38">
        <v>1.8774500000000001</v>
      </c>
      <c r="BB38">
        <v>1.96065</v>
      </c>
      <c r="BC38">
        <v>1.98424</v>
      </c>
      <c r="BD38">
        <v>2.03302</v>
      </c>
      <c r="BE38">
        <v>1.91645</v>
      </c>
      <c r="BF38">
        <v>2.10318</v>
      </c>
      <c r="BG38">
        <v>2.0972200000000001</v>
      </c>
      <c r="BH38">
        <v>2.0872700000000002</v>
      </c>
      <c r="BI38">
        <v>2.0994199999999998</v>
      </c>
      <c r="BJ38">
        <v>2.1181999999999999</v>
      </c>
      <c r="BK38">
        <v>2.0944699999999998</v>
      </c>
      <c r="BL38">
        <v>2.0882700000000001</v>
      </c>
      <c r="BM38">
        <v>2.09823</v>
      </c>
      <c r="BN38">
        <v>2.07952</v>
      </c>
      <c r="BO38">
        <v>2.0375200000000002</v>
      </c>
      <c r="BP38">
        <v>2.0947499999999999</v>
      </c>
      <c r="BQ38">
        <v>2.09476</v>
      </c>
      <c r="BR38">
        <v>2.0760200000000002</v>
      </c>
      <c r="BS38">
        <v>2.0760299999999998</v>
      </c>
      <c r="BT38">
        <v>2.0760299999999998</v>
      </c>
      <c r="BW38">
        <v>2.0683400000000001</v>
      </c>
      <c r="BX38">
        <v>2.06338</v>
      </c>
      <c r="BY38">
        <v>2.0798199999999998</v>
      </c>
      <c r="BZ38">
        <v>2.03972</v>
      </c>
      <c r="CA38">
        <v>2.03973</v>
      </c>
      <c r="CB38">
        <v>2.0397400000000001</v>
      </c>
      <c r="CC38">
        <v>2.0397400000000001</v>
      </c>
      <c r="CD38">
        <v>2.0397500000000002</v>
      </c>
      <c r="CE38">
        <v>2.0484499999999999</v>
      </c>
      <c r="CF38">
        <v>2.0484499999999999</v>
      </c>
      <c r="CG38">
        <v>2.0484599999999999</v>
      </c>
      <c r="CH38">
        <v>2.0434800000000002</v>
      </c>
      <c r="CI38">
        <v>2.0434800000000002</v>
      </c>
      <c r="CJ38">
        <v>2.0297800000000001</v>
      </c>
      <c r="CK38">
        <v>2.0522300000000002</v>
      </c>
      <c r="CL38">
        <v>2.0522399999999998</v>
      </c>
      <c r="CM38">
        <v>2.0522399999999998</v>
      </c>
      <c r="CN38">
        <v>2.0497700000000001</v>
      </c>
      <c r="CO38">
        <v>2.04853</v>
      </c>
      <c r="CP38">
        <v>2.0460099999999999</v>
      </c>
      <c r="CQ38">
        <v>2.0434800000000002</v>
      </c>
      <c r="CS38">
        <v>2.0385399999999998</v>
      </c>
      <c r="CT38">
        <v>2.0385200000000001</v>
      </c>
      <c r="CU38">
        <v>2.0385200000000001</v>
      </c>
      <c r="CV38">
        <v>2.0385300000000002</v>
      </c>
      <c r="CW38">
        <v>2.03355</v>
      </c>
      <c r="CX38">
        <v>2.03355</v>
      </c>
      <c r="CY38">
        <v>2.03355</v>
      </c>
      <c r="CZ38">
        <v>2.0285600000000001</v>
      </c>
      <c r="DA38">
        <v>2.0285600000000001</v>
      </c>
      <c r="DB38">
        <v>2.0285700000000002</v>
      </c>
      <c r="DC38">
        <v>1.9215800000000001</v>
      </c>
    </row>
    <row r="39" spans="1:107" x14ac:dyDescent="0.25">
      <c r="A39">
        <f t="shared" si="0"/>
        <v>4</v>
      </c>
      <c r="B39" s="2">
        <v>42060</v>
      </c>
      <c r="C39">
        <v>0.35249000000000003</v>
      </c>
      <c r="D39">
        <v>0.57387999999999995</v>
      </c>
      <c r="E39">
        <v>0.55454999999999999</v>
      </c>
      <c r="F39">
        <v>0.57806999999999997</v>
      </c>
      <c r="G39">
        <v>0.58865000000000001</v>
      </c>
      <c r="H39">
        <v>0.60441</v>
      </c>
      <c r="I39">
        <v>0.48875000000000002</v>
      </c>
      <c r="J39">
        <v>0.50297999999999998</v>
      </c>
      <c r="K39">
        <v>0.52531000000000005</v>
      </c>
      <c r="L39">
        <v>0.5383</v>
      </c>
      <c r="M39">
        <v>0.55484999999999995</v>
      </c>
      <c r="N39">
        <v>0.48008000000000001</v>
      </c>
      <c r="O39">
        <v>0.63802999999999999</v>
      </c>
      <c r="P39">
        <v>0.61014999999999997</v>
      </c>
      <c r="Q39">
        <v>0.52232999999999996</v>
      </c>
      <c r="R39">
        <v>0.53966000000000003</v>
      </c>
      <c r="S39">
        <v>0.58333999999999997</v>
      </c>
      <c r="T39">
        <v>0.64412999999999998</v>
      </c>
      <c r="U39">
        <v>0.60353999999999997</v>
      </c>
      <c r="V39">
        <v>0.59153</v>
      </c>
      <c r="W39">
        <v>0.66413999999999995</v>
      </c>
      <c r="X39">
        <v>0.69913000000000003</v>
      </c>
      <c r="Y39">
        <v>0.75705</v>
      </c>
      <c r="Z39">
        <v>0.70343</v>
      </c>
      <c r="AA39">
        <v>0.77483999999999997</v>
      </c>
      <c r="AB39">
        <v>0.77481</v>
      </c>
      <c r="AC39">
        <v>0.85218000000000005</v>
      </c>
      <c r="AD39">
        <v>0.82655000000000001</v>
      </c>
      <c r="AE39">
        <v>0.75524999999999998</v>
      </c>
      <c r="AF39">
        <v>0.90412999999999999</v>
      </c>
      <c r="AG39">
        <v>0.93779999999999997</v>
      </c>
      <c r="AH39">
        <v>1.0054399999999999</v>
      </c>
      <c r="AI39">
        <v>0.99238999999999999</v>
      </c>
      <c r="AJ39">
        <v>0.99622999999999995</v>
      </c>
      <c r="AK39">
        <v>0.86121000000000003</v>
      </c>
      <c r="AL39">
        <v>1.06968</v>
      </c>
      <c r="AM39">
        <v>1.14439</v>
      </c>
      <c r="AN39">
        <v>0.96960999999999997</v>
      </c>
      <c r="AO39">
        <v>1.1881600000000001</v>
      </c>
      <c r="AP39">
        <v>1.2673000000000001</v>
      </c>
      <c r="AQ39">
        <v>1.09893</v>
      </c>
      <c r="AR39">
        <v>1.31901</v>
      </c>
      <c r="AS39">
        <v>1.37618</v>
      </c>
      <c r="AT39">
        <v>1.40394</v>
      </c>
      <c r="AU39">
        <v>1.40669</v>
      </c>
      <c r="AV39">
        <v>1.34788</v>
      </c>
      <c r="AW39">
        <v>1.79956</v>
      </c>
      <c r="AX39">
        <v>1.8174999999999999</v>
      </c>
      <c r="AY39">
        <v>1.84362</v>
      </c>
      <c r="AZ39">
        <v>1.8577900000000001</v>
      </c>
      <c r="BA39">
        <v>1.8723799999999999</v>
      </c>
      <c r="BB39">
        <v>1.94268</v>
      </c>
      <c r="BC39">
        <v>1.96851</v>
      </c>
      <c r="BD39">
        <v>1.9936</v>
      </c>
      <c r="BE39">
        <v>1.8994500000000001</v>
      </c>
      <c r="BF39">
        <v>2.0822400000000001</v>
      </c>
      <c r="BG39">
        <v>2.0772699999999999</v>
      </c>
      <c r="BH39">
        <v>2.0780599999999998</v>
      </c>
      <c r="BI39">
        <v>2.0718100000000002</v>
      </c>
      <c r="BJ39">
        <v>2.0718299999999998</v>
      </c>
      <c r="BK39">
        <v>2.06684</v>
      </c>
      <c r="BL39">
        <v>2.0618699999999999</v>
      </c>
      <c r="BM39">
        <v>2.05688</v>
      </c>
      <c r="BN39">
        <v>2.0377999999999998</v>
      </c>
      <c r="BO39">
        <v>2.0157699999999998</v>
      </c>
      <c r="BP39">
        <v>2.0388099999999998</v>
      </c>
      <c r="BQ39">
        <v>2.0388299999999999</v>
      </c>
      <c r="BR39">
        <v>2.0479400000000001</v>
      </c>
      <c r="BS39">
        <v>2.0479500000000002</v>
      </c>
      <c r="BT39">
        <v>2.0479699999999998</v>
      </c>
      <c r="BW39">
        <v>2.0430000000000001</v>
      </c>
      <c r="BX39">
        <v>2.0430100000000002</v>
      </c>
      <c r="BY39">
        <v>2.0342199999999999</v>
      </c>
      <c r="BZ39">
        <v>2.0330400000000002</v>
      </c>
      <c r="CA39">
        <v>2.0330499999999998</v>
      </c>
      <c r="CB39">
        <v>2.0330599999999999</v>
      </c>
      <c r="CC39">
        <v>2.0309400000000002</v>
      </c>
      <c r="CD39">
        <v>2.0309499999999998</v>
      </c>
      <c r="CE39">
        <v>2.0276299999999998</v>
      </c>
      <c r="CF39">
        <v>2.0276399999999999</v>
      </c>
      <c r="CG39">
        <v>2.02765</v>
      </c>
      <c r="CH39">
        <v>2.0296599999999998</v>
      </c>
      <c r="CI39">
        <v>2.0258500000000002</v>
      </c>
      <c r="CJ39">
        <v>2.0231400000000002</v>
      </c>
      <c r="CK39">
        <v>2.0231499999999998</v>
      </c>
      <c r="CL39">
        <v>2.0231499999999998</v>
      </c>
      <c r="CM39">
        <v>2.0231599999999998</v>
      </c>
      <c r="CN39">
        <v>2.0231699999999999</v>
      </c>
      <c r="CO39">
        <v>2.0165700000000002</v>
      </c>
      <c r="CP39">
        <v>2.02068</v>
      </c>
      <c r="CQ39">
        <v>2.00909</v>
      </c>
      <c r="CS39">
        <v>2.0156900000000002</v>
      </c>
      <c r="CT39">
        <v>2.02704</v>
      </c>
      <c r="CU39">
        <v>2.02704</v>
      </c>
      <c r="CV39">
        <v>2.02705</v>
      </c>
      <c r="CW39">
        <v>2.0102199999999999</v>
      </c>
      <c r="CX39">
        <v>2.0102199999999999</v>
      </c>
      <c r="CY39">
        <v>2.0077199999999999</v>
      </c>
      <c r="CZ39">
        <v>2.0027499999999998</v>
      </c>
      <c r="DA39">
        <v>2.0002399999999998</v>
      </c>
      <c r="DB39">
        <v>2.0002499999999999</v>
      </c>
      <c r="DC39">
        <v>1.9042399999999999</v>
      </c>
    </row>
    <row r="40" spans="1:107" x14ac:dyDescent="0.25">
      <c r="A40">
        <f t="shared" si="0"/>
        <v>5</v>
      </c>
      <c r="B40" s="2">
        <v>42061</v>
      </c>
      <c r="C40">
        <v>0.19466</v>
      </c>
      <c r="D40">
        <v>0.53115999999999997</v>
      </c>
      <c r="E40">
        <v>0.56738</v>
      </c>
      <c r="F40">
        <v>0.56825000000000003</v>
      </c>
      <c r="G40">
        <v>0.60646</v>
      </c>
      <c r="H40">
        <v>0.62624000000000002</v>
      </c>
      <c r="I40">
        <v>0.51309000000000005</v>
      </c>
      <c r="J40">
        <v>0.53454999999999997</v>
      </c>
      <c r="K40">
        <v>0.55852000000000002</v>
      </c>
      <c r="L40">
        <v>0.57767000000000002</v>
      </c>
      <c r="M40">
        <v>0.58655999999999997</v>
      </c>
      <c r="N40">
        <v>0.51502999999999999</v>
      </c>
      <c r="O40">
        <v>0.67052999999999996</v>
      </c>
      <c r="P40">
        <v>0.66210999999999998</v>
      </c>
      <c r="Q40">
        <v>0.55037000000000003</v>
      </c>
      <c r="R40">
        <v>0.56855999999999995</v>
      </c>
      <c r="S40">
        <v>0.61634999999999995</v>
      </c>
      <c r="T40">
        <v>0.68010999999999999</v>
      </c>
      <c r="U40">
        <v>0.64205000000000001</v>
      </c>
      <c r="V40">
        <v>0.63241000000000003</v>
      </c>
      <c r="W40">
        <v>0.70553999999999994</v>
      </c>
      <c r="X40">
        <v>0.74724999999999997</v>
      </c>
      <c r="Y40">
        <v>0.79427999999999999</v>
      </c>
      <c r="Z40">
        <v>0.74038000000000004</v>
      </c>
      <c r="AA40">
        <v>0.81852999999999998</v>
      </c>
      <c r="AB40">
        <v>0.81225000000000003</v>
      </c>
      <c r="AC40">
        <v>0.89137</v>
      </c>
      <c r="AD40">
        <v>0.85379000000000005</v>
      </c>
      <c r="AE40">
        <v>0.79893000000000003</v>
      </c>
      <c r="AF40">
        <v>0.94205000000000005</v>
      </c>
      <c r="AG40">
        <v>0.98216999999999999</v>
      </c>
      <c r="AH40">
        <v>1.03891</v>
      </c>
      <c r="AI40">
        <v>1.0333399999999999</v>
      </c>
      <c r="AJ40">
        <v>1.0330999999999999</v>
      </c>
      <c r="AK40">
        <v>0.89603999999999995</v>
      </c>
      <c r="AL40">
        <v>1.1060099999999999</v>
      </c>
      <c r="AM40">
        <v>1.1860900000000001</v>
      </c>
      <c r="AN40">
        <v>1.00688</v>
      </c>
      <c r="AO40">
        <v>1.2302999999999999</v>
      </c>
      <c r="AP40">
        <v>1.3092200000000001</v>
      </c>
      <c r="AQ40">
        <v>1.1396999999999999</v>
      </c>
      <c r="AR40">
        <v>1.36093</v>
      </c>
      <c r="AS40">
        <v>1.4159299999999999</v>
      </c>
      <c r="AT40">
        <v>1.44669</v>
      </c>
      <c r="AU40">
        <v>1.44651</v>
      </c>
      <c r="AV40">
        <v>1.3846499999999999</v>
      </c>
      <c r="AW40">
        <v>1.83656</v>
      </c>
      <c r="AX40">
        <v>1.85259</v>
      </c>
      <c r="AY40">
        <v>1.88063</v>
      </c>
      <c r="AZ40">
        <v>1.89585</v>
      </c>
      <c r="BA40">
        <v>1.9128700000000001</v>
      </c>
      <c r="BB40">
        <v>1.9772700000000001</v>
      </c>
      <c r="BC40">
        <v>1.9917199999999999</v>
      </c>
      <c r="BD40">
        <v>2.0257700000000001</v>
      </c>
      <c r="BE40">
        <v>1.92723</v>
      </c>
      <c r="BF40">
        <v>2.0987399999999998</v>
      </c>
      <c r="BG40">
        <v>2.0937600000000001</v>
      </c>
      <c r="BH40">
        <v>2.0950600000000001</v>
      </c>
      <c r="BI40">
        <v>2.0857999999999999</v>
      </c>
      <c r="BJ40">
        <v>2.08582</v>
      </c>
      <c r="BK40">
        <v>2.0808300000000002</v>
      </c>
      <c r="BL40">
        <v>2.07586</v>
      </c>
      <c r="BM40">
        <v>2.0708700000000002</v>
      </c>
      <c r="BN40">
        <v>2.05091</v>
      </c>
      <c r="BO40">
        <v>2.02658</v>
      </c>
      <c r="BP40">
        <v>2.0509200000000001</v>
      </c>
      <c r="BQ40">
        <v>2.0509300000000001</v>
      </c>
      <c r="BR40">
        <v>2.0459499999999999</v>
      </c>
      <c r="BS40">
        <v>2.06094</v>
      </c>
      <c r="BT40">
        <v>2.0609500000000001</v>
      </c>
      <c r="BW40">
        <v>2.05599</v>
      </c>
      <c r="BX40">
        <v>2.0560100000000001</v>
      </c>
      <c r="BY40">
        <v>2.0476200000000002</v>
      </c>
      <c r="BZ40">
        <v>2.0410400000000002</v>
      </c>
      <c r="CA40">
        <v>2.0410499999999998</v>
      </c>
      <c r="CB40">
        <v>2.0410599999999999</v>
      </c>
      <c r="CC40">
        <v>2.04434</v>
      </c>
      <c r="CD40">
        <v>2.0443500000000001</v>
      </c>
      <c r="CE40">
        <v>2.0410300000000001</v>
      </c>
      <c r="CF40">
        <v>2.0410400000000002</v>
      </c>
      <c r="CG40">
        <v>2.0410499999999998</v>
      </c>
      <c r="CH40">
        <v>2.0410599999999999</v>
      </c>
      <c r="CI40">
        <v>2.0419499999999999</v>
      </c>
      <c r="CJ40">
        <v>2.0344099999999998</v>
      </c>
      <c r="CK40">
        <v>2.0311499999999998</v>
      </c>
      <c r="CL40">
        <v>2.0311599999999999</v>
      </c>
      <c r="CM40">
        <v>2.0311599999999999</v>
      </c>
      <c r="CN40">
        <v>2.0311699999999999</v>
      </c>
      <c r="CO40">
        <v>2.02868</v>
      </c>
      <c r="CP40">
        <v>2.0236900000000002</v>
      </c>
      <c r="CQ40">
        <v>2.0211999999999999</v>
      </c>
      <c r="CS40">
        <v>2.02867</v>
      </c>
      <c r="CT40">
        <v>2.0425399999999998</v>
      </c>
      <c r="CU40">
        <v>2.0425499999999999</v>
      </c>
      <c r="CV40">
        <v>2.0425499999999999</v>
      </c>
      <c r="CW40">
        <v>2.02271</v>
      </c>
      <c r="CX40">
        <v>2.02271</v>
      </c>
      <c r="CY40">
        <v>2.0202</v>
      </c>
      <c r="CZ40">
        <v>2.0152399999999999</v>
      </c>
      <c r="DA40">
        <v>2.0127299999999999</v>
      </c>
      <c r="DB40">
        <v>2.01274</v>
      </c>
      <c r="DC40">
        <v>1.92123</v>
      </c>
    </row>
    <row r="41" spans="1:107" x14ac:dyDescent="0.25">
      <c r="A41">
        <f t="shared" si="0"/>
        <v>6</v>
      </c>
      <c r="B41" s="2">
        <v>42062</v>
      </c>
      <c r="C41">
        <v>0.29448999999999997</v>
      </c>
      <c r="D41">
        <v>0.48069000000000001</v>
      </c>
      <c r="E41">
        <v>0.57015000000000005</v>
      </c>
      <c r="F41">
        <v>0.59736</v>
      </c>
      <c r="G41">
        <v>0.59477999999999998</v>
      </c>
      <c r="H41">
        <v>0.61229</v>
      </c>
      <c r="I41">
        <v>0.50375999999999999</v>
      </c>
      <c r="J41">
        <v>0.49804999999999999</v>
      </c>
      <c r="K41">
        <v>0.53885000000000005</v>
      </c>
      <c r="L41">
        <v>0.54552</v>
      </c>
      <c r="M41">
        <v>0.54991000000000001</v>
      </c>
      <c r="N41">
        <v>0.47928999999999999</v>
      </c>
      <c r="O41">
        <v>0.65386</v>
      </c>
      <c r="P41">
        <v>0.62251999999999996</v>
      </c>
      <c r="Q41">
        <v>0.52414000000000005</v>
      </c>
      <c r="R41">
        <v>0.53430999999999995</v>
      </c>
      <c r="S41">
        <v>0.58314999999999995</v>
      </c>
      <c r="T41">
        <v>0.64671999999999996</v>
      </c>
      <c r="U41">
        <v>0.60614000000000001</v>
      </c>
      <c r="V41">
        <v>0.59616000000000002</v>
      </c>
      <c r="W41">
        <v>0.66822000000000004</v>
      </c>
      <c r="X41">
        <v>0.71031999999999995</v>
      </c>
      <c r="Y41">
        <v>0.73729999999999996</v>
      </c>
      <c r="Z41">
        <v>0.68464999999999998</v>
      </c>
      <c r="AA41">
        <v>0.75560000000000005</v>
      </c>
      <c r="AB41">
        <v>0.75561999999999996</v>
      </c>
      <c r="AC41">
        <v>0.82840000000000003</v>
      </c>
      <c r="AD41">
        <v>0.80079999999999996</v>
      </c>
      <c r="AE41">
        <v>0.74207999999999996</v>
      </c>
      <c r="AF41">
        <v>0.88748000000000005</v>
      </c>
      <c r="AG41">
        <v>0.92366000000000004</v>
      </c>
      <c r="AH41">
        <v>0.98204000000000002</v>
      </c>
      <c r="AI41">
        <v>0.94118999999999997</v>
      </c>
      <c r="AJ41">
        <v>0.96892</v>
      </c>
      <c r="AK41">
        <v>0.82140999999999997</v>
      </c>
      <c r="AL41">
        <v>1.05497</v>
      </c>
      <c r="AM41">
        <v>1.1339999999999999</v>
      </c>
      <c r="AN41">
        <v>0.95335000000000003</v>
      </c>
      <c r="AO41">
        <v>1.17831</v>
      </c>
      <c r="AP41">
        <v>1.2533300000000001</v>
      </c>
      <c r="AQ41">
        <v>1.0839099999999999</v>
      </c>
      <c r="AR41">
        <v>1.3050299999999999</v>
      </c>
      <c r="AS41">
        <v>1.3602000000000001</v>
      </c>
      <c r="AT41">
        <v>1.3906400000000001</v>
      </c>
      <c r="AU41">
        <v>1.3895999999999999</v>
      </c>
      <c r="AV41">
        <v>1.3279099999999999</v>
      </c>
      <c r="AW41">
        <v>1.7828599999999999</v>
      </c>
      <c r="AX41">
        <v>1.7987899999999999</v>
      </c>
      <c r="AY41">
        <v>1.8303100000000001</v>
      </c>
      <c r="AZ41">
        <v>1.84226</v>
      </c>
      <c r="BA41">
        <v>1.85846</v>
      </c>
      <c r="BB41">
        <v>1.93018</v>
      </c>
      <c r="BC41">
        <v>1.9611000000000001</v>
      </c>
      <c r="BD41">
        <v>1.9991000000000001</v>
      </c>
      <c r="BE41">
        <v>1.89222</v>
      </c>
      <c r="BF41">
        <v>2.0559599999999998</v>
      </c>
      <c r="BG41">
        <v>2.05098</v>
      </c>
      <c r="BH41">
        <v>2.0504199999999999</v>
      </c>
      <c r="BI41">
        <v>2.0410200000000001</v>
      </c>
      <c r="BJ41">
        <v>2.0410400000000002</v>
      </c>
      <c r="BK41">
        <v>2.0360499999999999</v>
      </c>
      <c r="BL41">
        <v>2.0310800000000002</v>
      </c>
      <c r="BM41">
        <v>2.0308299999999999</v>
      </c>
      <c r="BN41">
        <v>2.0052400000000001</v>
      </c>
      <c r="BO41">
        <v>1.98322</v>
      </c>
      <c r="BP41">
        <v>2.0112000000000001</v>
      </c>
      <c r="BQ41">
        <v>2.0112199999999998</v>
      </c>
      <c r="BR41">
        <v>1.99878</v>
      </c>
      <c r="BS41">
        <v>1.9987900000000001</v>
      </c>
      <c r="BT41">
        <v>1.9987999999999999</v>
      </c>
      <c r="BW41">
        <v>2.0097100000000001</v>
      </c>
      <c r="BX41">
        <v>2.0133000000000001</v>
      </c>
      <c r="BY41">
        <v>2.0013000000000001</v>
      </c>
      <c r="BZ41">
        <v>1.998</v>
      </c>
      <c r="CA41">
        <v>1.9980100000000001</v>
      </c>
      <c r="CB41">
        <v>1.9980199999999999</v>
      </c>
      <c r="CC41">
        <v>1.99803</v>
      </c>
      <c r="CD41">
        <v>1.99804</v>
      </c>
      <c r="CE41">
        <v>1.99472</v>
      </c>
      <c r="CF41">
        <v>1.9947299999999999</v>
      </c>
      <c r="CG41">
        <v>1.99474</v>
      </c>
      <c r="CH41">
        <v>1.9939499999999999</v>
      </c>
      <c r="CI41">
        <v>1.9938499999999999</v>
      </c>
      <c r="CJ41">
        <v>1.9861800000000001</v>
      </c>
      <c r="CK41">
        <v>1.98397</v>
      </c>
      <c r="CL41">
        <v>1.9839800000000001</v>
      </c>
      <c r="CM41">
        <v>1.9839899999999999</v>
      </c>
      <c r="CN41">
        <v>1.984</v>
      </c>
      <c r="CO41">
        <v>1.9815</v>
      </c>
      <c r="CP41">
        <v>1.97651</v>
      </c>
      <c r="CQ41">
        <v>1.9814700000000001</v>
      </c>
      <c r="CS41">
        <v>1.98237</v>
      </c>
      <c r="CT41">
        <v>1.98051</v>
      </c>
      <c r="CU41">
        <v>1.98051</v>
      </c>
      <c r="CV41">
        <v>1.9805200000000001</v>
      </c>
      <c r="CW41">
        <v>1.9730399999999999</v>
      </c>
      <c r="CX41">
        <v>1.97305</v>
      </c>
      <c r="CY41">
        <v>1.97054</v>
      </c>
      <c r="CZ41">
        <v>1.96557</v>
      </c>
      <c r="DA41">
        <v>1.9630700000000001</v>
      </c>
      <c r="DB41">
        <v>1.9630700000000001</v>
      </c>
      <c r="DC41">
        <v>1.8759999999999999</v>
      </c>
    </row>
    <row r="42" spans="1:107" x14ac:dyDescent="0.25">
      <c r="A42">
        <f t="shared" si="0"/>
        <v>2</v>
      </c>
      <c r="B42" s="2">
        <v>42065</v>
      </c>
      <c r="D42">
        <v>0.55281000000000002</v>
      </c>
      <c r="E42">
        <v>0.57501000000000002</v>
      </c>
      <c r="F42">
        <v>0.60385</v>
      </c>
      <c r="G42">
        <v>0.60187999999999997</v>
      </c>
      <c r="H42">
        <v>0.61104999999999998</v>
      </c>
      <c r="I42">
        <v>0.52932000000000001</v>
      </c>
      <c r="J42">
        <v>0.52586999999999995</v>
      </c>
      <c r="K42">
        <v>0.55081000000000002</v>
      </c>
      <c r="L42">
        <v>0.56274000000000002</v>
      </c>
      <c r="M42">
        <v>0.57779999999999998</v>
      </c>
      <c r="N42">
        <v>0.50619999999999998</v>
      </c>
      <c r="O42">
        <v>0.66003000000000001</v>
      </c>
      <c r="P42">
        <v>0.63232999999999995</v>
      </c>
      <c r="Q42">
        <v>0.54134000000000004</v>
      </c>
      <c r="R42">
        <v>0.56498000000000004</v>
      </c>
      <c r="S42">
        <v>0.62978999999999996</v>
      </c>
      <c r="T42">
        <v>0.67049999999999998</v>
      </c>
      <c r="U42">
        <v>0.62970000000000004</v>
      </c>
      <c r="V42">
        <v>0.61946999999999997</v>
      </c>
      <c r="W42">
        <v>0.69330000000000003</v>
      </c>
      <c r="X42">
        <v>0.72733999999999999</v>
      </c>
      <c r="Y42">
        <v>0.79796999999999996</v>
      </c>
      <c r="Z42">
        <v>0.74539999999999995</v>
      </c>
      <c r="AA42">
        <v>0.81589</v>
      </c>
      <c r="AB42">
        <v>0.81157999999999997</v>
      </c>
      <c r="AC42">
        <v>0.88868999999999998</v>
      </c>
      <c r="AD42">
        <v>0.89415</v>
      </c>
      <c r="AE42">
        <v>0.80327999999999999</v>
      </c>
      <c r="AF42">
        <v>0.94694999999999996</v>
      </c>
      <c r="AG42">
        <v>0.98934999999999995</v>
      </c>
      <c r="AH42">
        <v>1.0438799999999999</v>
      </c>
      <c r="AI42">
        <v>1.04105</v>
      </c>
      <c r="AJ42">
        <v>1.0374399999999999</v>
      </c>
      <c r="AK42">
        <v>0.89988999999999997</v>
      </c>
      <c r="AL42">
        <v>1.11182</v>
      </c>
      <c r="AM42">
        <v>1.2133100000000001</v>
      </c>
      <c r="AN42">
        <v>1.03311</v>
      </c>
      <c r="AO42">
        <v>1.2627600000000001</v>
      </c>
      <c r="AP42">
        <v>1.33962</v>
      </c>
      <c r="AQ42">
        <v>1.16943</v>
      </c>
      <c r="AR42">
        <v>1.3913199999999999</v>
      </c>
      <c r="AS42">
        <v>1.4443999999999999</v>
      </c>
      <c r="AT42">
        <v>1.4770099999999999</v>
      </c>
      <c r="AU42">
        <v>1.4746600000000001</v>
      </c>
      <c r="AV42">
        <v>1.4084300000000001</v>
      </c>
      <c r="AW42">
        <v>1.86137</v>
      </c>
      <c r="AX42">
        <v>1.87825</v>
      </c>
      <c r="AY42">
        <v>1.90541</v>
      </c>
      <c r="AZ42">
        <v>1.92099</v>
      </c>
      <c r="BA42">
        <v>1.93794</v>
      </c>
      <c r="BB42">
        <v>2.0105</v>
      </c>
      <c r="BC42">
        <v>2.0399099999999999</v>
      </c>
      <c r="BD42">
        <v>2.0664500000000001</v>
      </c>
      <c r="BE42">
        <v>1.96872</v>
      </c>
      <c r="BF42">
        <v>2.1215700000000002</v>
      </c>
      <c r="BG42">
        <v>2.1165799999999999</v>
      </c>
      <c r="BH42">
        <v>2.1165600000000002</v>
      </c>
      <c r="BI42">
        <v>2.1066099999999999</v>
      </c>
      <c r="BJ42">
        <v>2.1066199999999999</v>
      </c>
      <c r="BK42">
        <v>2.10162</v>
      </c>
      <c r="BL42">
        <v>2.0966399999999998</v>
      </c>
      <c r="BM42">
        <v>2.0916399999999999</v>
      </c>
      <c r="BN42">
        <v>2.0725699999999998</v>
      </c>
      <c r="BO42">
        <v>2.04935</v>
      </c>
      <c r="BP42">
        <v>2.07667</v>
      </c>
      <c r="BQ42">
        <v>2.0766800000000001</v>
      </c>
      <c r="BR42">
        <v>2.0655899999999998</v>
      </c>
      <c r="BS42">
        <v>2.0655999999999999</v>
      </c>
      <c r="BT42">
        <v>2.0656099999999999</v>
      </c>
      <c r="BW42">
        <v>2.0747200000000001</v>
      </c>
      <c r="BX42">
        <v>2.0747300000000002</v>
      </c>
      <c r="BY42">
        <v>2.0667300000000002</v>
      </c>
      <c r="BZ42">
        <v>2.0634199999999998</v>
      </c>
      <c r="CA42">
        <v>2.0634299999999999</v>
      </c>
      <c r="CB42">
        <v>2.0634299999999999</v>
      </c>
      <c r="CC42">
        <v>2.0634399999999999</v>
      </c>
      <c r="CD42">
        <v>2.0634399999999999</v>
      </c>
      <c r="CE42">
        <v>2.06012</v>
      </c>
      <c r="CF42">
        <v>2.06013</v>
      </c>
      <c r="CG42">
        <v>2.06013</v>
      </c>
      <c r="CH42">
        <v>2.0601400000000001</v>
      </c>
      <c r="CI42">
        <v>2.0591900000000001</v>
      </c>
      <c r="CJ42">
        <v>2.0530400000000002</v>
      </c>
      <c r="CK42">
        <v>2.05071</v>
      </c>
      <c r="CL42">
        <v>2.0507200000000001</v>
      </c>
      <c r="CM42">
        <v>2.0507200000000001</v>
      </c>
      <c r="CN42">
        <v>2.0507300000000002</v>
      </c>
      <c r="CO42">
        <v>2.0482300000000002</v>
      </c>
      <c r="CP42">
        <v>2.0432399999999999</v>
      </c>
      <c r="CQ42">
        <v>2.0468299999999999</v>
      </c>
      <c r="CS42">
        <v>2.04732</v>
      </c>
      <c r="CT42">
        <v>2.0511300000000001</v>
      </c>
      <c r="CU42">
        <v>2.0511300000000001</v>
      </c>
      <c r="CV42">
        <v>2.0511400000000002</v>
      </c>
      <c r="CW42">
        <v>2.0396899999999998</v>
      </c>
      <c r="CX42">
        <v>2.0396899999999998</v>
      </c>
      <c r="CY42">
        <v>2.0371800000000002</v>
      </c>
      <c r="CZ42">
        <v>2.0232800000000002</v>
      </c>
      <c r="DA42">
        <v>2.0297100000000001</v>
      </c>
      <c r="DB42">
        <v>2.0297100000000001</v>
      </c>
      <c r="DC42">
        <v>1.93903</v>
      </c>
    </row>
    <row r="43" spans="1:107" x14ac:dyDescent="0.25">
      <c r="A43">
        <f t="shared" si="0"/>
        <v>3</v>
      </c>
      <c r="B43" s="2">
        <v>42066</v>
      </c>
      <c r="D43">
        <v>0.57748999999999995</v>
      </c>
      <c r="E43">
        <v>0.57672000000000001</v>
      </c>
      <c r="F43">
        <v>0.6038</v>
      </c>
      <c r="G43">
        <v>0.60701000000000005</v>
      </c>
      <c r="H43">
        <v>0.61570000000000003</v>
      </c>
      <c r="I43">
        <v>0.53383999999999998</v>
      </c>
      <c r="J43">
        <v>0.60819000000000001</v>
      </c>
      <c r="K43">
        <v>0.55235999999999996</v>
      </c>
      <c r="L43">
        <v>0.57262000000000002</v>
      </c>
      <c r="M43">
        <v>0.58177999999999996</v>
      </c>
      <c r="N43">
        <v>0.50697000000000003</v>
      </c>
      <c r="O43">
        <v>0.64583999999999997</v>
      </c>
      <c r="P43">
        <v>0.63160000000000005</v>
      </c>
      <c r="Q43">
        <v>0.53508999999999995</v>
      </c>
      <c r="R43">
        <v>0.56688000000000005</v>
      </c>
      <c r="S43">
        <v>0.60862000000000005</v>
      </c>
      <c r="T43">
        <v>0.67076999999999998</v>
      </c>
      <c r="U43">
        <v>0.61550000000000005</v>
      </c>
      <c r="V43">
        <v>0.60502</v>
      </c>
      <c r="W43">
        <v>0.68230000000000002</v>
      </c>
      <c r="X43">
        <v>0.72118000000000004</v>
      </c>
      <c r="Y43">
        <v>0.83228999999999997</v>
      </c>
      <c r="Z43">
        <v>0.76385000000000003</v>
      </c>
      <c r="AA43">
        <v>0.83252000000000004</v>
      </c>
      <c r="AB43">
        <v>0.83260000000000001</v>
      </c>
      <c r="AC43">
        <v>0.92774999999999996</v>
      </c>
      <c r="AD43">
        <v>0.90381</v>
      </c>
      <c r="AE43">
        <v>0.82840999999999998</v>
      </c>
      <c r="AF43">
        <v>0.97579000000000005</v>
      </c>
      <c r="AG43">
        <v>1.0164</v>
      </c>
      <c r="AH43">
        <v>1.0599700000000001</v>
      </c>
      <c r="AI43">
        <v>1.06836</v>
      </c>
      <c r="AJ43">
        <v>1.0698099999999999</v>
      </c>
      <c r="AK43">
        <v>0.94342999999999999</v>
      </c>
      <c r="AL43">
        <v>1.1417600000000001</v>
      </c>
      <c r="AM43">
        <v>1.2597100000000001</v>
      </c>
      <c r="AN43">
        <v>1.0791599999999999</v>
      </c>
      <c r="AO43">
        <v>1.3070900000000001</v>
      </c>
      <c r="AP43">
        <v>1.3886799999999999</v>
      </c>
      <c r="AQ43">
        <v>1.2194799999999999</v>
      </c>
      <c r="AR43">
        <v>1.44038</v>
      </c>
      <c r="AS43">
        <v>1.48672</v>
      </c>
      <c r="AT43">
        <v>1.5263</v>
      </c>
      <c r="AU43">
        <v>1.52054</v>
      </c>
      <c r="AV43">
        <v>1.45268</v>
      </c>
      <c r="AW43">
        <v>1.9070400000000001</v>
      </c>
      <c r="AX43">
        <v>1.92336</v>
      </c>
      <c r="AY43">
        <v>1.9543699999999999</v>
      </c>
      <c r="AZ43">
        <v>1.9660599999999999</v>
      </c>
      <c r="BA43">
        <v>1.98299</v>
      </c>
      <c r="BB43">
        <v>2.0524</v>
      </c>
      <c r="BC43">
        <v>2.0913400000000002</v>
      </c>
      <c r="BD43">
        <v>2.1108099999999999</v>
      </c>
      <c r="BE43">
        <v>2.0220400000000001</v>
      </c>
      <c r="BF43">
        <v>2.1718799999999998</v>
      </c>
      <c r="BG43">
        <v>2.16689</v>
      </c>
      <c r="BH43">
        <v>2.1671499999999999</v>
      </c>
      <c r="BI43">
        <v>2.1559200000000001</v>
      </c>
      <c r="BJ43">
        <v>2.1559300000000001</v>
      </c>
      <c r="BK43">
        <v>2.1650900000000002</v>
      </c>
      <c r="BL43">
        <v>2.1508600000000002</v>
      </c>
      <c r="BM43">
        <v>2.1442000000000001</v>
      </c>
      <c r="BN43">
        <v>2.1298599999999999</v>
      </c>
      <c r="BO43">
        <v>2.0975700000000002</v>
      </c>
      <c r="BP43">
        <v>2.1248900000000002</v>
      </c>
      <c r="BQ43">
        <v>2.1248999999999998</v>
      </c>
      <c r="BR43">
        <v>2.1284900000000002</v>
      </c>
      <c r="BS43">
        <v>2.1284999999999998</v>
      </c>
      <c r="BT43">
        <v>2.1285099999999999</v>
      </c>
      <c r="BW43">
        <v>2.1235400000000002</v>
      </c>
      <c r="BX43">
        <v>2.1259600000000001</v>
      </c>
      <c r="BY43">
        <v>2.1189</v>
      </c>
      <c r="BZ43">
        <v>2.11164</v>
      </c>
      <c r="CA43">
        <v>2.11165</v>
      </c>
      <c r="CB43">
        <v>2.11165</v>
      </c>
      <c r="CC43">
        <v>2.11395</v>
      </c>
      <c r="CD43">
        <v>2.11395</v>
      </c>
      <c r="CE43">
        <v>2.1083500000000002</v>
      </c>
      <c r="CF43">
        <v>2.1083500000000002</v>
      </c>
      <c r="CG43">
        <v>2.1083599999999998</v>
      </c>
      <c r="CH43">
        <v>2.1083599999999998</v>
      </c>
      <c r="CI43">
        <v>2.1061299999999998</v>
      </c>
      <c r="CJ43">
        <v>2.09877</v>
      </c>
      <c r="CK43">
        <v>2.1017100000000002</v>
      </c>
      <c r="CL43">
        <v>2.1017100000000002</v>
      </c>
      <c r="CM43">
        <v>2.1017199999999998</v>
      </c>
      <c r="CN43">
        <v>2.1017199999999998</v>
      </c>
      <c r="CO43">
        <v>2.10379</v>
      </c>
      <c r="CP43">
        <v>2.10114</v>
      </c>
      <c r="CQ43">
        <v>2.0934499999999998</v>
      </c>
      <c r="CS43">
        <v>2.0937299999999999</v>
      </c>
      <c r="CT43">
        <v>2.0802700000000001</v>
      </c>
      <c r="CU43">
        <v>2.0802700000000001</v>
      </c>
      <c r="CV43">
        <v>2.0802800000000001</v>
      </c>
      <c r="CW43">
        <v>2.08128</v>
      </c>
      <c r="CX43">
        <v>2.08128</v>
      </c>
      <c r="CY43">
        <v>2.0787800000000001</v>
      </c>
      <c r="CZ43">
        <v>2.0737899999999998</v>
      </c>
      <c r="DA43">
        <v>2.0712899999999999</v>
      </c>
      <c r="DB43">
        <v>2.0712999999999999</v>
      </c>
      <c r="DC43">
        <v>1.9891399999999999</v>
      </c>
    </row>
    <row r="44" spans="1:107" x14ac:dyDescent="0.25">
      <c r="A44">
        <f t="shared" si="0"/>
        <v>4</v>
      </c>
      <c r="B44" s="2">
        <v>42067</v>
      </c>
      <c r="D44">
        <v>0.55335999999999996</v>
      </c>
      <c r="E44">
        <v>0.62619000000000002</v>
      </c>
      <c r="F44">
        <v>0.64551999999999998</v>
      </c>
      <c r="G44">
        <v>0.68515000000000004</v>
      </c>
      <c r="H44">
        <v>0.66213999999999995</v>
      </c>
      <c r="I44">
        <v>0.61987999999999999</v>
      </c>
      <c r="J44">
        <v>0.67451000000000005</v>
      </c>
      <c r="K44">
        <v>0.64512999999999998</v>
      </c>
      <c r="L44">
        <v>0.66747000000000001</v>
      </c>
      <c r="M44">
        <v>0.69159000000000004</v>
      </c>
      <c r="N44">
        <v>0.62061999999999995</v>
      </c>
      <c r="O44">
        <v>0.74231000000000003</v>
      </c>
      <c r="P44">
        <v>0.73619000000000001</v>
      </c>
      <c r="Q44">
        <v>0.65459999999999996</v>
      </c>
      <c r="R44">
        <v>0.67944000000000004</v>
      </c>
      <c r="S44">
        <v>0.74319999999999997</v>
      </c>
      <c r="T44">
        <v>0.78315000000000001</v>
      </c>
      <c r="U44">
        <v>0.72082000000000002</v>
      </c>
      <c r="V44">
        <v>0.70674000000000003</v>
      </c>
      <c r="W44">
        <v>0.78332999999999997</v>
      </c>
      <c r="X44">
        <v>0.81272</v>
      </c>
      <c r="Y44">
        <v>0.93371000000000004</v>
      </c>
      <c r="Z44">
        <v>0.86199000000000003</v>
      </c>
      <c r="AA44">
        <v>0.93557999999999997</v>
      </c>
      <c r="AB44">
        <v>0.93457999999999997</v>
      </c>
      <c r="AC44">
        <v>1.0286999999999999</v>
      </c>
      <c r="AD44">
        <v>0.99024000000000001</v>
      </c>
      <c r="AE44">
        <v>0.92995000000000005</v>
      </c>
      <c r="AF44">
        <v>1.07517</v>
      </c>
      <c r="AG44">
        <v>1.1069599999999999</v>
      </c>
      <c r="AH44">
        <v>1.15602</v>
      </c>
      <c r="AI44">
        <v>1.14577</v>
      </c>
      <c r="AJ44">
        <v>1.1609</v>
      </c>
      <c r="AK44">
        <v>1.04121</v>
      </c>
      <c r="AL44">
        <v>1.2352399999999999</v>
      </c>
      <c r="AM44">
        <v>1.3421400000000001</v>
      </c>
      <c r="AN44">
        <v>1.15985</v>
      </c>
      <c r="AO44">
        <v>1.3918699999999999</v>
      </c>
      <c r="AP44">
        <v>1.4764299999999999</v>
      </c>
      <c r="AQ44">
        <v>1.3061700000000001</v>
      </c>
      <c r="AR44">
        <v>1.52274</v>
      </c>
      <c r="AS44">
        <v>1.56898</v>
      </c>
      <c r="AT44">
        <v>1.60378</v>
      </c>
      <c r="AU44">
        <v>1.59934</v>
      </c>
      <c r="AV44">
        <v>1.53095</v>
      </c>
      <c r="AW44">
        <v>1.98332</v>
      </c>
      <c r="AX44">
        <v>1.99884</v>
      </c>
      <c r="AY44">
        <v>2.0309499999999998</v>
      </c>
      <c r="AZ44">
        <v>2.04175</v>
      </c>
      <c r="BA44">
        <v>2.0627499999999999</v>
      </c>
      <c r="BB44">
        <v>2.12086</v>
      </c>
      <c r="BC44">
        <v>2.1556099999999998</v>
      </c>
      <c r="BD44">
        <v>2.18031</v>
      </c>
      <c r="BE44">
        <v>2.0944199999999999</v>
      </c>
      <c r="BF44">
        <v>2.2364199999999999</v>
      </c>
      <c r="BG44">
        <v>2.2314400000000001</v>
      </c>
      <c r="BH44">
        <v>2.2310400000000001</v>
      </c>
      <c r="BI44">
        <v>2.2214900000000002</v>
      </c>
      <c r="BJ44">
        <v>2.2215099999999999</v>
      </c>
      <c r="BK44">
        <v>2.2306699999999999</v>
      </c>
      <c r="BL44">
        <v>2.2115499999999999</v>
      </c>
      <c r="BM44">
        <v>2.2098</v>
      </c>
      <c r="BN44">
        <v>2.2015600000000002</v>
      </c>
      <c r="BO44">
        <v>2.16215</v>
      </c>
      <c r="BP44">
        <v>2.18926</v>
      </c>
      <c r="BQ44">
        <v>2.18927</v>
      </c>
      <c r="BR44">
        <v>2.2107700000000001</v>
      </c>
      <c r="BS44">
        <v>2.2107899999999998</v>
      </c>
      <c r="BT44">
        <v>2.2107999999999999</v>
      </c>
      <c r="BW44">
        <v>2.18919</v>
      </c>
      <c r="BX44">
        <v>2.1916099999999998</v>
      </c>
      <c r="BY44">
        <v>2.18363</v>
      </c>
      <c r="BZ44">
        <v>2.1760600000000001</v>
      </c>
      <c r="CA44">
        <v>2.1760799999999998</v>
      </c>
      <c r="CB44">
        <v>2.1760899999999999</v>
      </c>
      <c r="CC44">
        <v>2.18167</v>
      </c>
      <c r="CD44">
        <v>2.1816800000000001</v>
      </c>
      <c r="CE44">
        <v>2.17503</v>
      </c>
      <c r="CF44">
        <v>2.1750400000000001</v>
      </c>
      <c r="CG44">
        <v>2.1750500000000001</v>
      </c>
      <c r="CH44">
        <v>2.1715399999999998</v>
      </c>
      <c r="CI44">
        <v>2.1682000000000001</v>
      </c>
      <c r="CJ44">
        <v>2.16323</v>
      </c>
      <c r="CK44">
        <v>2.1661800000000002</v>
      </c>
      <c r="CL44">
        <v>2.1615799999999998</v>
      </c>
      <c r="CM44">
        <v>2.1615899999999999</v>
      </c>
      <c r="CN44">
        <v>2.1693699999999998</v>
      </c>
      <c r="CO44">
        <v>2.1645400000000001</v>
      </c>
      <c r="CP44">
        <v>2.1668799999999999</v>
      </c>
      <c r="CQ44">
        <v>2.15794</v>
      </c>
      <c r="CS44">
        <v>2.1594600000000002</v>
      </c>
      <c r="CT44">
        <v>2.1441400000000002</v>
      </c>
      <c r="CU44">
        <v>2.1441499999999998</v>
      </c>
      <c r="CV44">
        <v>2.1441599999999998</v>
      </c>
      <c r="CW44">
        <v>2.1470199999999999</v>
      </c>
      <c r="CX44">
        <v>2.1470199999999999</v>
      </c>
      <c r="CY44">
        <v>2.14453</v>
      </c>
      <c r="CZ44">
        <v>2.1395400000000002</v>
      </c>
      <c r="DA44">
        <v>2.1370499999999999</v>
      </c>
      <c r="DB44">
        <v>2.1370499999999999</v>
      </c>
      <c r="DC44">
        <v>2.0536699999999999</v>
      </c>
    </row>
    <row r="45" spans="1:107" x14ac:dyDescent="0.25">
      <c r="A45">
        <f t="shared" si="0"/>
        <v>5</v>
      </c>
      <c r="B45" s="2">
        <v>42068</v>
      </c>
      <c r="D45">
        <v>0.46842</v>
      </c>
      <c r="E45">
        <v>0.61746000000000001</v>
      </c>
      <c r="F45">
        <v>0.64541999999999999</v>
      </c>
      <c r="G45">
        <v>0.65136000000000005</v>
      </c>
      <c r="H45">
        <v>0.67425999999999997</v>
      </c>
      <c r="I45">
        <v>0.62075999999999998</v>
      </c>
      <c r="J45">
        <v>0.68435000000000001</v>
      </c>
      <c r="K45">
        <v>0.65644000000000002</v>
      </c>
      <c r="L45">
        <v>0.67859999999999998</v>
      </c>
      <c r="M45">
        <v>0.70345999999999997</v>
      </c>
      <c r="N45">
        <v>0.63241999999999998</v>
      </c>
      <c r="O45">
        <v>0.75336999999999998</v>
      </c>
      <c r="P45">
        <v>0.74685999999999997</v>
      </c>
      <c r="Q45">
        <v>0.66859999999999997</v>
      </c>
      <c r="R45">
        <v>0.69211999999999996</v>
      </c>
      <c r="S45">
        <v>0.75649999999999995</v>
      </c>
      <c r="T45">
        <v>0.79691999999999996</v>
      </c>
      <c r="U45">
        <v>0.74109999999999998</v>
      </c>
      <c r="V45">
        <v>0.72777000000000003</v>
      </c>
      <c r="W45">
        <v>0.80335000000000001</v>
      </c>
      <c r="X45">
        <v>0.84184999999999999</v>
      </c>
      <c r="Y45">
        <v>0.95418000000000003</v>
      </c>
      <c r="Z45">
        <v>0.88048000000000004</v>
      </c>
      <c r="AA45">
        <v>0.95396999999999998</v>
      </c>
      <c r="AB45">
        <v>0.95299</v>
      </c>
      <c r="AC45">
        <v>1.0286200000000001</v>
      </c>
      <c r="AD45">
        <v>1.0212300000000001</v>
      </c>
      <c r="AE45">
        <v>0.94496999999999998</v>
      </c>
      <c r="AF45">
        <v>1.09158</v>
      </c>
      <c r="AG45">
        <v>1.1169100000000001</v>
      </c>
      <c r="AH45">
        <v>1.1770700000000001</v>
      </c>
      <c r="AI45">
        <v>1.1671</v>
      </c>
      <c r="AJ45">
        <v>1.18231</v>
      </c>
      <c r="AK45">
        <v>1.0622199999999999</v>
      </c>
      <c r="AL45">
        <v>1.25644</v>
      </c>
      <c r="AM45">
        <v>1.37086</v>
      </c>
      <c r="AN45">
        <v>1.19716</v>
      </c>
      <c r="AO45">
        <v>1.421</v>
      </c>
      <c r="AP45">
        <v>1.50038</v>
      </c>
      <c r="AQ45">
        <v>1.3364400000000001</v>
      </c>
      <c r="AR45">
        <v>1.5466800000000001</v>
      </c>
      <c r="AS45">
        <v>1.5874999999999999</v>
      </c>
      <c r="AT45">
        <v>1.62165</v>
      </c>
      <c r="AU45">
        <v>1.6154999999999999</v>
      </c>
      <c r="AV45">
        <v>1.54573</v>
      </c>
      <c r="AW45">
        <v>2.0080200000000001</v>
      </c>
      <c r="AX45">
        <v>2.0246400000000002</v>
      </c>
      <c r="AY45">
        <v>2.0523400000000001</v>
      </c>
      <c r="AZ45">
        <v>2.0676199999999998</v>
      </c>
      <c r="BA45">
        <v>2.0834199999999998</v>
      </c>
      <c r="BB45">
        <v>2.1476999999999999</v>
      </c>
      <c r="BC45">
        <v>2.1924199999999998</v>
      </c>
      <c r="BD45">
        <v>2.2107600000000001</v>
      </c>
      <c r="BE45">
        <v>2.1160399999999999</v>
      </c>
      <c r="BF45">
        <v>2.26248</v>
      </c>
      <c r="BG45">
        <v>2.2574999999999998</v>
      </c>
      <c r="BH45">
        <v>2.2573599999999998</v>
      </c>
      <c r="BI45">
        <v>2.24234</v>
      </c>
      <c r="BJ45">
        <v>2.2465700000000002</v>
      </c>
      <c r="BK45">
        <v>2.2566600000000001</v>
      </c>
      <c r="BL45">
        <v>2.2366100000000002</v>
      </c>
      <c r="BM45">
        <v>2.2357900000000002</v>
      </c>
      <c r="BN45">
        <v>2.2220900000000001</v>
      </c>
      <c r="BO45">
        <v>2.1907100000000002</v>
      </c>
      <c r="BP45">
        <v>2.21712</v>
      </c>
      <c r="BQ45">
        <v>2.2171400000000001</v>
      </c>
      <c r="BR45">
        <v>2.2138100000000001</v>
      </c>
      <c r="BS45">
        <v>2.2138300000000002</v>
      </c>
      <c r="BT45">
        <v>2.2138399999999998</v>
      </c>
      <c r="BW45">
        <v>2.21055</v>
      </c>
      <c r="BX45">
        <v>2.2142599999999999</v>
      </c>
      <c r="BY45">
        <v>2.21129</v>
      </c>
      <c r="BZ45">
        <v>2.2039300000000002</v>
      </c>
      <c r="CA45">
        <v>2.2039399999999998</v>
      </c>
      <c r="CB45">
        <v>2.2039499999999999</v>
      </c>
      <c r="CC45">
        <v>2.20635</v>
      </c>
      <c r="CD45">
        <v>2.2063600000000001</v>
      </c>
      <c r="CE45">
        <v>2.20065</v>
      </c>
      <c r="CF45">
        <v>2.2006600000000001</v>
      </c>
      <c r="CG45">
        <v>2.2006700000000001</v>
      </c>
      <c r="CH45">
        <v>2.1993900000000002</v>
      </c>
      <c r="CI45">
        <v>2.1969799999999999</v>
      </c>
      <c r="CJ45">
        <v>2.1938599999999999</v>
      </c>
      <c r="CK45">
        <v>2.19129</v>
      </c>
      <c r="CL45">
        <v>2.19129</v>
      </c>
      <c r="CM45">
        <v>2.1913</v>
      </c>
      <c r="CN45">
        <v>2.19407</v>
      </c>
      <c r="CO45">
        <v>2.1964700000000001</v>
      </c>
      <c r="CP45">
        <v>2.1890800000000001</v>
      </c>
      <c r="CQ45">
        <v>2.1944699999999999</v>
      </c>
      <c r="CS45">
        <v>2.1869200000000002</v>
      </c>
      <c r="CT45">
        <v>2.1793999999999998</v>
      </c>
      <c r="CU45">
        <v>2.1794099999999998</v>
      </c>
      <c r="CV45">
        <v>2.1794099999999998</v>
      </c>
      <c r="CW45">
        <v>2.1663899999999998</v>
      </c>
      <c r="CX45">
        <v>2.1663899999999998</v>
      </c>
      <c r="CY45">
        <v>2.1638999999999999</v>
      </c>
      <c r="CZ45">
        <v>2.16391</v>
      </c>
      <c r="DA45">
        <v>2.1649699999999998</v>
      </c>
      <c r="DB45">
        <v>2.1649799999999999</v>
      </c>
      <c r="DC45">
        <v>2.08087</v>
      </c>
    </row>
    <row r="46" spans="1:107" x14ac:dyDescent="0.25">
      <c r="A46">
        <f t="shared" si="0"/>
        <v>6</v>
      </c>
      <c r="B46" s="2">
        <v>42069</v>
      </c>
      <c r="D46">
        <v>0.43822</v>
      </c>
      <c r="E46">
        <v>0.60936000000000001</v>
      </c>
      <c r="F46">
        <v>0.65503</v>
      </c>
      <c r="G46">
        <v>0.64951999999999999</v>
      </c>
      <c r="H46">
        <v>0.67745999999999995</v>
      </c>
      <c r="I46">
        <v>0.61275999999999997</v>
      </c>
      <c r="J46">
        <v>0.68925000000000003</v>
      </c>
      <c r="K46">
        <v>0.6603</v>
      </c>
      <c r="L46">
        <v>0.68252000000000002</v>
      </c>
      <c r="M46">
        <v>0.69057000000000002</v>
      </c>
      <c r="N46">
        <v>0.62865000000000004</v>
      </c>
      <c r="O46">
        <v>0.76773999999999998</v>
      </c>
      <c r="P46">
        <v>0.75890000000000002</v>
      </c>
      <c r="Q46">
        <v>0.67874000000000001</v>
      </c>
      <c r="R46">
        <v>0.68528999999999995</v>
      </c>
      <c r="S46">
        <v>0.73843000000000003</v>
      </c>
      <c r="T46">
        <v>0.80435999999999996</v>
      </c>
      <c r="U46">
        <v>0.75012999999999996</v>
      </c>
      <c r="V46">
        <v>0.73668</v>
      </c>
      <c r="W46">
        <v>0.81005000000000005</v>
      </c>
      <c r="X46">
        <v>0.85002</v>
      </c>
      <c r="Y46">
        <v>0.98884000000000005</v>
      </c>
      <c r="Z46">
        <v>0.92229000000000005</v>
      </c>
      <c r="AA46">
        <v>0.99656999999999996</v>
      </c>
      <c r="AB46">
        <v>0.99429999999999996</v>
      </c>
      <c r="AC46">
        <v>1.07742</v>
      </c>
      <c r="AD46">
        <v>1.0717300000000001</v>
      </c>
      <c r="AE46">
        <v>0.99856</v>
      </c>
      <c r="AF46">
        <v>1.1415500000000001</v>
      </c>
      <c r="AG46">
        <v>1.17448</v>
      </c>
      <c r="AH46">
        <v>1.23132</v>
      </c>
      <c r="AI46">
        <v>1.2295499999999999</v>
      </c>
      <c r="AJ46">
        <v>1.2388300000000001</v>
      </c>
      <c r="AK46">
        <v>1.11731</v>
      </c>
      <c r="AL46">
        <v>1.3122799999999999</v>
      </c>
      <c r="AM46">
        <v>1.4336899999999999</v>
      </c>
      <c r="AN46">
        <v>1.2515099999999999</v>
      </c>
      <c r="AO46">
        <v>1.48895</v>
      </c>
      <c r="AP46">
        <v>1.5825</v>
      </c>
      <c r="AQ46">
        <v>1.4168799999999999</v>
      </c>
      <c r="AR46">
        <v>1.6288100000000001</v>
      </c>
      <c r="AS46">
        <v>1.6723399999999999</v>
      </c>
      <c r="AT46">
        <v>1.70587</v>
      </c>
      <c r="AU46">
        <v>1.70258</v>
      </c>
      <c r="AV46">
        <v>1.6398200000000001</v>
      </c>
      <c r="AW46">
        <v>2.0987</v>
      </c>
      <c r="AX46">
        <v>2.1151900000000001</v>
      </c>
      <c r="AY46">
        <v>2.14621</v>
      </c>
      <c r="AZ46">
        <v>2.1640100000000002</v>
      </c>
      <c r="BA46">
        <v>2.1790099999999999</v>
      </c>
      <c r="BB46">
        <v>2.2355900000000002</v>
      </c>
      <c r="BC46">
        <v>2.2704499999999999</v>
      </c>
      <c r="BD46">
        <v>2.30735</v>
      </c>
      <c r="BE46">
        <v>2.2183099999999998</v>
      </c>
      <c r="BF46">
        <v>2.3630499999999999</v>
      </c>
      <c r="BG46">
        <v>2.3580700000000001</v>
      </c>
      <c r="BH46">
        <v>2.35785</v>
      </c>
      <c r="BI46">
        <v>2.3428399999999998</v>
      </c>
      <c r="BJ46">
        <v>2.34714</v>
      </c>
      <c r="BK46">
        <v>2.35792</v>
      </c>
      <c r="BL46">
        <v>2.33718</v>
      </c>
      <c r="BM46">
        <v>2.3362799999999999</v>
      </c>
      <c r="BN46">
        <v>2.3225899999999999</v>
      </c>
      <c r="BO46">
        <v>2.29358</v>
      </c>
      <c r="BP46">
        <v>2.3176199999999998</v>
      </c>
      <c r="BQ46">
        <v>2.3176399999999999</v>
      </c>
      <c r="BR46">
        <v>2.3143099999999999</v>
      </c>
      <c r="BS46">
        <v>2.31433</v>
      </c>
      <c r="BT46">
        <v>2.3143400000000001</v>
      </c>
      <c r="BW46">
        <v>2.3110499999999998</v>
      </c>
      <c r="BX46">
        <v>2.3180900000000002</v>
      </c>
      <c r="BY46">
        <v>2.3165900000000001</v>
      </c>
      <c r="BZ46">
        <v>2.30443</v>
      </c>
      <c r="CA46">
        <v>2.3044500000000001</v>
      </c>
      <c r="CB46">
        <v>2.3044600000000002</v>
      </c>
      <c r="CC46">
        <v>2.3076400000000001</v>
      </c>
      <c r="CD46">
        <v>2.3076500000000002</v>
      </c>
      <c r="CE46">
        <v>2.3033399999999999</v>
      </c>
      <c r="CF46">
        <v>2.3033600000000001</v>
      </c>
      <c r="CG46">
        <v>2.3033700000000001</v>
      </c>
      <c r="CH46">
        <v>2.2999700000000001</v>
      </c>
      <c r="CI46">
        <v>2.3000500000000001</v>
      </c>
      <c r="CJ46">
        <v>2.2942200000000001</v>
      </c>
      <c r="CK46">
        <v>2.2909600000000001</v>
      </c>
      <c r="CL46">
        <v>2.2909700000000002</v>
      </c>
      <c r="CM46">
        <v>2.2909799999999998</v>
      </c>
      <c r="CN46">
        <v>2.2909899999999999</v>
      </c>
      <c r="CO46">
        <v>2.2977599999999998</v>
      </c>
      <c r="CP46">
        <v>2.2835100000000002</v>
      </c>
      <c r="CQ46">
        <v>2.2954500000000002</v>
      </c>
      <c r="CS46">
        <v>2.2735300000000001</v>
      </c>
      <c r="CT46">
        <v>2.2735400000000001</v>
      </c>
      <c r="CU46">
        <v>2.2735500000000002</v>
      </c>
      <c r="CV46">
        <v>2.2735599999999998</v>
      </c>
      <c r="CW46">
        <v>2.26606</v>
      </c>
      <c r="CX46">
        <v>2.26607</v>
      </c>
      <c r="CY46">
        <v>2.2635800000000001</v>
      </c>
      <c r="CZ46">
        <v>2.2635900000000002</v>
      </c>
      <c r="DA46">
        <v>2.2560899999999999</v>
      </c>
      <c r="DB46">
        <v>2.2561</v>
      </c>
    </row>
    <row r="47" spans="1:107" x14ac:dyDescent="0.25">
      <c r="A47">
        <f t="shared" si="0"/>
        <v>2</v>
      </c>
      <c r="B47" s="2">
        <v>42072</v>
      </c>
      <c r="D47">
        <v>0.51898</v>
      </c>
      <c r="E47">
        <v>0.6079</v>
      </c>
      <c r="F47">
        <v>0.66734000000000004</v>
      </c>
      <c r="G47">
        <v>0.66081999999999996</v>
      </c>
      <c r="H47">
        <v>0.67486999999999997</v>
      </c>
      <c r="I47">
        <v>0.60097999999999996</v>
      </c>
      <c r="J47">
        <v>0.69806000000000001</v>
      </c>
      <c r="K47">
        <v>0.64493999999999996</v>
      </c>
      <c r="L47">
        <v>0.65569999999999995</v>
      </c>
      <c r="M47">
        <v>0.67323</v>
      </c>
      <c r="N47">
        <v>0.60960000000000003</v>
      </c>
      <c r="O47">
        <v>0.73975999999999997</v>
      </c>
      <c r="P47">
        <v>0.71031999999999995</v>
      </c>
      <c r="Q47">
        <v>0.65756000000000003</v>
      </c>
      <c r="R47">
        <v>0.67137000000000002</v>
      </c>
      <c r="S47">
        <v>0.74207999999999996</v>
      </c>
      <c r="T47">
        <v>0.77629000000000004</v>
      </c>
      <c r="U47">
        <v>0.74722</v>
      </c>
      <c r="V47">
        <v>0.71240000000000003</v>
      </c>
      <c r="W47">
        <v>0.78588999999999998</v>
      </c>
      <c r="X47">
        <v>0.82501000000000002</v>
      </c>
      <c r="Y47">
        <v>0.95837000000000006</v>
      </c>
      <c r="Z47">
        <v>0.88949</v>
      </c>
      <c r="AA47">
        <v>0.96253</v>
      </c>
      <c r="AB47">
        <v>0.96157999999999999</v>
      </c>
      <c r="AC47">
        <v>1.05965</v>
      </c>
      <c r="AD47">
        <v>1.03704</v>
      </c>
      <c r="AE47">
        <v>0.96338000000000001</v>
      </c>
      <c r="AF47">
        <v>1.1064000000000001</v>
      </c>
      <c r="AG47">
        <v>1.1408</v>
      </c>
      <c r="AH47">
        <v>1.1975899999999999</v>
      </c>
      <c r="AI47">
        <v>1.19339</v>
      </c>
      <c r="AJ47">
        <v>1.1992100000000001</v>
      </c>
      <c r="AK47">
        <v>1.0806199999999999</v>
      </c>
      <c r="AL47">
        <v>1.27677</v>
      </c>
      <c r="AM47">
        <v>1.4019299999999999</v>
      </c>
      <c r="AN47">
        <v>1.2162500000000001</v>
      </c>
      <c r="AO47">
        <v>1.4569700000000001</v>
      </c>
      <c r="AP47">
        <v>1.5569900000000001</v>
      </c>
      <c r="AQ47">
        <v>1.38358</v>
      </c>
      <c r="AR47">
        <v>1.60103</v>
      </c>
      <c r="AS47">
        <v>1.64595</v>
      </c>
      <c r="AT47">
        <v>1.6776899999999999</v>
      </c>
      <c r="AU47">
        <v>1.67177</v>
      </c>
      <c r="AV47">
        <v>1.60991</v>
      </c>
      <c r="AW47">
        <v>2.0841400000000001</v>
      </c>
      <c r="AX47">
        <v>2.1016699999999999</v>
      </c>
      <c r="AY47">
        <v>2.1290499999999999</v>
      </c>
      <c r="AZ47">
        <v>2.1417799999999998</v>
      </c>
      <c r="BA47">
        <v>2.1584099999999999</v>
      </c>
      <c r="BB47">
        <v>2.2175199999999999</v>
      </c>
      <c r="BC47">
        <v>2.2564000000000002</v>
      </c>
      <c r="BD47">
        <v>2.2921299999999998</v>
      </c>
      <c r="BE47">
        <v>2.2037499999999999</v>
      </c>
      <c r="BF47">
        <v>2.3508399999999998</v>
      </c>
      <c r="BG47">
        <v>2.34585</v>
      </c>
      <c r="BH47">
        <v>2.3473899999999999</v>
      </c>
      <c r="BI47">
        <v>2.3348800000000001</v>
      </c>
      <c r="BJ47">
        <v>2.3348900000000001</v>
      </c>
      <c r="BK47">
        <v>2.3298999999999999</v>
      </c>
      <c r="BL47">
        <v>2.3249200000000001</v>
      </c>
      <c r="BM47">
        <v>2.3199299999999998</v>
      </c>
      <c r="BN47">
        <v>2.2999499999999999</v>
      </c>
      <c r="BO47">
        <v>2.2810000000000001</v>
      </c>
      <c r="BP47">
        <v>2.29596</v>
      </c>
      <c r="BQ47">
        <v>2.2959700000000001</v>
      </c>
      <c r="BR47">
        <v>2.2909799999999998</v>
      </c>
      <c r="BS47">
        <v>2.2909799999999998</v>
      </c>
      <c r="BT47">
        <v>2.2909899999999999</v>
      </c>
      <c r="BW47">
        <v>2.3010100000000002</v>
      </c>
      <c r="BX47">
        <v>2.3010100000000002</v>
      </c>
      <c r="BY47">
        <v>2.2928700000000002</v>
      </c>
      <c r="BZ47">
        <v>2.2895599999999998</v>
      </c>
      <c r="CA47">
        <v>2.2895599999999998</v>
      </c>
      <c r="CB47">
        <v>2.2895699999999999</v>
      </c>
      <c r="CC47">
        <v>2.2895799999999999</v>
      </c>
      <c r="CD47">
        <v>2.2895799999999999</v>
      </c>
      <c r="CE47">
        <v>2.28626</v>
      </c>
      <c r="CF47">
        <v>2.28627</v>
      </c>
      <c r="CG47">
        <v>2.28627</v>
      </c>
      <c r="CH47">
        <v>2.28613</v>
      </c>
      <c r="CI47">
        <v>2.28633</v>
      </c>
      <c r="CJ47">
        <v>2.2811300000000001</v>
      </c>
      <c r="CK47">
        <v>2.2761100000000001</v>
      </c>
      <c r="CL47">
        <v>2.2761200000000001</v>
      </c>
      <c r="CM47">
        <v>2.2761200000000001</v>
      </c>
      <c r="CN47">
        <v>2.2796400000000001</v>
      </c>
      <c r="CO47">
        <v>2.2779799999999999</v>
      </c>
      <c r="CP47">
        <v>2.26864</v>
      </c>
      <c r="CQ47">
        <v>2.27298</v>
      </c>
      <c r="CS47">
        <v>2.2736100000000001</v>
      </c>
      <c r="CT47">
        <v>2.2659899999999999</v>
      </c>
      <c r="CU47">
        <v>2.2659899999999999</v>
      </c>
      <c r="CV47">
        <v>2.266</v>
      </c>
      <c r="CW47">
        <v>2.2631600000000001</v>
      </c>
      <c r="CX47">
        <v>2.2631600000000001</v>
      </c>
      <c r="CY47">
        <v>2.2606600000000001</v>
      </c>
      <c r="CZ47">
        <v>2.2486899999999999</v>
      </c>
      <c r="DA47">
        <v>2.25318</v>
      </c>
      <c r="DB47">
        <v>2.25318</v>
      </c>
      <c r="DC47">
        <v>2.1713900000000002</v>
      </c>
    </row>
    <row r="48" spans="1:107" x14ac:dyDescent="0.25">
      <c r="A48">
        <f t="shared" si="0"/>
        <v>3</v>
      </c>
      <c r="B48" s="2">
        <v>42073</v>
      </c>
      <c r="D48">
        <v>0.46872999999999998</v>
      </c>
      <c r="E48">
        <v>0.59514999999999996</v>
      </c>
      <c r="F48">
        <v>0.67218999999999995</v>
      </c>
      <c r="G48">
        <v>0.62787000000000004</v>
      </c>
      <c r="H48">
        <v>0.65673999999999999</v>
      </c>
      <c r="I48">
        <v>0.60055999999999998</v>
      </c>
      <c r="J48">
        <v>0.68813000000000002</v>
      </c>
      <c r="K48">
        <v>0.63080000000000003</v>
      </c>
      <c r="L48">
        <v>0.64605000000000001</v>
      </c>
      <c r="M48">
        <v>0.65830999999999995</v>
      </c>
      <c r="N48">
        <v>0.59887999999999997</v>
      </c>
      <c r="O48">
        <v>0.72582000000000002</v>
      </c>
      <c r="P48">
        <v>0.69877</v>
      </c>
      <c r="Q48">
        <v>0.65041000000000004</v>
      </c>
      <c r="R48">
        <v>0.66864000000000001</v>
      </c>
      <c r="S48">
        <v>0.73414000000000001</v>
      </c>
      <c r="T48">
        <v>0.76959999999999995</v>
      </c>
      <c r="U48">
        <v>0.71665000000000001</v>
      </c>
      <c r="V48">
        <v>0.70479000000000003</v>
      </c>
      <c r="W48">
        <v>0.78012999999999999</v>
      </c>
      <c r="X48">
        <v>0.81910000000000005</v>
      </c>
      <c r="Y48">
        <v>0.93983000000000005</v>
      </c>
      <c r="Z48">
        <v>0.86475999999999997</v>
      </c>
      <c r="AA48">
        <v>0.93630999999999998</v>
      </c>
      <c r="AB48">
        <v>0.93640999999999996</v>
      </c>
      <c r="AC48">
        <v>1.01572</v>
      </c>
      <c r="AD48">
        <v>1.0082899999999999</v>
      </c>
      <c r="AE48">
        <v>0.93389999999999995</v>
      </c>
      <c r="AF48">
        <v>1.08002</v>
      </c>
      <c r="AG48">
        <v>1.11239</v>
      </c>
      <c r="AH48">
        <v>1.1682999999999999</v>
      </c>
      <c r="AI48">
        <v>1.16625</v>
      </c>
      <c r="AJ48">
        <v>1.1726700000000001</v>
      </c>
      <c r="AK48">
        <v>1.05488</v>
      </c>
      <c r="AL48">
        <v>1.24736</v>
      </c>
      <c r="AM48">
        <v>1.36991</v>
      </c>
      <c r="AN48">
        <v>1.18706</v>
      </c>
      <c r="AO48">
        <v>1.42517</v>
      </c>
      <c r="AP48">
        <v>1.52092</v>
      </c>
      <c r="AQ48">
        <v>1.34901</v>
      </c>
      <c r="AR48">
        <v>1.5649599999999999</v>
      </c>
      <c r="AS48">
        <v>1.60789</v>
      </c>
      <c r="AT48">
        <v>1.6404099999999999</v>
      </c>
      <c r="AU48">
        <v>1.6335599999999999</v>
      </c>
      <c r="AV48">
        <v>1.5663800000000001</v>
      </c>
      <c r="AW48">
        <v>2.0468199999999999</v>
      </c>
      <c r="AX48">
        <v>2.0648599999999999</v>
      </c>
      <c r="AY48">
        <v>2.08989</v>
      </c>
      <c r="AZ48">
        <v>2.0982799999999999</v>
      </c>
      <c r="BA48">
        <v>2.1199699999999999</v>
      </c>
      <c r="BB48">
        <v>2.17957</v>
      </c>
      <c r="BC48">
        <v>2.21651</v>
      </c>
      <c r="BD48">
        <v>2.2585099999999998</v>
      </c>
      <c r="BE48">
        <v>2.16405</v>
      </c>
      <c r="BF48">
        <v>2.31134</v>
      </c>
      <c r="BG48">
        <v>2.3063500000000001</v>
      </c>
      <c r="BH48">
        <v>2.3077200000000002</v>
      </c>
      <c r="BI48">
        <v>2.2953800000000002</v>
      </c>
      <c r="BJ48">
        <v>2.2953899999999998</v>
      </c>
      <c r="BK48">
        <v>2.2904</v>
      </c>
      <c r="BL48">
        <v>2.2854199999999998</v>
      </c>
      <c r="BM48">
        <v>2.2804199999999999</v>
      </c>
      <c r="BN48">
        <v>2.26139</v>
      </c>
      <c r="BO48">
        <v>2.2421000000000002</v>
      </c>
      <c r="BP48">
        <v>2.2574000000000001</v>
      </c>
      <c r="BQ48">
        <v>2.2574100000000001</v>
      </c>
      <c r="BR48">
        <v>2.2524199999999999</v>
      </c>
      <c r="BS48">
        <v>2.2524299999999999</v>
      </c>
      <c r="BT48">
        <v>2.25244</v>
      </c>
      <c r="BW48">
        <v>2.2571500000000002</v>
      </c>
      <c r="BX48">
        <v>2.2615099999999999</v>
      </c>
      <c r="BY48">
        <v>2.2538299999999998</v>
      </c>
      <c r="BZ48">
        <v>2.2505099999999998</v>
      </c>
      <c r="CA48">
        <v>2.2505199999999999</v>
      </c>
      <c r="CB48">
        <v>2.2505299999999999</v>
      </c>
      <c r="CC48">
        <v>2.2505299999999999</v>
      </c>
      <c r="CD48">
        <v>2.25054</v>
      </c>
      <c r="CE48">
        <v>2.24722</v>
      </c>
      <c r="CF48">
        <v>2.24722</v>
      </c>
      <c r="CG48">
        <v>2.2472300000000001</v>
      </c>
      <c r="CH48">
        <v>2.2465999999999999</v>
      </c>
      <c r="CI48">
        <v>2.2472799999999999</v>
      </c>
      <c r="CJ48">
        <v>2.2439499999999999</v>
      </c>
      <c r="CK48">
        <v>2.2375500000000001</v>
      </c>
      <c r="CL48">
        <v>2.2375600000000002</v>
      </c>
      <c r="CM48">
        <v>2.2375600000000002</v>
      </c>
      <c r="CN48">
        <v>2.2375699999999998</v>
      </c>
      <c r="CO48">
        <v>2.2350699999999999</v>
      </c>
      <c r="CP48">
        <v>2.2300800000000001</v>
      </c>
      <c r="CQ48">
        <v>2.23393</v>
      </c>
      <c r="CS48">
        <v>2.2341099999999998</v>
      </c>
      <c r="CT48">
        <v>2.2328600000000001</v>
      </c>
      <c r="CU48">
        <v>2.2328700000000001</v>
      </c>
      <c r="CV48">
        <v>2.2328700000000001</v>
      </c>
      <c r="CW48">
        <v>2.2256499999999999</v>
      </c>
      <c r="CX48">
        <v>2.2256499999999999</v>
      </c>
      <c r="CY48">
        <v>2.2231399999999999</v>
      </c>
      <c r="CZ48">
        <v>2.2101299999999999</v>
      </c>
      <c r="DA48">
        <v>2.2156600000000002</v>
      </c>
      <c r="DB48">
        <v>2.2156699999999998</v>
      </c>
      <c r="DC48">
        <v>2.1323400000000001</v>
      </c>
    </row>
    <row r="49" spans="1:107" x14ac:dyDescent="0.25">
      <c r="A49">
        <f t="shared" si="0"/>
        <v>4</v>
      </c>
      <c r="B49" s="2">
        <v>42074</v>
      </c>
      <c r="D49">
        <v>0.45452999999999999</v>
      </c>
      <c r="E49">
        <v>0.56989999999999996</v>
      </c>
      <c r="F49">
        <v>0.66420000000000001</v>
      </c>
      <c r="G49">
        <v>0.67159000000000002</v>
      </c>
      <c r="H49">
        <v>0.65778999999999999</v>
      </c>
      <c r="I49">
        <v>0.59787000000000001</v>
      </c>
      <c r="J49">
        <v>0.67432000000000003</v>
      </c>
      <c r="K49">
        <v>0.62563000000000002</v>
      </c>
      <c r="L49">
        <v>0.63768000000000002</v>
      </c>
      <c r="M49">
        <v>0.64988999999999997</v>
      </c>
      <c r="N49">
        <v>0.59491000000000005</v>
      </c>
      <c r="O49">
        <v>0.73541000000000001</v>
      </c>
      <c r="P49">
        <v>0.69167999999999996</v>
      </c>
      <c r="Q49">
        <v>0.64585999999999999</v>
      </c>
      <c r="R49">
        <v>0.65885000000000005</v>
      </c>
      <c r="S49">
        <v>0.73043999999999998</v>
      </c>
      <c r="T49">
        <v>0.76656000000000002</v>
      </c>
      <c r="U49">
        <v>0.70942000000000005</v>
      </c>
      <c r="V49">
        <v>0.69723999999999997</v>
      </c>
      <c r="W49">
        <v>0.77281999999999995</v>
      </c>
      <c r="X49">
        <v>0.81030000000000002</v>
      </c>
      <c r="Y49">
        <v>0.88983000000000001</v>
      </c>
      <c r="Z49">
        <v>0.83479999999999999</v>
      </c>
      <c r="AA49">
        <v>0.90776999999999997</v>
      </c>
      <c r="AB49">
        <v>0.90722000000000003</v>
      </c>
      <c r="AC49">
        <v>0.98280999999999996</v>
      </c>
      <c r="AD49">
        <v>0.97353000000000001</v>
      </c>
      <c r="AE49">
        <v>0.90036000000000005</v>
      </c>
      <c r="AF49">
        <v>1.0443100000000001</v>
      </c>
      <c r="AG49">
        <v>1.0706100000000001</v>
      </c>
      <c r="AH49">
        <v>1.13422</v>
      </c>
      <c r="AI49">
        <v>1.13026</v>
      </c>
      <c r="AJ49">
        <v>1.1365000000000001</v>
      </c>
      <c r="AK49">
        <v>1.0178100000000001</v>
      </c>
      <c r="AL49">
        <v>1.2128399999999999</v>
      </c>
      <c r="AM49">
        <v>1.3336699999999999</v>
      </c>
      <c r="AN49">
        <v>1.15476</v>
      </c>
      <c r="AO49">
        <v>1.3828199999999999</v>
      </c>
      <c r="AP49">
        <v>1.4729099999999999</v>
      </c>
      <c r="AQ49">
        <v>1.30185</v>
      </c>
      <c r="AR49">
        <v>1.5169900000000001</v>
      </c>
      <c r="AS49">
        <v>1.5614300000000001</v>
      </c>
      <c r="AT49">
        <v>1.59317</v>
      </c>
      <c r="AU49">
        <v>1.58649</v>
      </c>
      <c r="AV49">
        <v>1.52122</v>
      </c>
      <c r="AW49">
        <v>2.0059200000000001</v>
      </c>
      <c r="AX49">
        <v>2.0236800000000001</v>
      </c>
      <c r="AY49">
        <v>2.0500500000000001</v>
      </c>
      <c r="AZ49">
        <v>2.0562900000000002</v>
      </c>
      <c r="BA49">
        <v>2.0779800000000002</v>
      </c>
      <c r="BB49">
        <v>2.1392699999999998</v>
      </c>
      <c r="BC49">
        <v>2.1747200000000002</v>
      </c>
      <c r="BD49">
        <v>2.21272</v>
      </c>
      <c r="BE49">
        <v>2.1222400000000001</v>
      </c>
      <c r="BF49">
        <v>2.2700499999999999</v>
      </c>
      <c r="BG49">
        <v>2.2686600000000001</v>
      </c>
      <c r="BH49">
        <v>2.2687300000000001</v>
      </c>
      <c r="BI49">
        <v>2.2547100000000002</v>
      </c>
      <c r="BJ49">
        <v>2.2570199999999998</v>
      </c>
      <c r="BK49">
        <v>2.25204</v>
      </c>
      <c r="BL49">
        <v>2.2470699999999999</v>
      </c>
      <c r="BM49">
        <v>2.2420800000000001</v>
      </c>
      <c r="BN49">
        <v>2.2221099999999998</v>
      </c>
      <c r="BO49">
        <v>2.2024900000000001</v>
      </c>
      <c r="BP49">
        <v>2.2248199999999998</v>
      </c>
      <c r="BQ49">
        <v>2.2248299999999999</v>
      </c>
      <c r="BR49">
        <v>2.2131599999999998</v>
      </c>
      <c r="BS49">
        <v>2.2131699999999999</v>
      </c>
      <c r="BT49">
        <v>2.21319</v>
      </c>
      <c r="BW49">
        <v>2.2232099999999999</v>
      </c>
      <c r="BX49">
        <v>2.22322</v>
      </c>
      <c r="BY49">
        <v>2.2149299999999998</v>
      </c>
      <c r="BZ49">
        <v>2.2116199999999999</v>
      </c>
      <c r="CA49">
        <v>2.21163</v>
      </c>
      <c r="CB49">
        <v>2.2116500000000001</v>
      </c>
      <c r="CC49">
        <v>2.2116600000000002</v>
      </c>
      <c r="CD49">
        <v>2.2116699999999998</v>
      </c>
      <c r="CE49">
        <v>2.2083499999999998</v>
      </c>
      <c r="CF49">
        <v>2.2083599999999999</v>
      </c>
      <c r="CG49">
        <v>2.2083699999999999</v>
      </c>
      <c r="CH49">
        <v>2.20838</v>
      </c>
      <c r="CI49">
        <v>2.20784</v>
      </c>
      <c r="CJ49">
        <v>2.2011099999999999</v>
      </c>
      <c r="CK49">
        <v>2.1983700000000002</v>
      </c>
      <c r="CL49">
        <v>2.1983799999999998</v>
      </c>
      <c r="CM49">
        <v>2.1983899999999998</v>
      </c>
      <c r="CN49">
        <v>2.2017699999999998</v>
      </c>
      <c r="CO49">
        <v>2.19591</v>
      </c>
      <c r="CP49">
        <v>2.1909200000000002</v>
      </c>
      <c r="CQ49">
        <v>2.1951100000000001</v>
      </c>
      <c r="CS49">
        <v>2.1959</v>
      </c>
      <c r="CT49">
        <v>2.1988300000000001</v>
      </c>
      <c r="CU49">
        <v>2.1988400000000001</v>
      </c>
      <c r="CV49">
        <v>2.1988500000000002</v>
      </c>
      <c r="CW49">
        <v>2.1865199999999998</v>
      </c>
      <c r="CX49">
        <v>2.1865299999999999</v>
      </c>
      <c r="CY49">
        <v>2.1840199999999999</v>
      </c>
      <c r="CZ49">
        <v>2.1709900000000002</v>
      </c>
      <c r="DA49">
        <v>2.1765500000000002</v>
      </c>
      <c r="DB49">
        <v>2.1765500000000002</v>
      </c>
      <c r="DC49">
        <v>2.0935600000000001</v>
      </c>
    </row>
    <row r="50" spans="1:107" x14ac:dyDescent="0.25">
      <c r="A50">
        <f t="shared" si="0"/>
        <v>5</v>
      </c>
      <c r="B50" s="2">
        <v>42075</v>
      </c>
      <c r="D50">
        <v>7.9530000000000003E-2</v>
      </c>
      <c r="E50">
        <v>0.55105999999999999</v>
      </c>
      <c r="F50">
        <v>0.63980999999999999</v>
      </c>
      <c r="G50">
        <v>0.65825</v>
      </c>
      <c r="H50">
        <v>0.64426000000000005</v>
      </c>
      <c r="I50">
        <v>0.58601999999999999</v>
      </c>
      <c r="J50">
        <v>0.66444000000000003</v>
      </c>
      <c r="K50">
        <v>0.60851999999999995</v>
      </c>
      <c r="L50">
        <v>0.62214999999999998</v>
      </c>
      <c r="M50">
        <v>0.63798999999999995</v>
      </c>
      <c r="N50">
        <v>0.58250000000000002</v>
      </c>
      <c r="O50">
        <v>0.71786000000000005</v>
      </c>
      <c r="P50">
        <v>0.67693000000000003</v>
      </c>
      <c r="Q50">
        <v>0.63749</v>
      </c>
      <c r="R50">
        <v>0.65476000000000001</v>
      </c>
      <c r="S50">
        <v>0.71962000000000004</v>
      </c>
      <c r="T50">
        <v>0.77</v>
      </c>
      <c r="U50">
        <v>0.69671000000000005</v>
      </c>
      <c r="V50">
        <v>0.68520999999999999</v>
      </c>
      <c r="W50">
        <v>0.76259999999999994</v>
      </c>
      <c r="X50">
        <v>0.80095000000000005</v>
      </c>
      <c r="Y50">
        <v>0.88034999999999997</v>
      </c>
      <c r="Z50">
        <v>0.82606000000000002</v>
      </c>
      <c r="AA50">
        <v>0.89949000000000001</v>
      </c>
      <c r="AB50">
        <v>0.89820999999999995</v>
      </c>
      <c r="AC50">
        <v>0.97996000000000005</v>
      </c>
      <c r="AD50">
        <v>0.94264999999999999</v>
      </c>
      <c r="AE50">
        <v>0.88639000000000001</v>
      </c>
      <c r="AF50">
        <v>1.03223</v>
      </c>
      <c r="AG50">
        <v>1.06192</v>
      </c>
      <c r="AH50">
        <v>1.1206199999999999</v>
      </c>
      <c r="AI50">
        <v>1.10039</v>
      </c>
      <c r="AJ50">
        <v>1.1233200000000001</v>
      </c>
      <c r="AK50">
        <v>1.00423</v>
      </c>
      <c r="AL50">
        <v>1.1992700000000001</v>
      </c>
      <c r="AM50">
        <v>1.32524</v>
      </c>
      <c r="AN50">
        <v>1.14808</v>
      </c>
      <c r="AO50">
        <v>1.37409</v>
      </c>
      <c r="AP50">
        <v>1.46739</v>
      </c>
      <c r="AQ50">
        <v>1.30369</v>
      </c>
      <c r="AR50">
        <v>1.51146</v>
      </c>
      <c r="AS50">
        <v>1.5548</v>
      </c>
      <c r="AT50">
        <v>1.5871900000000001</v>
      </c>
      <c r="AU50">
        <v>1.58331</v>
      </c>
      <c r="AV50">
        <v>1.51566</v>
      </c>
      <c r="AW50">
        <v>1.99794</v>
      </c>
      <c r="AX50">
        <v>2.0144500000000001</v>
      </c>
      <c r="AY50">
        <v>2.04183</v>
      </c>
      <c r="AZ50">
        <v>2.0508199999999999</v>
      </c>
      <c r="BA50">
        <v>2.0758800000000002</v>
      </c>
      <c r="BB50">
        <v>2.13008</v>
      </c>
      <c r="BC50">
        <v>2.1669</v>
      </c>
      <c r="BD50">
        <v>2.2101600000000001</v>
      </c>
      <c r="BE50">
        <v>2.1046499999999999</v>
      </c>
      <c r="BF50">
        <v>2.2610199999999998</v>
      </c>
      <c r="BG50">
        <v>2.2577099999999999</v>
      </c>
      <c r="BH50">
        <v>2.25807</v>
      </c>
      <c r="BI50">
        <v>2.2444199999999999</v>
      </c>
      <c r="BJ50">
        <v>2.2478099999999999</v>
      </c>
      <c r="BK50">
        <v>2.2428300000000001</v>
      </c>
      <c r="BL50">
        <v>2.2378499999999999</v>
      </c>
      <c r="BM50">
        <v>2.2374900000000002</v>
      </c>
      <c r="BN50">
        <v>2.2128999999999999</v>
      </c>
      <c r="BO50">
        <v>2.19035</v>
      </c>
      <c r="BP50">
        <v>2.2155300000000002</v>
      </c>
      <c r="BQ50">
        <v>2.2155499999999999</v>
      </c>
      <c r="BR50">
        <v>2.2039399999999998</v>
      </c>
      <c r="BS50">
        <v>2.2039599999999999</v>
      </c>
      <c r="BT50">
        <v>2.20397</v>
      </c>
      <c r="BW50">
        <v>2.214</v>
      </c>
      <c r="BX50">
        <v>2.21401</v>
      </c>
      <c r="BY50">
        <v>2.2056499999999999</v>
      </c>
      <c r="BZ50">
        <v>2.20234</v>
      </c>
      <c r="CA50">
        <v>2.20235</v>
      </c>
      <c r="CB50">
        <v>2.2023600000000001</v>
      </c>
      <c r="CC50">
        <v>2.2023700000000002</v>
      </c>
      <c r="CD50">
        <v>2.2023799999999998</v>
      </c>
      <c r="CE50">
        <v>2.1990599999999998</v>
      </c>
      <c r="CF50">
        <v>2.1990699999999999</v>
      </c>
      <c r="CG50">
        <v>2.19909</v>
      </c>
      <c r="CH50">
        <v>2.19909</v>
      </c>
      <c r="CI50">
        <v>2.1983700000000002</v>
      </c>
      <c r="CJ50">
        <v>2.1917800000000001</v>
      </c>
      <c r="CK50">
        <v>2.1891600000000002</v>
      </c>
      <c r="CL50">
        <v>2.1891699999999998</v>
      </c>
      <c r="CM50">
        <v>2.1891799999999999</v>
      </c>
      <c r="CN50">
        <v>2.18919</v>
      </c>
      <c r="CO50">
        <v>2.18669</v>
      </c>
      <c r="CP50">
        <v>2.1817000000000002</v>
      </c>
      <c r="CQ50">
        <v>2.1858200000000001</v>
      </c>
      <c r="CS50">
        <v>2.18669</v>
      </c>
      <c r="CT50">
        <v>2.1905000000000001</v>
      </c>
      <c r="CU50">
        <v>2.1905100000000002</v>
      </c>
      <c r="CV50">
        <v>2.1905100000000002</v>
      </c>
      <c r="CW50">
        <v>2.1787399999999999</v>
      </c>
      <c r="CX50">
        <v>2.1787399999999999</v>
      </c>
      <c r="CY50">
        <v>2.17624</v>
      </c>
      <c r="CZ50">
        <v>2.1712699999999998</v>
      </c>
      <c r="DA50">
        <v>2.1687599999999998</v>
      </c>
      <c r="DB50">
        <v>2.1687699999999999</v>
      </c>
      <c r="DC50">
        <v>2.08081</v>
      </c>
    </row>
    <row r="51" spans="1:107" x14ac:dyDescent="0.25">
      <c r="A51">
        <f t="shared" si="0"/>
        <v>6</v>
      </c>
      <c r="B51" s="2">
        <v>42076</v>
      </c>
      <c r="D51">
        <v>0.12180000000000001</v>
      </c>
      <c r="E51">
        <v>0.53617000000000004</v>
      </c>
      <c r="F51">
        <v>0.62512999999999996</v>
      </c>
      <c r="G51">
        <v>0.64907000000000004</v>
      </c>
      <c r="H51">
        <v>0.63590999999999998</v>
      </c>
      <c r="I51">
        <v>0.56854000000000005</v>
      </c>
      <c r="J51">
        <v>0.66440999999999995</v>
      </c>
      <c r="K51">
        <v>0.59328999999999998</v>
      </c>
      <c r="L51">
        <v>0.60311000000000003</v>
      </c>
      <c r="M51">
        <v>0.62609000000000004</v>
      </c>
      <c r="N51">
        <v>0.56618000000000002</v>
      </c>
      <c r="O51">
        <v>0.68857000000000002</v>
      </c>
      <c r="P51">
        <v>0.66451000000000005</v>
      </c>
      <c r="Q51">
        <v>0.60943000000000003</v>
      </c>
      <c r="R51">
        <v>0.63409000000000004</v>
      </c>
      <c r="S51">
        <v>0.69843999999999995</v>
      </c>
      <c r="T51">
        <v>0.73458000000000001</v>
      </c>
      <c r="U51">
        <v>0.67659000000000002</v>
      </c>
      <c r="V51">
        <v>0.66762999999999995</v>
      </c>
      <c r="W51">
        <v>0.74238000000000004</v>
      </c>
      <c r="X51">
        <v>0.79588000000000003</v>
      </c>
      <c r="Y51">
        <v>0.86148999999999998</v>
      </c>
      <c r="Z51">
        <v>0.80976000000000004</v>
      </c>
      <c r="AA51">
        <v>0.87919999999999998</v>
      </c>
      <c r="AB51">
        <v>0.87721000000000005</v>
      </c>
      <c r="AC51">
        <v>0.96379000000000004</v>
      </c>
      <c r="AD51">
        <v>0.92227999999999999</v>
      </c>
      <c r="AE51">
        <v>0.87034999999999996</v>
      </c>
      <c r="AF51">
        <v>1.01894</v>
      </c>
      <c r="AG51">
        <v>1.05935</v>
      </c>
      <c r="AH51">
        <v>1.1136900000000001</v>
      </c>
      <c r="AI51">
        <v>1.0939300000000001</v>
      </c>
      <c r="AJ51">
        <v>1.1228400000000001</v>
      </c>
      <c r="AK51">
        <v>0.98938000000000004</v>
      </c>
      <c r="AL51">
        <v>1.1931099999999999</v>
      </c>
      <c r="AM51">
        <v>1.31995</v>
      </c>
      <c r="AN51">
        <v>1.1370499999999999</v>
      </c>
      <c r="AO51">
        <v>1.3673</v>
      </c>
      <c r="AP51">
        <v>1.4643900000000001</v>
      </c>
      <c r="AQ51">
        <v>1.2913600000000001</v>
      </c>
      <c r="AR51">
        <v>1.51345</v>
      </c>
      <c r="AS51">
        <v>1.55277</v>
      </c>
      <c r="AT51">
        <v>1.58043</v>
      </c>
      <c r="AU51">
        <v>1.57385</v>
      </c>
      <c r="AV51">
        <v>1.50268</v>
      </c>
      <c r="AW51">
        <v>1.99305</v>
      </c>
      <c r="AX51">
        <v>1.9789000000000001</v>
      </c>
      <c r="AY51">
        <v>2.0373100000000002</v>
      </c>
      <c r="AZ51">
        <v>2.0471499999999998</v>
      </c>
      <c r="BA51">
        <v>2.0684399999999998</v>
      </c>
      <c r="BB51">
        <v>2.12181</v>
      </c>
      <c r="BC51">
        <v>2.1521599999999999</v>
      </c>
      <c r="BD51">
        <v>2.1957800000000001</v>
      </c>
      <c r="BE51">
        <v>2.1038899999999998</v>
      </c>
      <c r="BF51">
        <v>2.25204</v>
      </c>
      <c r="BG51">
        <v>2.2487300000000001</v>
      </c>
      <c r="BH51">
        <v>2.2468400000000002</v>
      </c>
      <c r="BI51">
        <v>2.2354500000000002</v>
      </c>
      <c r="BJ51">
        <v>2.2366799999999998</v>
      </c>
      <c r="BK51">
        <v>2.2317</v>
      </c>
      <c r="BL51">
        <v>2.2267199999999998</v>
      </c>
      <c r="BM51">
        <v>2.22173</v>
      </c>
      <c r="BN51">
        <v>2.2045599999999999</v>
      </c>
      <c r="BO51">
        <v>2.1812299999999998</v>
      </c>
      <c r="BP51">
        <v>2.20655</v>
      </c>
      <c r="BQ51">
        <v>2.2065700000000001</v>
      </c>
      <c r="BR51">
        <v>2.19611</v>
      </c>
      <c r="BS51">
        <v>2.1961300000000001</v>
      </c>
      <c r="BT51">
        <v>2.1961400000000002</v>
      </c>
      <c r="BW51">
        <v>2.19998</v>
      </c>
      <c r="BX51">
        <v>2.2033800000000001</v>
      </c>
      <c r="BY51">
        <v>2.1966700000000001</v>
      </c>
      <c r="BZ51">
        <v>2.1933600000000002</v>
      </c>
      <c r="CA51">
        <v>2.1933699999999998</v>
      </c>
      <c r="CB51">
        <v>2.1933799999999999</v>
      </c>
      <c r="CC51">
        <v>2.1955</v>
      </c>
      <c r="CD51">
        <v>2.1955100000000001</v>
      </c>
      <c r="CE51">
        <v>2.19008</v>
      </c>
      <c r="CF51">
        <v>2.1900900000000001</v>
      </c>
      <c r="CG51">
        <v>2.1901000000000002</v>
      </c>
      <c r="CH51">
        <v>2.1878700000000002</v>
      </c>
      <c r="CI51">
        <v>2.1871900000000002</v>
      </c>
      <c r="CJ51">
        <v>2.1859299999999999</v>
      </c>
      <c r="CK51">
        <v>2.1813199999999999</v>
      </c>
      <c r="CL51">
        <v>2.18133</v>
      </c>
      <c r="CM51">
        <v>2.1813400000000001</v>
      </c>
      <c r="CN51">
        <v>2.1813500000000001</v>
      </c>
      <c r="CO51">
        <v>2.1856100000000001</v>
      </c>
      <c r="CP51">
        <v>2.17387</v>
      </c>
      <c r="CQ51">
        <v>2.17685</v>
      </c>
      <c r="CS51">
        <v>2.1638899999999999</v>
      </c>
      <c r="CT51">
        <v>2.1758099999999998</v>
      </c>
      <c r="CU51">
        <v>2.1758199999999999</v>
      </c>
      <c r="CV51">
        <v>2.1758199999999999</v>
      </c>
      <c r="CW51">
        <v>2.1685300000000001</v>
      </c>
      <c r="CX51">
        <v>2.1685400000000001</v>
      </c>
      <c r="CY51">
        <v>2.15394</v>
      </c>
      <c r="CZ51">
        <v>2.15394</v>
      </c>
      <c r="DA51">
        <v>2.15856</v>
      </c>
      <c r="DB51">
        <v>2.1585700000000001</v>
      </c>
      <c r="DC51">
        <v>2.0660500000000002</v>
      </c>
    </row>
    <row r="52" spans="1:107" x14ac:dyDescent="0.25">
      <c r="A52">
        <f t="shared" si="0"/>
        <v>2</v>
      </c>
      <c r="B52" s="2">
        <v>42079</v>
      </c>
      <c r="E52">
        <v>0.54495000000000005</v>
      </c>
      <c r="F52">
        <v>0.61282999999999999</v>
      </c>
      <c r="G52">
        <v>0.60441</v>
      </c>
      <c r="H52">
        <v>0.61209999999999998</v>
      </c>
      <c r="I52">
        <v>0.54608000000000001</v>
      </c>
      <c r="J52">
        <v>0.62853999999999999</v>
      </c>
      <c r="K52">
        <v>0.57382999999999995</v>
      </c>
      <c r="L52">
        <v>0.58650999999999998</v>
      </c>
      <c r="M52">
        <v>0.60555999999999999</v>
      </c>
      <c r="N52">
        <v>0.55008000000000001</v>
      </c>
      <c r="O52">
        <v>0.66917000000000004</v>
      </c>
      <c r="P52">
        <v>0.64622000000000002</v>
      </c>
      <c r="Q52">
        <v>0.60609000000000002</v>
      </c>
      <c r="R52">
        <v>0.61345000000000005</v>
      </c>
      <c r="S52">
        <v>0.68896999999999997</v>
      </c>
      <c r="T52">
        <v>0.72472000000000003</v>
      </c>
      <c r="U52">
        <v>0.66376999999999997</v>
      </c>
      <c r="V52">
        <v>0.65332000000000001</v>
      </c>
      <c r="W52">
        <v>0.72733999999999999</v>
      </c>
      <c r="X52">
        <v>0.78263000000000005</v>
      </c>
      <c r="Y52">
        <v>0.83667000000000002</v>
      </c>
      <c r="Z52">
        <v>0.78544999999999998</v>
      </c>
      <c r="AA52">
        <v>0.85368999999999995</v>
      </c>
      <c r="AB52">
        <v>0.85311999999999999</v>
      </c>
      <c r="AC52">
        <v>0.93049000000000004</v>
      </c>
      <c r="AD52">
        <v>0.89990000000000003</v>
      </c>
      <c r="AE52">
        <v>0.84414</v>
      </c>
      <c r="AF52">
        <v>0.99599000000000004</v>
      </c>
      <c r="AG52">
        <v>1.0365899999999999</v>
      </c>
      <c r="AH52">
        <v>1.09056</v>
      </c>
      <c r="AI52">
        <v>1.0682700000000001</v>
      </c>
      <c r="AJ52">
        <v>1.0996900000000001</v>
      </c>
      <c r="AK52">
        <v>0.97472999999999999</v>
      </c>
      <c r="AL52">
        <v>1.1700900000000001</v>
      </c>
      <c r="AM52">
        <v>1.2948999999999999</v>
      </c>
      <c r="AN52">
        <v>1.0978399999999999</v>
      </c>
      <c r="AO52">
        <v>1.3390599999999999</v>
      </c>
      <c r="AP52">
        <v>1.4324300000000001</v>
      </c>
      <c r="AQ52">
        <v>1.25844</v>
      </c>
      <c r="AR52">
        <v>1.48664</v>
      </c>
      <c r="AS52">
        <v>1.5203199999999999</v>
      </c>
      <c r="AT52">
        <v>1.54779</v>
      </c>
      <c r="AU52">
        <v>1.5152699999999999</v>
      </c>
      <c r="AV52">
        <v>1.47024</v>
      </c>
      <c r="AW52">
        <v>1.95078</v>
      </c>
      <c r="AX52">
        <v>1.9670399999999999</v>
      </c>
      <c r="AY52">
        <v>1.99804</v>
      </c>
      <c r="AZ52">
        <v>2.0085700000000002</v>
      </c>
      <c r="BA52">
        <v>2.02983</v>
      </c>
      <c r="BB52">
        <v>2.0937999999999999</v>
      </c>
      <c r="BC52">
        <v>2.11795</v>
      </c>
      <c r="BD52">
        <v>2.1616300000000002</v>
      </c>
      <c r="BE52">
        <v>2.0750899999999999</v>
      </c>
      <c r="BF52">
        <v>2.2186599999999999</v>
      </c>
      <c r="BG52">
        <v>2.2153399999999999</v>
      </c>
      <c r="BH52">
        <v>2.2157100000000001</v>
      </c>
      <c r="BI52">
        <v>2.2020300000000002</v>
      </c>
      <c r="BJ52">
        <v>2.2053699999999998</v>
      </c>
      <c r="BK52">
        <v>2.20038</v>
      </c>
      <c r="BL52">
        <v>2.1953999999999998</v>
      </c>
      <c r="BM52">
        <v>2.19041</v>
      </c>
      <c r="BN52">
        <v>2.17042</v>
      </c>
      <c r="BO52">
        <v>2.1467100000000001</v>
      </c>
      <c r="BP52">
        <v>2.1664400000000001</v>
      </c>
      <c r="BQ52">
        <v>2.1664400000000001</v>
      </c>
      <c r="BR52">
        <v>2.1764399999999999</v>
      </c>
      <c r="BS52">
        <v>2.17645</v>
      </c>
      <c r="BT52">
        <v>2.1764600000000001</v>
      </c>
      <c r="BW52">
        <v>2.1714799999999999</v>
      </c>
      <c r="BX52">
        <v>2.1714899999999999</v>
      </c>
      <c r="BY52">
        <v>2.16249</v>
      </c>
      <c r="BZ52">
        <v>2.1591800000000001</v>
      </c>
      <c r="CA52">
        <v>2.1591900000000002</v>
      </c>
      <c r="CB52">
        <v>2.1591900000000002</v>
      </c>
      <c r="CC52">
        <v>2.1591999999999998</v>
      </c>
      <c r="CD52">
        <v>2.1592099999999999</v>
      </c>
      <c r="CE52">
        <v>2.1558799999999998</v>
      </c>
      <c r="CF52">
        <v>2.1558899999999999</v>
      </c>
      <c r="CG52">
        <v>2.1558899999999999</v>
      </c>
      <c r="CH52">
        <v>2.1549299999999998</v>
      </c>
      <c r="CI52">
        <v>2.1549399999999999</v>
      </c>
      <c r="CJ52">
        <v>2.15293</v>
      </c>
      <c r="CK52">
        <v>2.1465800000000002</v>
      </c>
      <c r="CL52">
        <v>2.1465800000000002</v>
      </c>
      <c r="CM52">
        <v>2.1465900000000002</v>
      </c>
      <c r="CN52">
        <v>2.1465900000000002</v>
      </c>
      <c r="CO52">
        <v>2.1440999999999999</v>
      </c>
      <c r="CP52">
        <v>2.1490999999999998</v>
      </c>
      <c r="CQ52">
        <v>2.1366100000000001</v>
      </c>
      <c r="CS52">
        <v>2.1440899999999998</v>
      </c>
      <c r="CT52">
        <v>2.1556700000000002</v>
      </c>
      <c r="CU52">
        <v>2.1556700000000002</v>
      </c>
      <c r="CV52">
        <v>2.1556799999999998</v>
      </c>
      <c r="CW52">
        <v>2.1376499999999998</v>
      </c>
      <c r="CX52">
        <v>2.1376599999999999</v>
      </c>
      <c r="CY52">
        <v>2.1351499999999999</v>
      </c>
      <c r="CZ52">
        <v>2.1301700000000001</v>
      </c>
      <c r="DA52">
        <v>2.1276700000000002</v>
      </c>
      <c r="DB52">
        <v>2.1276700000000002</v>
      </c>
      <c r="DC52">
        <v>2.0343599999999999</v>
      </c>
    </row>
    <row r="53" spans="1:107" x14ac:dyDescent="0.25">
      <c r="A53">
        <f t="shared" si="0"/>
        <v>3</v>
      </c>
      <c r="B53" s="2">
        <v>42080</v>
      </c>
      <c r="E53">
        <v>0.54842000000000002</v>
      </c>
      <c r="F53">
        <v>0.61277000000000004</v>
      </c>
      <c r="G53">
        <v>0.58892</v>
      </c>
      <c r="H53">
        <v>0.61338000000000004</v>
      </c>
      <c r="I53">
        <v>0.55135000000000001</v>
      </c>
      <c r="J53">
        <v>0.62851999999999997</v>
      </c>
      <c r="K53">
        <v>0.58791000000000004</v>
      </c>
      <c r="L53">
        <v>0.58914</v>
      </c>
      <c r="M53">
        <v>0.61251999999999995</v>
      </c>
      <c r="N53">
        <v>0.55467999999999995</v>
      </c>
      <c r="O53">
        <v>0.67032000000000003</v>
      </c>
      <c r="P53">
        <v>0.66549999999999998</v>
      </c>
      <c r="Q53">
        <v>0.60165999999999997</v>
      </c>
      <c r="R53">
        <v>0.62649999999999995</v>
      </c>
      <c r="S53">
        <v>0.69179999999999997</v>
      </c>
      <c r="T53">
        <v>0.72838000000000003</v>
      </c>
      <c r="U53">
        <v>0.66988000000000003</v>
      </c>
      <c r="V53">
        <v>0.66013999999999995</v>
      </c>
      <c r="W53">
        <v>0.73487000000000002</v>
      </c>
      <c r="X53">
        <v>0.78864999999999996</v>
      </c>
      <c r="Y53">
        <v>0.82279999999999998</v>
      </c>
      <c r="Z53">
        <v>0.77181999999999995</v>
      </c>
      <c r="AA53">
        <v>0.84077999999999997</v>
      </c>
      <c r="AB53">
        <v>0.84008000000000005</v>
      </c>
      <c r="AC53">
        <v>0.91537000000000002</v>
      </c>
      <c r="AD53">
        <v>0.88536999999999999</v>
      </c>
      <c r="AE53">
        <v>0.82979999999999998</v>
      </c>
      <c r="AF53">
        <v>0.97904999999999998</v>
      </c>
      <c r="AG53">
        <v>1.0208999999999999</v>
      </c>
      <c r="AH53">
        <v>1.0892200000000001</v>
      </c>
      <c r="AI53">
        <v>1.0869800000000001</v>
      </c>
      <c r="AJ53">
        <v>1.08345</v>
      </c>
      <c r="AK53">
        <v>0.95706999999999998</v>
      </c>
      <c r="AL53">
        <v>1.1541399999999999</v>
      </c>
      <c r="AM53">
        <v>1.2603200000000001</v>
      </c>
      <c r="AN53">
        <v>1.0867100000000001</v>
      </c>
      <c r="AO53">
        <v>1.3059099999999999</v>
      </c>
      <c r="AP53">
        <v>1.39438</v>
      </c>
      <c r="AQ53">
        <v>1.2267999999999999</v>
      </c>
      <c r="AR53">
        <v>1.44919</v>
      </c>
      <c r="AS53">
        <v>1.4894799999999999</v>
      </c>
      <c r="AT53">
        <v>1.51688</v>
      </c>
      <c r="AU53">
        <v>1.5088999999999999</v>
      </c>
      <c r="AV53">
        <v>1.4361200000000001</v>
      </c>
      <c r="AW53">
        <v>1.9183300000000001</v>
      </c>
      <c r="AX53">
        <v>1.93479</v>
      </c>
      <c r="AY53">
        <v>1.96522</v>
      </c>
      <c r="AZ53">
        <v>1.9758899999999999</v>
      </c>
      <c r="BA53">
        <v>1.99715</v>
      </c>
      <c r="BB53">
        <v>2.0621499999999999</v>
      </c>
      <c r="BC53">
        <v>2.0877400000000002</v>
      </c>
      <c r="BD53">
        <v>2.13191</v>
      </c>
      <c r="BE53">
        <v>2.03389</v>
      </c>
      <c r="BF53">
        <v>2.18709</v>
      </c>
      <c r="BG53">
        <v>2.18377</v>
      </c>
      <c r="BH53">
        <v>2.1821700000000002</v>
      </c>
      <c r="BI53">
        <v>2.1701299999999999</v>
      </c>
      <c r="BJ53">
        <v>2.1732</v>
      </c>
      <c r="BK53">
        <v>2.1682100000000002</v>
      </c>
      <c r="BL53">
        <v>2.1632199999999999</v>
      </c>
      <c r="BM53">
        <v>2.1615600000000001</v>
      </c>
      <c r="BN53">
        <v>2.1532300000000002</v>
      </c>
      <c r="BO53">
        <v>2.1135299999999999</v>
      </c>
      <c r="BP53">
        <v>2.14019</v>
      </c>
      <c r="BQ53">
        <v>2.1402000000000001</v>
      </c>
      <c r="BR53">
        <v>2.1437599999999999</v>
      </c>
      <c r="BS53">
        <v>2.1287799999999999</v>
      </c>
      <c r="BT53">
        <v>2.12879</v>
      </c>
      <c r="BW53">
        <v>2.1388099999999999</v>
      </c>
      <c r="BX53">
        <v>2.1388099999999999</v>
      </c>
      <c r="BY53">
        <v>2.1302500000000002</v>
      </c>
      <c r="BZ53">
        <v>2.1269399999999998</v>
      </c>
      <c r="CA53">
        <v>2.1269499999999999</v>
      </c>
      <c r="CB53">
        <v>2.1269499999999999</v>
      </c>
      <c r="CC53">
        <v>2.12696</v>
      </c>
      <c r="CD53">
        <v>2.12697</v>
      </c>
      <c r="CE53">
        <v>2.12364</v>
      </c>
      <c r="CF53">
        <v>2.12365</v>
      </c>
      <c r="CG53">
        <v>2.1236600000000001</v>
      </c>
      <c r="CH53">
        <v>2.1236600000000001</v>
      </c>
      <c r="CI53">
        <v>2.12161</v>
      </c>
      <c r="CJ53">
        <v>2.1154000000000002</v>
      </c>
      <c r="CK53">
        <v>2.1139000000000001</v>
      </c>
      <c r="CL53">
        <v>2.1139100000000002</v>
      </c>
      <c r="CM53">
        <v>2.1139100000000002</v>
      </c>
      <c r="CN53">
        <v>2.1170200000000001</v>
      </c>
      <c r="CO53">
        <v>2.1114199999999999</v>
      </c>
      <c r="CP53">
        <v>2.10643</v>
      </c>
      <c r="CQ53">
        <v>2.11036</v>
      </c>
      <c r="CS53">
        <v>2.1114099999999998</v>
      </c>
      <c r="CT53">
        <v>2.11409</v>
      </c>
      <c r="CU53">
        <v>2.11409</v>
      </c>
      <c r="CV53">
        <v>2.11409</v>
      </c>
      <c r="CW53">
        <v>2.1020300000000001</v>
      </c>
      <c r="CX53">
        <v>2.1020300000000001</v>
      </c>
      <c r="CY53">
        <v>2.0995300000000001</v>
      </c>
      <c r="CZ53">
        <v>2.0945499999999999</v>
      </c>
      <c r="DA53">
        <v>2.09205</v>
      </c>
      <c r="DB53">
        <v>2.09205</v>
      </c>
      <c r="DC53">
        <v>1.99715</v>
      </c>
    </row>
    <row r="54" spans="1:107" x14ac:dyDescent="0.25">
      <c r="A54">
        <f t="shared" si="0"/>
        <v>4</v>
      </c>
      <c r="B54" s="2">
        <v>42081</v>
      </c>
      <c r="E54">
        <v>0.52383999999999997</v>
      </c>
      <c r="F54">
        <v>0.60516999999999999</v>
      </c>
      <c r="G54">
        <v>0.62748999999999999</v>
      </c>
      <c r="H54">
        <v>0.60050000000000003</v>
      </c>
      <c r="I54">
        <v>0.52234000000000003</v>
      </c>
      <c r="J54">
        <v>0.62483999999999995</v>
      </c>
      <c r="K54">
        <v>0.58492999999999995</v>
      </c>
      <c r="L54">
        <v>0.55088000000000004</v>
      </c>
      <c r="M54">
        <v>0.56066000000000005</v>
      </c>
      <c r="N54">
        <v>0.50158999999999998</v>
      </c>
      <c r="O54">
        <v>0.65195999999999998</v>
      </c>
      <c r="P54">
        <v>0.64383999999999997</v>
      </c>
      <c r="Q54">
        <v>0.54781999999999997</v>
      </c>
      <c r="R54">
        <v>0.56735000000000002</v>
      </c>
      <c r="S54">
        <v>0.64259999999999995</v>
      </c>
      <c r="T54">
        <v>0.68032999999999999</v>
      </c>
      <c r="U54">
        <v>0.62121000000000004</v>
      </c>
      <c r="V54">
        <v>0.61112999999999995</v>
      </c>
      <c r="W54">
        <v>0.68315000000000003</v>
      </c>
      <c r="X54">
        <v>0.73862000000000005</v>
      </c>
      <c r="Y54">
        <v>0.74304999999999999</v>
      </c>
      <c r="Z54">
        <v>0.69506999999999997</v>
      </c>
      <c r="AA54">
        <v>0.76265000000000005</v>
      </c>
      <c r="AB54">
        <v>0.75649999999999995</v>
      </c>
      <c r="AC54">
        <v>0.83365999999999996</v>
      </c>
      <c r="AD54">
        <v>0.82103000000000004</v>
      </c>
      <c r="AE54">
        <v>0.74666999999999994</v>
      </c>
      <c r="AF54">
        <v>0.89795999999999998</v>
      </c>
      <c r="AG54">
        <v>0.93908000000000003</v>
      </c>
      <c r="AH54">
        <v>1.00664</v>
      </c>
      <c r="AI54">
        <v>0.97389000000000003</v>
      </c>
      <c r="AJ54">
        <v>1.0013300000000001</v>
      </c>
      <c r="AK54">
        <v>0.86489000000000005</v>
      </c>
      <c r="AL54">
        <v>1.0715399999999999</v>
      </c>
      <c r="AM54">
        <v>1.1660900000000001</v>
      </c>
      <c r="AN54">
        <v>0.97711000000000003</v>
      </c>
      <c r="AO54">
        <v>1.2153700000000001</v>
      </c>
      <c r="AP54">
        <v>1.3001400000000001</v>
      </c>
      <c r="AQ54">
        <v>1.13287</v>
      </c>
      <c r="AR54">
        <v>1.3559699999999999</v>
      </c>
      <c r="AS54">
        <v>1.3976599999999999</v>
      </c>
      <c r="AT54">
        <v>1.4251499999999999</v>
      </c>
      <c r="AU54">
        <v>1.4176500000000001</v>
      </c>
      <c r="AV54">
        <v>1.3485100000000001</v>
      </c>
      <c r="AW54">
        <v>1.8306199999999999</v>
      </c>
      <c r="AX54">
        <v>1.84551</v>
      </c>
      <c r="AY54">
        <v>1.87802</v>
      </c>
      <c r="AZ54">
        <v>1.88829</v>
      </c>
      <c r="BA54">
        <v>1.91381</v>
      </c>
      <c r="BB54">
        <v>1.9821500000000001</v>
      </c>
      <c r="BC54">
        <v>2.0125000000000002</v>
      </c>
      <c r="BD54">
        <v>2.0563600000000002</v>
      </c>
      <c r="BE54">
        <v>1.96776</v>
      </c>
      <c r="BF54">
        <v>2.1135600000000001</v>
      </c>
      <c r="BG54">
        <v>2.1102500000000002</v>
      </c>
      <c r="BH54">
        <v>2.1105399999999999</v>
      </c>
      <c r="BI54">
        <v>2.0966300000000002</v>
      </c>
      <c r="BJ54">
        <v>2.09998</v>
      </c>
      <c r="BK54">
        <v>2.0950000000000002</v>
      </c>
      <c r="BL54">
        <v>2.09002</v>
      </c>
      <c r="BM54">
        <v>2.0889600000000002</v>
      </c>
      <c r="BN54">
        <v>2.0650599999999999</v>
      </c>
      <c r="BO54">
        <v>2.0400200000000002</v>
      </c>
      <c r="BP54">
        <v>2.0660699999999999</v>
      </c>
      <c r="BQ54">
        <v>2.0660799999999999</v>
      </c>
      <c r="BR54">
        <v>2.0550999999999999</v>
      </c>
      <c r="BS54">
        <v>2.0701100000000001</v>
      </c>
      <c r="BT54">
        <v>2.0701200000000002</v>
      </c>
      <c r="BW54">
        <v>2.0651600000000001</v>
      </c>
      <c r="BX54">
        <v>2.0651700000000002</v>
      </c>
      <c r="BY54">
        <v>2.0561699999999998</v>
      </c>
      <c r="BZ54">
        <v>2.0528599999999999</v>
      </c>
      <c r="CA54">
        <v>2.05287</v>
      </c>
      <c r="CB54">
        <v>2.05288</v>
      </c>
      <c r="CC54">
        <v>2.0552299999999999</v>
      </c>
      <c r="CD54">
        <v>2.05524</v>
      </c>
      <c r="CE54">
        <v>2.0495800000000002</v>
      </c>
      <c r="CF54">
        <v>2.0495899999999998</v>
      </c>
      <c r="CG54">
        <v>2.0495999999999999</v>
      </c>
      <c r="CH54">
        <v>2.0478800000000001</v>
      </c>
      <c r="CI54">
        <v>2.0478800000000001</v>
      </c>
      <c r="CJ54">
        <v>2.0459000000000001</v>
      </c>
      <c r="CK54">
        <v>2.0403099999999998</v>
      </c>
      <c r="CL54">
        <v>2.0403199999999999</v>
      </c>
      <c r="CM54">
        <v>2.04033</v>
      </c>
      <c r="CN54">
        <v>2.04033</v>
      </c>
      <c r="CO54">
        <v>2.0378400000000001</v>
      </c>
      <c r="CP54">
        <v>2.0328499999999998</v>
      </c>
      <c r="CQ54">
        <v>2.03634</v>
      </c>
      <c r="CS54">
        <v>2.0378500000000002</v>
      </c>
      <c r="CT54">
        <v>2.04827</v>
      </c>
      <c r="CU54">
        <v>2.0482800000000001</v>
      </c>
      <c r="CV54">
        <v>2.0482800000000001</v>
      </c>
      <c r="CW54">
        <v>2.0302799999999999</v>
      </c>
      <c r="CX54">
        <v>2.0302899999999999</v>
      </c>
      <c r="CY54">
        <v>2.02779</v>
      </c>
      <c r="CZ54">
        <v>2.0228100000000002</v>
      </c>
      <c r="DA54">
        <v>2.0203099999999998</v>
      </c>
      <c r="DB54">
        <v>2.0203199999999999</v>
      </c>
      <c r="DC54">
        <v>1.9278500000000001</v>
      </c>
    </row>
    <row r="55" spans="1:107" x14ac:dyDescent="0.25">
      <c r="A55">
        <f t="shared" si="0"/>
        <v>5</v>
      </c>
      <c r="B55" s="2">
        <v>42082</v>
      </c>
      <c r="E55">
        <v>0.5101</v>
      </c>
      <c r="F55">
        <v>0.58565999999999996</v>
      </c>
      <c r="G55">
        <v>0.59347000000000005</v>
      </c>
      <c r="H55">
        <v>0.58975</v>
      </c>
      <c r="I55">
        <v>0.51776</v>
      </c>
      <c r="J55">
        <v>0.60511000000000004</v>
      </c>
      <c r="K55">
        <v>0.57528000000000001</v>
      </c>
      <c r="L55">
        <v>0.54056000000000004</v>
      </c>
      <c r="M55">
        <v>0.55173000000000005</v>
      </c>
      <c r="N55">
        <v>0.49470999999999998</v>
      </c>
      <c r="O55">
        <v>0.63888</v>
      </c>
      <c r="P55">
        <v>0.61178999999999994</v>
      </c>
      <c r="Q55">
        <v>0.54874999999999996</v>
      </c>
      <c r="R55">
        <v>0.56764000000000003</v>
      </c>
      <c r="S55">
        <v>0.63378999999999996</v>
      </c>
      <c r="T55">
        <v>0.67090000000000005</v>
      </c>
      <c r="U55">
        <v>0.61214000000000002</v>
      </c>
      <c r="V55">
        <v>0.60233000000000003</v>
      </c>
      <c r="W55">
        <v>0.67539000000000005</v>
      </c>
      <c r="X55">
        <v>0.73006000000000004</v>
      </c>
      <c r="Y55">
        <v>0.74565999999999999</v>
      </c>
      <c r="Z55">
        <v>0.69538</v>
      </c>
      <c r="AA55">
        <v>0.76400999999999997</v>
      </c>
      <c r="AB55">
        <v>0.76302999999999999</v>
      </c>
      <c r="AC55">
        <v>0.83462000000000003</v>
      </c>
      <c r="AD55">
        <v>0.81459000000000004</v>
      </c>
      <c r="AE55">
        <v>0.74673999999999996</v>
      </c>
      <c r="AF55">
        <v>0.89732000000000001</v>
      </c>
      <c r="AG55">
        <v>0.93644000000000005</v>
      </c>
      <c r="AH55">
        <v>1.00312</v>
      </c>
      <c r="AI55">
        <v>0.97070999999999996</v>
      </c>
      <c r="AJ55">
        <v>0.998</v>
      </c>
      <c r="AK55">
        <v>0.86407999999999996</v>
      </c>
      <c r="AL55">
        <v>1.06752</v>
      </c>
      <c r="AM55">
        <v>1.16018</v>
      </c>
      <c r="AN55">
        <v>0.98314999999999997</v>
      </c>
      <c r="AO55">
        <v>1.208</v>
      </c>
      <c r="AP55">
        <v>1.2907500000000001</v>
      </c>
      <c r="AQ55">
        <v>1.1252</v>
      </c>
      <c r="AR55">
        <v>1.3457699999999999</v>
      </c>
      <c r="AS55">
        <v>1.38927</v>
      </c>
      <c r="AT55">
        <v>1.41622</v>
      </c>
      <c r="AU55">
        <v>1.4104000000000001</v>
      </c>
      <c r="AV55">
        <v>1.3398099999999999</v>
      </c>
      <c r="AW55">
        <v>1.81843</v>
      </c>
      <c r="AX55">
        <v>1.8313200000000001</v>
      </c>
      <c r="AY55">
        <v>1.8655299999999999</v>
      </c>
      <c r="AZ55">
        <v>1.8766</v>
      </c>
      <c r="BA55">
        <v>1.89788</v>
      </c>
      <c r="BB55">
        <v>1.95479</v>
      </c>
      <c r="BC55">
        <v>1.9920800000000001</v>
      </c>
      <c r="BD55">
        <v>2.03749</v>
      </c>
      <c r="BE55">
        <v>1.93869</v>
      </c>
      <c r="BF55">
        <v>2.09178</v>
      </c>
      <c r="BG55">
        <v>2.09118</v>
      </c>
      <c r="BH55">
        <v>2.0912000000000002</v>
      </c>
      <c r="BI55">
        <v>2.0775600000000001</v>
      </c>
      <c r="BJ55">
        <v>2.0799799999999999</v>
      </c>
      <c r="BK55">
        <v>2.0750000000000002</v>
      </c>
      <c r="BL55">
        <v>2.07002</v>
      </c>
      <c r="BM55">
        <v>2.0689600000000001</v>
      </c>
      <c r="BN55">
        <v>2.0600399999999999</v>
      </c>
      <c r="BO55">
        <v>2.01796</v>
      </c>
      <c r="BP55">
        <v>2.04732</v>
      </c>
      <c r="BQ55">
        <v>2.0473400000000002</v>
      </c>
      <c r="BR55">
        <v>2.036</v>
      </c>
      <c r="BS55">
        <v>2.0360200000000002</v>
      </c>
      <c r="BT55">
        <v>2.0360299999999998</v>
      </c>
      <c r="BW55">
        <v>2.04515</v>
      </c>
      <c r="BX55">
        <v>2.0451700000000002</v>
      </c>
      <c r="BY55">
        <v>2.0374300000000001</v>
      </c>
      <c r="BZ55">
        <v>2.0341200000000002</v>
      </c>
      <c r="CA55">
        <v>2.0341300000000002</v>
      </c>
      <c r="CB55">
        <v>2.0341399999999998</v>
      </c>
      <c r="CC55">
        <v>2.0341499999999999</v>
      </c>
      <c r="CD55">
        <v>2.03416</v>
      </c>
      <c r="CE55">
        <v>2.03084</v>
      </c>
      <c r="CF55">
        <v>2.03085</v>
      </c>
      <c r="CG55">
        <v>2.0308600000000001</v>
      </c>
      <c r="CH55">
        <v>2.0302799999999999</v>
      </c>
      <c r="CI55">
        <v>2.0297999999999998</v>
      </c>
      <c r="CJ55">
        <v>2.0245700000000002</v>
      </c>
      <c r="CK55">
        <v>2.0211999999999999</v>
      </c>
      <c r="CL55">
        <v>2.02121</v>
      </c>
      <c r="CM55">
        <v>2.02122</v>
      </c>
      <c r="CN55">
        <v>2.0242499999999999</v>
      </c>
      <c r="CO55">
        <v>2.0187300000000001</v>
      </c>
      <c r="CP55">
        <v>2.0137399999999999</v>
      </c>
      <c r="CQ55">
        <v>2.0175999999999998</v>
      </c>
      <c r="CS55">
        <v>2.0037699999999998</v>
      </c>
      <c r="CT55">
        <v>2.0112100000000002</v>
      </c>
      <c r="CU55">
        <v>2.0112100000000002</v>
      </c>
      <c r="CV55">
        <v>2.0112199999999998</v>
      </c>
      <c r="CW55">
        <v>2.0082800000000001</v>
      </c>
      <c r="CX55">
        <v>2.0082800000000001</v>
      </c>
      <c r="CY55">
        <v>2.0057800000000001</v>
      </c>
      <c r="CZ55">
        <v>1.9938100000000001</v>
      </c>
      <c r="DA55">
        <v>1.9983</v>
      </c>
      <c r="DB55">
        <v>1.99831</v>
      </c>
      <c r="DC55">
        <v>1.90371</v>
      </c>
    </row>
    <row r="56" spans="1:107" x14ac:dyDescent="0.25">
      <c r="A56">
        <f t="shared" si="0"/>
        <v>6</v>
      </c>
      <c r="B56" s="2">
        <v>42083</v>
      </c>
      <c r="E56">
        <v>0.50117</v>
      </c>
      <c r="F56">
        <v>0.55645999999999995</v>
      </c>
      <c r="G56">
        <v>0.59047000000000005</v>
      </c>
      <c r="H56">
        <v>0.57676000000000005</v>
      </c>
      <c r="I56">
        <v>0.49425000000000002</v>
      </c>
      <c r="J56">
        <v>0.57550999999999997</v>
      </c>
      <c r="K56">
        <v>0.57721</v>
      </c>
      <c r="L56">
        <v>0.52315999999999996</v>
      </c>
      <c r="M56">
        <v>0.54874999999999996</v>
      </c>
      <c r="N56">
        <v>0.48187000000000002</v>
      </c>
      <c r="O56">
        <v>0.60594000000000003</v>
      </c>
      <c r="P56">
        <v>0.60606000000000004</v>
      </c>
      <c r="Q56">
        <v>0.51095999999999997</v>
      </c>
      <c r="R56">
        <v>0.54505999999999999</v>
      </c>
      <c r="S56">
        <v>0.60906000000000005</v>
      </c>
      <c r="T56">
        <v>0.64749000000000001</v>
      </c>
      <c r="U56">
        <v>0.57982999999999996</v>
      </c>
      <c r="V56">
        <v>0.58547000000000005</v>
      </c>
      <c r="W56">
        <v>0.65993000000000002</v>
      </c>
      <c r="X56">
        <v>0.71331999999999995</v>
      </c>
      <c r="Y56">
        <v>0.72975999999999996</v>
      </c>
      <c r="Z56">
        <v>0.67957999999999996</v>
      </c>
      <c r="AA56">
        <v>0.74868999999999997</v>
      </c>
      <c r="AB56">
        <v>0.74758000000000002</v>
      </c>
      <c r="AC56">
        <v>0.81789999999999996</v>
      </c>
      <c r="AD56">
        <v>0.78300999999999998</v>
      </c>
      <c r="AE56">
        <v>0.73070999999999997</v>
      </c>
      <c r="AF56">
        <v>0.87899000000000005</v>
      </c>
      <c r="AG56">
        <v>0.91822999999999999</v>
      </c>
      <c r="AH56">
        <v>0.98426000000000002</v>
      </c>
      <c r="AI56">
        <v>0.95399</v>
      </c>
      <c r="AJ56">
        <v>0.98033999999999999</v>
      </c>
      <c r="AK56">
        <v>0.85346999999999995</v>
      </c>
      <c r="AL56">
        <v>1.0502</v>
      </c>
      <c r="AM56">
        <v>1.1427400000000001</v>
      </c>
      <c r="AN56">
        <v>0.96506000000000003</v>
      </c>
      <c r="AO56">
        <v>1.1926300000000001</v>
      </c>
      <c r="AP56">
        <v>1.2797000000000001</v>
      </c>
      <c r="AQ56">
        <v>1.11246</v>
      </c>
      <c r="AR56">
        <v>1.32874</v>
      </c>
      <c r="AS56">
        <v>1.3730800000000001</v>
      </c>
      <c r="AT56">
        <v>1.3997900000000001</v>
      </c>
      <c r="AU56">
        <v>1.39279</v>
      </c>
      <c r="AV56">
        <v>1.3241000000000001</v>
      </c>
      <c r="AW56">
        <v>1.8028299999999999</v>
      </c>
      <c r="AX56">
        <v>1.8130500000000001</v>
      </c>
      <c r="AY56">
        <v>1.84928</v>
      </c>
      <c r="AZ56">
        <v>1.8675200000000001</v>
      </c>
      <c r="BA56">
        <v>1.8878200000000001</v>
      </c>
      <c r="BB56">
        <v>1.95136</v>
      </c>
      <c r="BC56">
        <v>1.9786999999999999</v>
      </c>
      <c r="BD56">
        <v>2.0196900000000002</v>
      </c>
      <c r="BE56">
        <v>1.9207399999999999</v>
      </c>
      <c r="BF56">
        <v>2.08264</v>
      </c>
      <c r="BG56">
        <v>2.0793400000000002</v>
      </c>
      <c r="BH56">
        <v>2.0747800000000001</v>
      </c>
      <c r="BI56">
        <v>2.0702799999999999</v>
      </c>
      <c r="BJ56">
        <v>2.07254</v>
      </c>
      <c r="BK56">
        <v>2.0692300000000001</v>
      </c>
      <c r="BL56">
        <v>2.0625800000000001</v>
      </c>
      <c r="BM56">
        <v>2.0559400000000001</v>
      </c>
      <c r="BN56">
        <v>2.05037</v>
      </c>
      <c r="BO56">
        <v>2.0028299999999999</v>
      </c>
      <c r="BP56">
        <v>2.0403899999999999</v>
      </c>
      <c r="BQ56">
        <v>2.0404100000000001</v>
      </c>
      <c r="BR56">
        <v>2.0404200000000001</v>
      </c>
      <c r="BS56">
        <v>2.0404300000000002</v>
      </c>
      <c r="BT56">
        <v>2.0404499999999999</v>
      </c>
      <c r="BW56">
        <v>2.0354800000000002</v>
      </c>
      <c r="BX56">
        <v>2.03607</v>
      </c>
      <c r="BY56">
        <v>2.03274</v>
      </c>
      <c r="BZ56">
        <v>2.0255200000000002</v>
      </c>
      <c r="CA56">
        <v>2.0189599999999999</v>
      </c>
      <c r="CB56">
        <v>2.0189699999999999</v>
      </c>
      <c r="CC56">
        <v>2.0210499999999998</v>
      </c>
      <c r="CD56">
        <v>2.0210599999999999</v>
      </c>
      <c r="CE56">
        <v>2.0156700000000001</v>
      </c>
      <c r="CF56">
        <v>2.0156800000000001</v>
      </c>
      <c r="CG56">
        <v>2.0156900000000002</v>
      </c>
      <c r="CH56">
        <v>2.0156999999999998</v>
      </c>
      <c r="CI56">
        <v>2.0130499999999998</v>
      </c>
      <c r="CJ56">
        <v>2.0062000000000002</v>
      </c>
      <c r="CK56">
        <v>2.00563</v>
      </c>
      <c r="CL56">
        <v>2.0056400000000001</v>
      </c>
      <c r="CM56">
        <v>2.0056400000000001</v>
      </c>
      <c r="CN56">
        <v>2.00908</v>
      </c>
      <c r="CO56">
        <v>2.0109499999999998</v>
      </c>
      <c r="CP56">
        <v>2.0040800000000001</v>
      </c>
      <c r="CQ56">
        <v>2.0059100000000001</v>
      </c>
      <c r="CS56">
        <v>2.0021499999999999</v>
      </c>
      <c r="CT56">
        <v>1.9942599999999999</v>
      </c>
      <c r="CU56">
        <v>1.9942599999999999</v>
      </c>
      <c r="CV56">
        <v>1.98821</v>
      </c>
      <c r="CW56">
        <v>1.9909300000000001</v>
      </c>
      <c r="CX56">
        <v>1.9909300000000001</v>
      </c>
      <c r="CY56">
        <v>1.9884299999999999</v>
      </c>
      <c r="CZ56">
        <v>1.97824</v>
      </c>
      <c r="DA56">
        <v>1.98095</v>
      </c>
      <c r="DB56">
        <v>1.9809600000000001</v>
      </c>
      <c r="DC56">
        <v>1.88567</v>
      </c>
    </row>
    <row r="57" spans="1:107" x14ac:dyDescent="0.25">
      <c r="A57">
        <f t="shared" si="0"/>
        <v>2</v>
      </c>
      <c r="B57" s="2">
        <v>42086</v>
      </c>
      <c r="E57">
        <v>0.53042</v>
      </c>
      <c r="F57">
        <v>0.56425999999999998</v>
      </c>
      <c r="G57">
        <v>0.59431</v>
      </c>
      <c r="H57">
        <v>0.57833999999999997</v>
      </c>
      <c r="I57">
        <v>0.49669999999999997</v>
      </c>
      <c r="J57">
        <v>0.57984999999999998</v>
      </c>
      <c r="K57">
        <v>0.58091999999999999</v>
      </c>
      <c r="L57">
        <v>0.52429000000000003</v>
      </c>
      <c r="M57">
        <v>0.54883999999999999</v>
      </c>
      <c r="N57">
        <v>0.48243999999999998</v>
      </c>
      <c r="O57">
        <v>0.60879000000000005</v>
      </c>
      <c r="P57">
        <v>0.58933999999999997</v>
      </c>
      <c r="Q57">
        <v>0.51</v>
      </c>
      <c r="R57">
        <v>0.53598999999999997</v>
      </c>
      <c r="S57">
        <v>0.60909000000000002</v>
      </c>
      <c r="T57">
        <v>0.64695999999999998</v>
      </c>
      <c r="U57">
        <v>0.57969999999999999</v>
      </c>
      <c r="V57">
        <v>0.58474999999999999</v>
      </c>
      <c r="W57">
        <v>0.64739000000000002</v>
      </c>
      <c r="X57">
        <v>0.71113999999999999</v>
      </c>
      <c r="Y57">
        <v>0.72933999999999999</v>
      </c>
      <c r="Z57">
        <v>0.67911999999999995</v>
      </c>
      <c r="AA57">
        <v>0.74814999999999998</v>
      </c>
      <c r="AB57">
        <v>0.74751999999999996</v>
      </c>
      <c r="AC57">
        <v>0.81735000000000002</v>
      </c>
      <c r="AD57">
        <v>0.78380000000000005</v>
      </c>
      <c r="AE57">
        <v>0.73055000000000003</v>
      </c>
      <c r="AF57">
        <v>0.87839999999999996</v>
      </c>
      <c r="AG57">
        <v>0.91820000000000002</v>
      </c>
      <c r="AH57">
        <v>0.98516999999999999</v>
      </c>
      <c r="AI57">
        <v>0.95521</v>
      </c>
      <c r="AJ57">
        <v>0.98082000000000003</v>
      </c>
      <c r="AK57">
        <v>0.84409000000000001</v>
      </c>
      <c r="AL57">
        <v>1.05185</v>
      </c>
      <c r="AM57">
        <v>1.14707</v>
      </c>
      <c r="AN57">
        <v>0.97387000000000001</v>
      </c>
      <c r="AO57">
        <v>1.1959200000000001</v>
      </c>
      <c r="AP57">
        <v>1.2818799999999999</v>
      </c>
      <c r="AQ57">
        <v>1.1140600000000001</v>
      </c>
      <c r="AR57">
        <v>1.3309</v>
      </c>
      <c r="AS57">
        <v>1.3755299999999999</v>
      </c>
      <c r="AT57">
        <v>1.4019200000000001</v>
      </c>
      <c r="AU57">
        <v>1.3956599999999999</v>
      </c>
      <c r="AV57">
        <v>1.3246899999999999</v>
      </c>
      <c r="AW57">
        <v>1.8085</v>
      </c>
      <c r="AX57">
        <v>1.7923500000000001</v>
      </c>
      <c r="AY57">
        <v>1.85246</v>
      </c>
      <c r="AZ57">
        <v>1.86859</v>
      </c>
      <c r="BA57">
        <v>1.8899600000000001</v>
      </c>
      <c r="BB57">
        <v>1.9534899999999999</v>
      </c>
      <c r="BC57">
        <v>1.98441</v>
      </c>
      <c r="BD57">
        <v>2.0249799999999998</v>
      </c>
      <c r="BE57">
        <v>1.92988</v>
      </c>
      <c r="BF57">
        <v>2.0912999999999999</v>
      </c>
      <c r="BG57">
        <v>2.08799</v>
      </c>
      <c r="BH57">
        <v>2.0830299999999999</v>
      </c>
      <c r="BI57">
        <v>2.0786099999999998</v>
      </c>
      <c r="BJ57">
        <v>2.0804999999999998</v>
      </c>
      <c r="BK57">
        <v>2.0771799999999998</v>
      </c>
      <c r="BL57">
        <v>2.0705200000000001</v>
      </c>
      <c r="BM57">
        <v>2.0638700000000001</v>
      </c>
      <c r="BN57">
        <v>2.0586600000000002</v>
      </c>
      <c r="BO57">
        <v>2.0097499999999999</v>
      </c>
      <c r="BP57">
        <v>2.04867</v>
      </c>
      <c r="BQ57">
        <v>2.0486800000000001</v>
      </c>
      <c r="BR57">
        <v>2.0486900000000001</v>
      </c>
      <c r="BS57">
        <v>2.0486900000000001</v>
      </c>
      <c r="BT57">
        <v>2.0487000000000002</v>
      </c>
      <c r="BW57">
        <v>2.04372</v>
      </c>
      <c r="BX57">
        <v>2.0439500000000002</v>
      </c>
      <c r="BY57">
        <v>2.0406200000000001</v>
      </c>
      <c r="BZ57">
        <v>2.0337499999999999</v>
      </c>
      <c r="CA57">
        <v>2.0274899999999998</v>
      </c>
      <c r="CB57">
        <v>2.0274999999999999</v>
      </c>
      <c r="CC57">
        <v>2.03146</v>
      </c>
      <c r="CD57">
        <v>2.0314700000000001</v>
      </c>
      <c r="CE57">
        <v>2.02481</v>
      </c>
      <c r="CF57">
        <v>2.0248200000000001</v>
      </c>
      <c r="CG57">
        <v>2.0248200000000001</v>
      </c>
      <c r="CH57">
        <v>2.02149</v>
      </c>
      <c r="CI57">
        <v>2.0215000000000001</v>
      </c>
      <c r="CJ57">
        <v>2.0147499999999998</v>
      </c>
      <c r="CK57">
        <v>2.0200300000000002</v>
      </c>
      <c r="CL57">
        <v>2.0200399999999998</v>
      </c>
      <c r="CM57">
        <v>2.0200399999999998</v>
      </c>
      <c r="CN57">
        <v>2.0200399999999998</v>
      </c>
      <c r="CO57">
        <v>2.0200499999999999</v>
      </c>
      <c r="CP57">
        <v>2.0150399999999999</v>
      </c>
      <c r="CQ57">
        <v>2.0262799999999999</v>
      </c>
      <c r="CS57">
        <v>2.0100199999999999</v>
      </c>
      <c r="CT57">
        <v>2.0062600000000002</v>
      </c>
      <c r="CU57">
        <v>2.0062700000000002</v>
      </c>
      <c r="CV57">
        <v>2.0062700000000002</v>
      </c>
      <c r="CW57">
        <v>1.9962800000000001</v>
      </c>
      <c r="CX57">
        <v>1.9962800000000001</v>
      </c>
      <c r="CY57">
        <v>1.9962800000000001</v>
      </c>
      <c r="CZ57">
        <v>1.9913099999999999</v>
      </c>
      <c r="DA57">
        <v>1.9924900000000001</v>
      </c>
      <c r="DB57">
        <v>1.9924999999999999</v>
      </c>
      <c r="DC57">
        <v>1.8951100000000001</v>
      </c>
    </row>
    <row r="58" spans="1:107" x14ac:dyDescent="0.25">
      <c r="A58">
        <f t="shared" si="0"/>
        <v>3</v>
      </c>
      <c r="B58" s="2">
        <v>42087</v>
      </c>
      <c r="E58">
        <v>0.52710000000000001</v>
      </c>
      <c r="F58">
        <v>0.56811999999999996</v>
      </c>
      <c r="G58">
        <v>0.59584999999999999</v>
      </c>
      <c r="H58">
        <v>0.56882999999999995</v>
      </c>
      <c r="I58">
        <v>0.50710999999999995</v>
      </c>
      <c r="J58">
        <v>0.57984000000000002</v>
      </c>
      <c r="K58">
        <v>0.58301000000000003</v>
      </c>
      <c r="L58">
        <v>0.53444000000000003</v>
      </c>
      <c r="M58">
        <v>0.54584999999999995</v>
      </c>
      <c r="N58">
        <v>0.48702000000000001</v>
      </c>
      <c r="O58">
        <v>0.62475000000000003</v>
      </c>
      <c r="P58">
        <v>0.61145000000000005</v>
      </c>
      <c r="Q58">
        <v>0.52756999999999998</v>
      </c>
      <c r="R58">
        <v>0.55462</v>
      </c>
      <c r="S58">
        <v>0.62048999999999999</v>
      </c>
      <c r="T58">
        <v>0.65910000000000002</v>
      </c>
      <c r="U58">
        <v>0.59065999999999996</v>
      </c>
      <c r="V58">
        <v>0.59587000000000001</v>
      </c>
      <c r="W58">
        <v>0.66949999999999998</v>
      </c>
      <c r="X58">
        <v>0.72307999999999995</v>
      </c>
      <c r="Y58">
        <v>0.73126999999999998</v>
      </c>
      <c r="Z58">
        <v>0.68247999999999998</v>
      </c>
      <c r="AA58">
        <v>0.75051000000000001</v>
      </c>
      <c r="AB58">
        <v>0.74961999999999995</v>
      </c>
      <c r="AC58">
        <v>0.81930999999999998</v>
      </c>
      <c r="AD58">
        <v>0.78474999999999995</v>
      </c>
      <c r="AE58">
        <v>0.73096000000000005</v>
      </c>
      <c r="AF58">
        <v>0.88077000000000005</v>
      </c>
      <c r="AG58">
        <v>0.91973000000000005</v>
      </c>
      <c r="AH58">
        <v>0.98670000000000002</v>
      </c>
      <c r="AI58">
        <v>0.98124</v>
      </c>
      <c r="AJ58">
        <v>0.98438999999999999</v>
      </c>
      <c r="AK58">
        <v>0.84480999999999995</v>
      </c>
      <c r="AL58">
        <v>1.05375</v>
      </c>
      <c r="AM58">
        <v>1.14571</v>
      </c>
      <c r="AN58">
        <v>0.96787999999999996</v>
      </c>
      <c r="AO58">
        <v>1.19557</v>
      </c>
      <c r="AP58">
        <v>1.26806</v>
      </c>
      <c r="AQ58">
        <v>1.10293</v>
      </c>
      <c r="AR58">
        <v>1.32338</v>
      </c>
      <c r="AS58">
        <v>1.3681399999999999</v>
      </c>
      <c r="AT58">
        <v>1.3947499999999999</v>
      </c>
      <c r="AU58">
        <v>1.38941</v>
      </c>
      <c r="AV58">
        <v>1.3201700000000001</v>
      </c>
      <c r="AW58">
        <v>1.79834</v>
      </c>
      <c r="AX58">
        <v>1.8107500000000001</v>
      </c>
      <c r="AY58">
        <v>1.8459700000000001</v>
      </c>
      <c r="AZ58">
        <v>1.86574</v>
      </c>
      <c r="BA58">
        <v>1.8784700000000001</v>
      </c>
      <c r="BB58">
        <v>1.94197</v>
      </c>
      <c r="BC58">
        <v>1.9750799999999999</v>
      </c>
      <c r="BD58">
        <v>2.02312</v>
      </c>
      <c r="BE58">
        <v>1.9227700000000001</v>
      </c>
      <c r="BF58">
        <v>2.0794000000000001</v>
      </c>
      <c r="BG58">
        <v>2.0760900000000002</v>
      </c>
      <c r="BH58">
        <v>2.0733600000000001</v>
      </c>
      <c r="BI58">
        <v>2.06643</v>
      </c>
      <c r="BJ58">
        <v>2.0697100000000002</v>
      </c>
      <c r="BK58">
        <v>2.0614599999999998</v>
      </c>
      <c r="BL58">
        <v>2.0597400000000001</v>
      </c>
      <c r="BM58">
        <v>2.0530900000000001</v>
      </c>
      <c r="BN58">
        <v>2.0464899999999999</v>
      </c>
      <c r="BO58">
        <v>1.9967200000000001</v>
      </c>
      <c r="BP58">
        <v>2.0365000000000002</v>
      </c>
      <c r="BQ58">
        <v>2.0365099999999998</v>
      </c>
      <c r="BR58">
        <v>2.0365199999999999</v>
      </c>
      <c r="BS58">
        <v>2.0365199999999999</v>
      </c>
      <c r="BT58">
        <v>2.03653</v>
      </c>
      <c r="BW58">
        <v>2.0315500000000002</v>
      </c>
      <c r="BX58">
        <v>2.0331700000000001</v>
      </c>
      <c r="BY58">
        <v>2.0265599999999999</v>
      </c>
      <c r="BZ58">
        <v>2.0215700000000001</v>
      </c>
      <c r="CA58">
        <v>2.0145900000000001</v>
      </c>
      <c r="CB58">
        <v>2.0146000000000002</v>
      </c>
      <c r="CC58">
        <v>2.0146099999999998</v>
      </c>
      <c r="CD58">
        <v>2.0146099999999998</v>
      </c>
      <c r="CE58">
        <v>2.0112899999999998</v>
      </c>
      <c r="CF58">
        <v>2.0112899999999998</v>
      </c>
      <c r="CG58">
        <v>2.0106600000000001</v>
      </c>
      <c r="CH58">
        <v>2.0092599999999998</v>
      </c>
      <c r="CI58">
        <v>2.0092699999999999</v>
      </c>
      <c r="CJ58">
        <v>2.0035699999999999</v>
      </c>
      <c r="CK58">
        <v>1.99664</v>
      </c>
      <c r="CL58">
        <v>2.00569</v>
      </c>
      <c r="CM58">
        <v>2.00569</v>
      </c>
      <c r="CN58">
        <v>1.99665</v>
      </c>
      <c r="CO58">
        <v>2.0057</v>
      </c>
      <c r="CP58">
        <v>1.9891700000000001</v>
      </c>
      <c r="CQ58">
        <v>2.0006900000000001</v>
      </c>
      <c r="CS58">
        <v>1.9956700000000001</v>
      </c>
      <c r="CT58">
        <v>2.0101100000000001</v>
      </c>
      <c r="CU58">
        <v>2.0101200000000001</v>
      </c>
      <c r="CV58">
        <v>2.0101200000000001</v>
      </c>
      <c r="CW58">
        <v>1.98604</v>
      </c>
      <c r="CX58">
        <v>1.9860500000000001</v>
      </c>
      <c r="CY58">
        <v>1.98709</v>
      </c>
      <c r="CZ58">
        <v>1.9801200000000001</v>
      </c>
      <c r="DA58">
        <v>1.98082</v>
      </c>
      <c r="DB58">
        <v>1.9808300000000001</v>
      </c>
      <c r="DC58">
        <v>1.8886099999999999</v>
      </c>
    </row>
    <row r="59" spans="1:107" x14ac:dyDescent="0.25">
      <c r="A59">
        <f t="shared" si="0"/>
        <v>4</v>
      </c>
      <c r="B59" s="2">
        <v>42088</v>
      </c>
      <c r="E59">
        <v>0.52607999999999999</v>
      </c>
      <c r="F59">
        <v>0.56074999999999997</v>
      </c>
      <c r="G59">
        <v>0.60743999999999998</v>
      </c>
      <c r="H59">
        <v>0.59699999999999998</v>
      </c>
      <c r="I59">
        <v>0.51766999999999996</v>
      </c>
      <c r="J59">
        <v>0.57637000000000005</v>
      </c>
      <c r="K59">
        <v>0.58721000000000001</v>
      </c>
      <c r="L59">
        <v>0.55781999999999998</v>
      </c>
      <c r="M59">
        <v>0.57840999999999998</v>
      </c>
      <c r="N59">
        <v>0.51810999999999996</v>
      </c>
      <c r="O59">
        <v>0.63046000000000002</v>
      </c>
      <c r="P59">
        <v>0.63141000000000003</v>
      </c>
      <c r="Q59">
        <v>0.55501</v>
      </c>
      <c r="R59">
        <v>0.58211999999999997</v>
      </c>
      <c r="S59">
        <v>0.64619000000000004</v>
      </c>
      <c r="T59">
        <v>0.68598999999999999</v>
      </c>
      <c r="U59">
        <v>0.61458999999999997</v>
      </c>
      <c r="V59">
        <v>0.61961999999999995</v>
      </c>
      <c r="W59">
        <v>0.69384000000000001</v>
      </c>
      <c r="X59">
        <v>0.74661</v>
      </c>
      <c r="Y59">
        <v>0.79612000000000005</v>
      </c>
      <c r="Z59">
        <v>0.71565999999999996</v>
      </c>
      <c r="AA59">
        <v>0.78607000000000005</v>
      </c>
      <c r="AB59">
        <v>0.78403999999999996</v>
      </c>
      <c r="AC59">
        <v>0.85956999999999995</v>
      </c>
      <c r="AD59">
        <v>0.82672000000000001</v>
      </c>
      <c r="AE59">
        <v>0.76331000000000004</v>
      </c>
      <c r="AF59">
        <v>0.90856000000000003</v>
      </c>
      <c r="AG59">
        <v>0.94811000000000001</v>
      </c>
      <c r="AH59">
        <v>1.01353</v>
      </c>
      <c r="AI59">
        <v>0.98294999999999999</v>
      </c>
      <c r="AJ59">
        <v>1.0110399999999999</v>
      </c>
      <c r="AK59">
        <v>0.88214000000000004</v>
      </c>
      <c r="AL59">
        <v>1.08067</v>
      </c>
      <c r="AM59">
        <v>1.1678299999999999</v>
      </c>
      <c r="AN59">
        <v>0.99460999999999999</v>
      </c>
      <c r="AO59">
        <v>1.22306</v>
      </c>
      <c r="AP59">
        <v>1.29948</v>
      </c>
      <c r="AQ59">
        <v>1.1402000000000001</v>
      </c>
      <c r="AR59">
        <v>1.34853</v>
      </c>
      <c r="AS59">
        <v>1.3958299999999999</v>
      </c>
      <c r="AT59">
        <v>1.4222399999999999</v>
      </c>
      <c r="AU59">
        <v>1.41683</v>
      </c>
      <c r="AV59">
        <v>1.3447199999999999</v>
      </c>
      <c r="AW59">
        <v>1.8327899999999999</v>
      </c>
      <c r="AX59">
        <v>1.8163899999999999</v>
      </c>
      <c r="AY59">
        <v>1.87723</v>
      </c>
      <c r="AZ59">
        <v>1.8970199999999999</v>
      </c>
      <c r="BA59">
        <v>1.92299</v>
      </c>
      <c r="BB59">
        <v>1.97773</v>
      </c>
      <c r="BC59">
        <v>2.0219399999999998</v>
      </c>
      <c r="BD59">
        <v>2.06284</v>
      </c>
      <c r="BE59">
        <v>1.97045</v>
      </c>
      <c r="BF59">
        <v>2.1204399999999999</v>
      </c>
      <c r="BG59">
        <v>2.11713</v>
      </c>
      <c r="BH59">
        <v>2.10989</v>
      </c>
      <c r="BI59">
        <v>2.1058699999999999</v>
      </c>
      <c r="BJ59">
        <v>2.10799</v>
      </c>
      <c r="BK59">
        <v>2.1046800000000001</v>
      </c>
      <c r="BL59">
        <v>2.0980300000000001</v>
      </c>
      <c r="BM59">
        <v>2.0913900000000001</v>
      </c>
      <c r="BN59">
        <v>2.08596</v>
      </c>
      <c r="BO59">
        <v>2.0367899999999999</v>
      </c>
      <c r="BP59">
        <v>2.0759799999999999</v>
      </c>
      <c r="BQ59">
        <v>2.07599</v>
      </c>
      <c r="BR59">
        <v>2.0760100000000001</v>
      </c>
      <c r="BS59">
        <v>2.0760200000000002</v>
      </c>
      <c r="BT59">
        <v>2.0760299999999998</v>
      </c>
      <c r="BW59">
        <v>2.0710700000000002</v>
      </c>
      <c r="BX59">
        <v>2.07152</v>
      </c>
      <c r="BY59">
        <v>2.06819</v>
      </c>
      <c r="BZ59">
        <v>2.0611100000000002</v>
      </c>
      <c r="CA59">
        <v>2.0550899999999999</v>
      </c>
      <c r="CB59">
        <v>2.0550999999999999</v>
      </c>
      <c r="CC59">
        <v>2.05951</v>
      </c>
      <c r="CD59">
        <v>2.05952</v>
      </c>
      <c r="CE59">
        <v>2.05287</v>
      </c>
      <c r="CF59">
        <v>2.05288</v>
      </c>
      <c r="CG59">
        <v>2.0528900000000001</v>
      </c>
      <c r="CH59">
        <v>2.04956</v>
      </c>
      <c r="CI59">
        <v>2.0495700000000001</v>
      </c>
      <c r="CJ59">
        <v>2.0428199999999999</v>
      </c>
      <c r="CK59">
        <v>2.0481199999999999</v>
      </c>
      <c r="CL59">
        <v>2.04813</v>
      </c>
      <c r="CM59">
        <v>2.0481400000000001</v>
      </c>
      <c r="CN59">
        <v>2.0481500000000001</v>
      </c>
      <c r="CO59">
        <v>2.0481600000000002</v>
      </c>
      <c r="CP59">
        <v>2.0431499999999998</v>
      </c>
      <c r="CQ59">
        <v>2.05437</v>
      </c>
      <c r="CS59">
        <v>2.0381399999999998</v>
      </c>
      <c r="CT59">
        <v>2.03437</v>
      </c>
      <c r="CU59">
        <v>2.0343800000000001</v>
      </c>
      <c r="CV59">
        <v>2.0343900000000001</v>
      </c>
      <c r="CW59">
        <v>2.0243899999999999</v>
      </c>
      <c r="CX59">
        <v>2.0244</v>
      </c>
      <c r="CY59">
        <v>2.02441</v>
      </c>
      <c r="CZ59">
        <v>2.0194299999999998</v>
      </c>
      <c r="DA59">
        <v>2.0202800000000001</v>
      </c>
      <c r="DB59">
        <v>2.0202900000000001</v>
      </c>
      <c r="DC59">
        <v>1.9250700000000001</v>
      </c>
    </row>
    <row r="60" spans="1:107" x14ac:dyDescent="0.25">
      <c r="A60">
        <f t="shared" si="0"/>
        <v>5</v>
      </c>
      <c r="B60" s="2">
        <v>42089</v>
      </c>
      <c r="E60">
        <v>0.57038</v>
      </c>
      <c r="F60">
        <v>0.61875000000000002</v>
      </c>
      <c r="G60">
        <v>0.63505</v>
      </c>
      <c r="H60">
        <v>0.63514000000000004</v>
      </c>
      <c r="I60">
        <v>0.58462999999999998</v>
      </c>
      <c r="J60">
        <v>0.64434000000000002</v>
      </c>
      <c r="K60">
        <v>0.64487000000000005</v>
      </c>
      <c r="L60">
        <v>0.63443000000000005</v>
      </c>
      <c r="M60">
        <v>0.65566000000000002</v>
      </c>
      <c r="N60">
        <v>0.60185</v>
      </c>
      <c r="O60">
        <v>0.70506000000000002</v>
      </c>
      <c r="P60">
        <v>0.70130000000000003</v>
      </c>
      <c r="Q60">
        <v>0.64690000000000003</v>
      </c>
      <c r="R60">
        <v>0.67054999999999998</v>
      </c>
      <c r="S60">
        <v>0.73828000000000005</v>
      </c>
      <c r="T60">
        <v>0.80096000000000001</v>
      </c>
      <c r="U60">
        <v>0.70062000000000002</v>
      </c>
      <c r="V60">
        <v>0.70496999999999999</v>
      </c>
      <c r="W60">
        <v>0.78281999999999996</v>
      </c>
      <c r="X60">
        <v>0.81513999999999998</v>
      </c>
      <c r="Y60">
        <v>0.87548999999999999</v>
      </c>
      <c r="Z60">
        <v>0.82496999999999998</v>
      </c>
      <c r="AA60">
        <v>0.89517999999999998</v>
      </c>
      <c r="AB60">
        <v>0.89395000000000002</v>
      </c>
      <c r="AC60">
        <v>0.97128000000000003</v>
      </c>
      <c r="AD60">
        <v>0.94191000000000003</v>
      </c>
      <c r="AE60">
        <v>0.87248999999999999</v>
      </c>
      <c r="AF60">
        <v>1.0221800000000001</v>
      </c>
      <c r="AG60">
        <v>1.0572699999999999</v>
      </c>
      <c r="AH60">
        <v>1.12676</v>
      </c>
      <c r="AI60">
        <v>1.09372</v>
      </c>
      <c r="AJ60">
        <v>1.1154500000000001</v>
      </c>
      <c r="AK60">
        <v>0.98499000000000003</v>
      </c>
      <c r="AL60">
        <v>1.1889799999999999</v>
      </c>
      <c r="AM60">
        <v>1.27915</v>
      </c>
      <c r="AN60">
        <v>1.1081399999999999</v>
      </c>
      <c r="AO60">
        <v>1.3321700000000001</v>
      </c>
      <c r="AP60">
        <v>1.41028</v>
      </c>
      <c r="AQ60">
        <v>1.2441899999999999</v>
      </c>
      <c r="AR60">
        <v>1.45601</v>
      </c>
      <c r="AS60">
        <v>1.50345</v>
      </c>
      <c r="AT60">
        <v>1.53474</v>
      </c>
      <c r="AU60">
        <v>1.52322</v>
      </c>
      <c r="AV60">
        <v>1.4582299999999999</v>
      </c>
      <c r="AW60">
        <v>1.9344600000000001</v>
      </c>
      <c r="AX60">
        <v>1.91927</v>
      </c>
      <c r="AY60">
        <v>1.9754100000000001</v>
      </c>
      <c r="AZ60">
        <v>1.9898</v>
      </c>
      <c r="BA60">
        <v>2.0125600000000001</v>
      </c>
      <c r="BB60">
        <v>2.0697800000000002</v>
      </c>
      <c r="BC60">
        <v>2.0989</v>
      </c>
      <c r="BD60">
        <v>2.1449699999999998</v>
      </c>
      <c r="BE60">
        <v>2.04941</v>
      </c>
      <c r="BF60">
        <v>2.1895600000000002</v>
      </c>
      <c r="BG60">
        <v>2.1862599999999999</v>
      </c>
      <c r="BH60">
        <v>2.1823800000000002</v>
      </c>
      <c r="BI60">
        <v>2.1713</v>
      </c>
      <c r="BJ60">
        <v>2.1782599999999999</v>
      </c>
      <c r="BK60">
        <v>2.1700400000000002</v>
      </c>
      <c r="BL60">
        <v>2.1682999999999999</v>
      </c>
      <c r="BM60">
        <v>2.1616599999999999</v>
      </c>
      <c r="BN60">
        <v>2.1551</v>
      </c>
      <c r="BO60">
        <v>2.1049799999999999</v>
      </c>
      <c r="BP60">
        <v>2.14412</v>
      </c>
      <c r="BQ60">
        <v>2.1441300000000001</v>
      </c>
      <c r="BR60">
        <v>2.1441400000000002</v>
      </c>
      <c r="BS60">
        <v>2.1441599999999998</v>
      </c>
      <c r="BT60">
        <v>2.1441699999999999</v>
      </c>
      <c r="BW60">
        <v>2.1392000000000002</v>
      </c>
      <c r="BX60">
        <v>2.14113</v>
      </c>
      <c r="BY60">
        <v>2.1342300000000001</v>
      </c>
      <c r="BZ60">
        <v>2.1292399999999998</v>
      </c>
      <c r="CA60">
        <v>2.1228899999999999</v>
      </c>
      <c r="CB60">
        <v>2.1229</v>
      </c>
      <c r="CC60">
        <v>2.1229100000000001</v>
      </c>
      <c r="CD60">
        <v>2.1229200000000001</v>
      </c>
      <c r="CE60">
        <v>2.1196000000000002</v>
      </c>
      <c r="CF60">
        <v>2.1196100000000002</v>
      </c>
      <c r="CG60">
        <v>2.11931</v>
      </c>
      <c r="CH60">
        <v>2.1179000000000001</v>
      </c>
      <c r="CI60">
        <v>2.1179100000000002</v>
      </c>
      <c r="CJ60">
        <v>2.1145800000000001</v>
      </c>
      <c r="CK60">
        <v>2.1143399999999999</v>
      </c>
      <c r="CL60">
        <v>2.11435</v>
      </c>
      <c r="CM60">
        <v>2.11436</v>
      </c>
      <c r="CN60">
        <v>2.1143700000000001</v>
      </c>
      <c r="CO60">
        <v>2.1143700000000001</v>
      </c>
      <c r="CP60">
        <v>2.1093700000000002</v>
      </c>
      <c r="CQ60">
        <v>2.1093799999999998</v>
      </c>
      <c r="CS60">
        <v>2.1043699999999999</v>
      </c>
      <c r="CT60">
        <v>2.11883</v>
      </c>
      <c r="CU60">
        <v>2.1188400000000001</v>
      </c>
      <c r="CV60">
        <v>2.1188500000000001</v>
      </c>
      <c r="CW60">
        <v>2.0970499999999999</v>
      </c>
      <c r="CX60">
        <v>2.0970499999999999</v>
      </c>
      <c r="CY60">
        <v>2.0947399999999998</v>
      </c>
      <c r="CZ60">
        <v>2.0897700000000001</v>
      </c>
      <c r="DA60">
        <v>2.08954</v>
      </c>
      <c r="DB60">
        <v>2.08954</v>
      </c>
      <c r="DC60">
        <v>2.00101</v>
      </c>
    </row>
    <row r="61" spans="1:107" x14ac:dyDescent="0.25">
      <c r="A61">
        <f t="shared" si="0"/>
        <v>6</v>
      </c>
      <c r="B61" s="2">
        <v>42090</v>
      </c>
      <c r="E61">
        <v>0.55513000000000001</v>
      </c>
      <c r="F61">
        <v>0.61861999999999995</v>
      </c>
      <c r="G61">
        <v>0.61914999999999998</v>
      </c>
      <c r="H61">
        <v>0.62939000000000001</v>
      </c>
      <c r="I61">
        <v>0.54147000000000001</v>
      </c>
      <c r="J61">
        <v>0.64431000000000005</v>
      </c>
      <c r="K61">
        <v>0.63505</v>
      </c>
      <c r="L61">
        <v>0.58728999999999998</v>
      </c>
      <c r="M61">
        <v>0.60018000000000005</v>
      </c>
      <c r="N61">
        <v>0.54390000000000005</v>
      </c>
      <c r="O61">
        <v>0.68101</v>
      </c>
      <c r="P61">
        <v>0.6401</v>
      </c>
      <c r="Q61">
        <v>0.58172000000000001</v>
      </c>
      <c r="R61">
        <v>0.61224999999999996</v>
      </c>
      <c r="S61">
        <v>0.67978000000000005</v>
      </c>
      <c r="T61">
        <v>0.71286000000000005</v>
      </c>
      <c r="U61">
        <v>0.64078000000000002</v>
      </c>
      <c r="V61">
        <v>0.64561999999999997</v>
      </c>
      <c r="W61">
        <v>0.72248000000000001</v>
      </c>
      <c r="X61">
        <v>0.76356000000000002</v>
      </c>
      <c r="Y61">
        <v>0.80857000000000001</v>
      </c>
      <c r="Z61">
        <v>0.75616000000000005</v>
      </c>
      <c r="AA61">
        <v>0.82769999999999999</v>
      </c>
      <c r="AB61">
        <v>0.82526999999999995</v>
      </c>
      <c r="AC61">
        <v>0.90024000000000004</v>
      </c>
      <c r="AD61">
        <v>0.87353000000000003</v>
      </c>
      <c r="AE61">
        <v>0.79268000000000005</v>
      </c>
      <c r="AF61">
        <v>0.95104999999999995</v>
      </c>
      <c r="AG61">
        <v>0.98102</v>
      </c>
      <c r="AH61">
        <v>1.05583</v>
      </c>
      <c r="AI61">
        <v>1.0243800000000001</v>
      </c>
      <c r="AJ61">
        <v>1.04511</v>
      </c>
      <c r="AK61">
        <v>0.91544999999999999</v>
      </c>
      <c r="AL61">
        <v>1.11805</v>
      </c>
      <c r="AM61">
        <v>1.21444</v>
      </c>
      <c r="AN61">
        <v>1.0405599999999999</v>
      </c>
      <c r="AO61">
        <v>1.2679100000000001</v>
      </c>
      <c r="AP61">
        <v>1.33955</v>
      </c>
      <c r="AQ61">
        <v>1.17506</v>
      </c>
      <c r="AR61">
        <v>1.3908799999999999</v>
      </c>
      <c r="AS61">
        <v>1.43896</v>
      </c>
      <c r="AT61">
        <v>1.4703599999999999</v>
      </c>
      <c r="AU61">
        <v>1.4715100000000001</v>
      </c>
      <c r="AV61">
        <v>1.3887799999999999</v>
      </c>
      <c r="AW61">
        <v>1.8684700000000001</v>
      </c>
      <c r="AX61">
        <v>1.87825</v>
      </c>
      <c r="AY61">
        <v>1.91212</v>
      </c>
      <c r="AZ61">
        <v>1.9265399999999999</v>
      </c>
      <c r="BA61">
        <v>1.9493100000000001</v>
      </c>
      <c r="BB61">
        <v>2.0121799999999999</v>
      </c>
      <c r="BC61">
        <v>2.0362399999999998</v>
      </c>
      <c r="BD61">
        <v>2.0819399999999999</v>
      </c>
      <c r="BE61">
        <v>1.9882299999999999</v>
      </c>
      <c r="BF61">
        <v>2.1354099999999998</v>
      </c>
      <c r="BG61">
        <v>2.1320999999999999</v>
      </c>
      <c r="BH61">
        <v>2.1267999999999998</v>
      </c>
      <c r="BI61">
        <v>2.1211000000000002</v>
      </c>
      <c r="BJ61">
        <v>2.1228799999999999</v>
      </c>
      <c r="BK61">
        <v>2.11957</v>
      </c>
      <c r="BL61">
        <v>2.1129199999999999</v>
      </c>
      <c r="BM61">
        <v>2.1062799999999999</v>
      </c>
      <c r="BN61">
        <v>2.1011899999999999</v>
      </c>
      <c r="BO61">
        <v>2.0474199999999998</v>
      </c>
      <c r="BP61">
        <v>2.0952099999999998</v>
      </c>
      <c r="BQ61">
        <v>2.0952299999999999</v>
      </c>
      <c r="BR61">
        <v>2.09524</v>
      </c>
      <c r="BS61">
        <v>2.0952500000000001</v>
      </c>
      <c r="BT61">
        <v>2.0952700000000002</v>
      </c>
      <c r="BW61">
        <v>2.09239</v>
      </c>
      <c r="BX61">
        <v>2.08908</v>
      </c>
      <c r="BY61">
        <v>2.0857600000000001</v>
      </c>
      <c r="BZ61">
        <v>2.08243</v>
      </c>
      <c r="CA61">
        <v>2.0753499999999998</v>
      </c>
      <c r="CB61">
        <v>2.0753599999999999</v>
      </c>
      <c r="CC61">
        <v>2.0758100000000002</v>
      </c>
      <c r="CD61">
        <v>2.0758200000000002</v>
      </c>
      <c r="CE61">
        <v>2.0659299999999998</v>
      </c>
      <c r="CF61">
        <v>2.0659399999999999</v>
      </c>
      <c r="CG61">
        <v>2.0654599999999999</v>
      </c>
      <c r="CH61">
        <v>2.0654699999999999</v>
      </c>
      <c r="CI61">
        <v>2.0607899999999999</v>
      </c>
      <c r="CJ61">
        <v>2.0558800000000002</v>
      </c>
      <c r="CK61">
        <v>2.05545</v>
      </c>
      <c r="CL61">
        <v>2.0554600000000001</v>
      </c>
      <c r="CM61">
        <v>2.0554700000000001</v>
      </c>
      <c r="CN61">
        <v>2.0554800000000002</v>
      </c>
      <c r="CO61">
        <v>2.0529799999999998</v>
      </c>
      <c r="CP61">
        <v>2.04799</v>
      </c>
      <c r="CQ61">
        <v>2.05219</v>
      </c>
      <c r="CS61">
        <v>2.0529799999999998</v>
      </c>
      <c r="CT61">
        <v>2.05626</v>
      </c>
      <c r="CU61">
        <v>2.05627</v>
      </c>
      <c r="CV61">
        <v>2.05627</v>
      </c>
      <c r="CW61">
        <v>2.0441099999999999</v>
      </c>
      <c r="CX61">
        <v>2.0441199999999999</v>
      </c>
      <c r="CY61">
        <v>2.0416099999999999</v>
      </c>
      <c r="CZ61">
        <v>2.02806</v>
      </c>
      <c r="DA61">
        <v>2.0341399999999998</v>
      </c>
      <c r="DB61">
        <v>2.0341399999999998</v>
      </c>
      <c r="DC61">
        <v>1.95224</v>
      </c>
    </row>
    <row r="62" spans="1:107" x14ac:dyDescent="0.25">
      <c r="A62">
        <f t="shared" si="0"/>
        <v>2</v>
      </c>
      <c r="B62" s="2">
        <v>42093</v>
      </c>
      <c r="E62">
        <v>0.57172999999999996</v>
      </c>
      <c r="F62">
        <v>0.61182000000000003</v>
      </c>
      <c r="G62">
        <v>0.62278999999999995</v>
      </c>
      <c r="H62">
        <v>0.61836000000000002</v>
      </c>
      <c r="I62">
        <v>0.53330999999999995</v>
      </c>
      <c r="J62">
        <v>0.62831000000000004</v>
      </c>
      <c r="K62">
        <v>0.62814000000000003</v>
      </c>
      <c r="L62">
        <v>0.58167000000000002</v>
      </c>
      <c r="M62">
        <v>0.59752000000000005</v>
      </c>
      <c r="N62">
        <v>0.54400000000000004</v>
      </c>
      <c r="O62">
        <v>0.66093999999999997</v>
      </c>
      <c r="P62">
        <v>0.63458999999999999</v>
      </c>
      <c r="Q62">
        <v>0.57454000000000005</v>
      </c>
      <c r="R62">
        <v>0.59797999999999996</v>
      </c>
      <c r="S62">
        <v>0.66298999999999997</v>
      </c>
      <c r="T62">
        <v>0.72796000000000005</v>
      </c>
      <c r="U62">
        <v>0.62483999999999995</v>
      </c>
      <c r="V62">
        <v>0.62843000000000004</v>
      </c>
      <c r="W62">
        <v>0.70335999999999999</v>
      </c>
      <c r="X62">
        <v>0.74119999999999997</v>
      </c>
      <c r="Y62">
        <v>0.80449999999999999</v>
      </c>
      <c r="Z62">
        <v>0.74973000000000001</v>
      </c>
      <c r="AA62">
        <v>0.82120000000000004</v>
      </c>
      <c r="AB62">
        <v>0.81942000000000004</v>
      </c>
      <c r="AC62">
        <v>0.90859999999999996</v>
      </c>
      <c r="AD62">
        <v>0.85597000000000001</v>
      </c>
      <c r="AE62">
        <v>0.78810000000000002</v>
      </c>
      <c r="AF62">
        <v>0.94647999999999999</v>
      </c>
      <c r="AG62">
        <v>0.98075999999999997</v>
      </c>
      <c r="AH62">
        <v>1.0511600000000001</v>
      </c>
      <c r="AI62">
        <v>1.0467900000000001</v>
      </c>
      <c r="AJ62">
        <v>1.0388200000000001</v>
      </c>
      <c r="AK62">
        <v>0.91961999999999999</v>
      </c>
      <c r="AL62">
        <v>1.1113500000000001</v>
      </c>
      <c r="AM62">
        <v>1.22126</v>
      </c>
      <c r="AN62">
        <v>1.0410200000000001</v>
      </c>
      <c r="AO62">
        <v>1.27119</v>
      </c>
      <c r="AP62">
        <v>1.35405</v>
      </c>
      <c r="AQ62">
        <v>1.1872799999999999</v>
      </c>
      <c r="AR62">
        <v>1.40032</v>
      </c>
      <c r="AS62">
        <v>1.44614</v>
      </c>
      <c r="AT62">
        <v>1.4778</v>
      </c>
      <c r="AU62">
        <v>1.47787</v>
      </c>
      <c r="AV62">
        <v>1.4019699999999999</v>
      </c>
      <c r="AW62">
        <v>1.8753599999999999</v>
      </c>
      <c r="AX62">
        <v>1.8635600000000001</v>
      </c>
      <c r="AY62">
        <v>1.9187799999999999</v>
      </c>
      <c r="AZ62">
        <v>1.9404300000000001</v>
      </c>
      <c r="BA62">
        <v>1.9615899999999999</v>
      </c>
      <c r="BB62">
        <v>2.0176599999999998</v>
      </c>
      <c r="BC62">
        <v>2.0397500000000002</v>
      </c>
      <c r="BD62">
        <v>2.0841699999999999</v>
      </c>
      <c r="BE62">
        <v>1.9836199999999999</v>
      </c>
      <c r="BF62">
        <v>2.1388699999999998</v>
      </c>
      <c r="BG62">
        <v>2.1355599999999999</v>
      </c>
      <c r="BH62">
        <v>2.1271300000000002</v>
      </c>
      <c r="BI62">
        <v>2.1242800000000002</v>
      </c>
      <c r="BJ62">
        <v>2.12521</v>
      </c>
      <c r="BK62">
        <v>2.1218900000000001</v>
      </c>
      <c r="BL62">
        <v>2.1152299999999999</v>
      </c>
      <c r="BM62">
        <v>2.1085799999999999</v>
      </c>
      <c r="BN62">
        <v>2.1085799999999999</v>
      </c>
      <c r="BO62">
        <v>2.0470100000000002</v>
      </c>
      <c r="BP62">
        <v>2.1012599999999999</v>
      </c>
      <c r="BQ62">
        <v>2.10127</v>
      </c>
      <c r="BR62">
        <v>2.0983700000000001</v>
      </c>
      <c r="BS62">
        <v>2.0983800000000001</v>
      </c>
      <c r="BT62">
        <v>2.0983800000000001</v>
      </c>
      <c r="BW62">
        <v>2.0946400000000001</v>
      </c>
      <c r="BX62">
        <v>2.09131</v>
      </c>
      <c r="BY62">
        <v>2.08799</v>
      </c>
      <c r="BZ62">
        <v>2.08466</v>
      </c>
      <c r="CA62">
        <v>2.07843</v>
      </c>
      <c r="CB62">
        <v>2.0784400000000001</v>
      </c>
      <c r="CC62">
        <v>2.0780099999999999</v>
      </c>
      <c r="CD62">
        <v>2.07802</v>
      </c>
      <c r="CE62">
        <v>2.0686300000000002</v>
      </c>
      <c r="CF62">
        <v>2.0686399999999998</v>
      </c>
      <c r="CG62">
        <v>2.0687799999999998</v>
      </c>
      <c r="CH62">
        <v>2.0687799999999998</v>
      </c>
      <c r="CI62">
        <v>2.06338</v>
      </c>
      <c r="CJ62">
        <v>2.0580500000000002</v>
      </c>
      <c r="CK62">
        <v>2.0585</v>
      </c>
      <c r="CL62">
        <v>2.0585</v>
      </c>
      <c r="CM62">
        <v>2.0585100000000001</v>
      </c>
      <c r="CN62">
        <v>2.0621399999999999</v>
      </c>
      <c r="CO62">
        <v>2.0644200000000001</v>
      </c>
      <c r="CP62">
        <v>2.0510199999999998</v>
      </c>
      <c r="CQ62">
        <v>2.0598900000000002</v>
      </c>
      <c r="CS62">
        <v>2.0410300000000001</v>
      </c>
      <c r="CT62">
        <v>2.0484</v>
      </c>
      <c r="CU62">
        <v>2.0484100000000001</v>
      </c>
      <c r="CV62">
        <v>2.0484100000000001</v>
      </c>
      <c r="CW62">
        <v>2.04541</v>
      </c>
      <c r="CX62">
        <v>2.04542</v>
      </c>
      <c r="CY62">
        <v>2.04291</v>
      </c>
      <c r="CZ62">
        <v>2.0310600000000001</v>
      </c>
      <c r="DA62">
        <v>2.0354299999999999</v>
      </c>
      <c r="DB62">
        <v>2.0354299999999999</v>
      </c>
      <c r="DC62">
        <v>1.9401299999999999</v>
      </c>
    </row>
    <row r="63" spans="1:107" x14ac:dyDescent="0.25">
      <c r="A63">
        <f t="shared" si="0"/>
        <v>3</v>
      </c>
      <c r="B63" s="2">
        <v>42094</v>
      </c>
      <c r="E63">
        <v>0.55100000000000005</v>
      </c>
      <c r="F63">
        <v>0.59948999999999997</v>
      </c>
      <c r="G63">
        <v>0.63227999999999995</v>
      </c>
      <c r="H63">
        <v>0.62241000000000002</v>
      </c>
      <c r="I63">
        <v>0.53754000000000002</v>
      </c>
      <c r="J63">
        <v>0.62258999999999998</v>
      </c>
      <c r="K63">
        <v>0.62987000000000004</v>
      </c>
      <c r="L63">
        <v>0.57699999999999996</v>
      </c>
      <c r="M63">
        <v>0.59204999999999997</v>
      </c>
      <c r="N63">
        <v>0.53227000000000002</v>
      </c>
      <c r="O63">
        <v>0.67798000000000003</v>
      </c>
      <c r="P63">
        <v>0.63698999999999995</v>
      </c>
      <c r="Q63">
        <v>0.56244000000000005</v>
      </c>
      <c r="R63">
        <v>0.59436</v>
      </c>
      <c r="S63">
        <v>0.66413</v>
      </c>
      <c r="T63">
        <v>0.69716999999999996</v>
      </c>
      <c r="U63">
        <v>0.60824999999999996</v>
      </c>
      <c r="V63">
        <v>0.61163000000000001</v>
      </c>
      <c r="W63">
        <v>0.67481000000000002</v>
      </c>
      <c r="X63">
        <v>0.72899999999999998</v>
      </c>
      <c r="Y63">
        <v>0.78251999999999999</v>
      </c>
      <c r="Z63">
        <v>0.72970999999999997</v>
      </c>
      <c r="AA63">
        <v>0.80171999999999999</v>
      </c>
      <c r="AB63">
        <v>0.79825999999999997</v>
      </c>
      <c r="AC63">
        <v>0.88129000000000002</v>
      </c>
      <c r="AD63">
        <v>0.84448000000000001</v>
      </c>
      <c r="AE63">
        <v>0.78520999999999996</v>
      </c>
      <c r="AF63">
        <v>0.93506</v>
      </c>
      <c r="AG63">
        <v>0.96704000000000001</v>
      </c>
      <c r="AH63">
        <v>1.04278</v>
      </c>
      <c r="AI63">
        <v>1.0385599999999999</v>
      </c>
      <c r="AJ63">
        <v>1.0294700000000001</v>
      </c>
      <c r="AK63">
        <v>0.90034999999999998</v>
      </c>
      <c r="AL63">
        <v>1.1029100000000001</v>
      </c>
      <c r="AM63">
        <v>1.2141500000000001</v>
      </c>
      <c r="AN63">
        <v>1.03531</v>
      </c>
      <c r="AO63">
        <v>1.2650399999999999</v>
      </c>
      <c r="AP63">
        <v>1.3452999999999999</v>
      </c>
      <c r="AQ63">
        <v>1.17411</v>
      </c>
      <c r="AR63">
        <v>1.3910400000000001</v>
      </c>
      <c r="AS63">
        <v>1.4381299999999999</v>
      </c>
      <c r="AT63">
        <v>1.47048</v>
      </c>
      <c r="AU63">
        <v>1.4582900000000001</v>
      </c>
      <c r="AV63">
        <v>1.38931</v>
      </c>
      <c r="AW63">
        <v>1.8731</v>
      </c>
      <c r="AX63">
        <v>1.8843399999999999</v>
      </c>
      <c r="AY63">
        <v>1.9167000000000001</v>
      </c>
      <c r="AZ63">
        <v>1.93387</v>
      </c>
      <c r="BA63">
        <v>1.9562999999999999</v>
      </c>
      <c r="BB63">
        <v>2.01153</v>
      </c>
      <c r="BC63">
        <v>2.0336500000000002</v>
      </c>
      <c r="BD63">
        <v>2.0727099999999998</v>
      </c>
      <c r="BE63">
        <v>1.97224</v>
      </c>
      <c r="BF63">
        <v>2.1323799999999999</v>
      </c>
      <c r="BG63">
        <v>2.1290800000000001</v>
      </c>
      <c r="BH63">
        <v>2.1238000000000001</v>
      </c>
      <c r="BI63">
        <v>2.1182799999999999</v>
      </c>
      <c r="BJ63">
        <v>2.1201500000000002</v>
      </c>
      <c r="BK63">
        <v>2.1168399999999998</v>
      </c>
      <c r="BL63">
        <v>2.1101999999999999</v>
      </c>
      <c r="BM63">
        <v>2.1035599999999999</v>
      </c>
      <c r="BN63">
        <v>2.0983999999999998</v>
      </c>
      <c r="BO63">
        <v>2.0429499999999998</v>
      </c>
      <c r="BP63">
        <v>2.0924200000000002</v>
      </c>
      <c r="BQ63">
        <v>2.0924399999999999</v>
      </c>
      <c r="BR63">
        <v>2.09246</v>
      </c>
      <c r="BS63">
        <v>2.0924700000000001</v>
      </c>
      <c r="BT63">
        <v>2.0924900000000002</v>
      </c>
      <c r="BW63">
        <v>2.0897000000000001</v>
      </c>
      <c r="BX63">
        <v>2.0863800000000001</v>
      </c>
      <c r="BY63">
        <v>2.0830700000000002</v>
      </c>
      <c r="BZ63">
        <v>2.0797400000000001</v>
      </c>
      <c r="CA63">
        <v>2.0725899999999999</v>
      </c>
      <c r="CB63">
        <v>2.0726</v>
      </c>
      <c r="CC63">
        <v>2.0731199999999999</v>
      </c>
      <c r="CD63">
        <v>2.07314</v>
      </c>
      <c r="CE63">
        <v>2.06351</v>
      </c>
      <c r="CF63">
        <v>2.06352</v>
      </c>
      <c r="CG63">
        <v>2.0632000000000001</v>
      </c>
      <c r="CH63">
        <v>2.0628500000000001</v>
      </c>
      <c r="CI63">
        <v>2.0602200000000002</v>
      </c>
      <c r="CJ63">
        <v>2.05321</v>
      </c>
      <c r="CK63">
        <v>2.0527099999999998</v>
      </c>
      <c r="CL63">
        <v>2.0527199999999999</v>
      </c>
      <c r="CM63">
        <v>2.0527299999999999</v>
      </c>
      <c r="CN63">
        <v>2.05274</v>
      </c>
      <c r="CO63">
        <v>2.0502500000000001</v>
      </c>
      <c r="CP63">
        <v>2.0452599999999999</v>
      </c>
      <c r="CQ63">
        <v>2.0495899999999998</v>
      </c>
      <c r="CS63">
        <v>2.0502400000000001</v>
      </c>
      <c r="CT63">
        <v>2.0487700000000002</v>
      </c>
      <c r="CU63">
        <v>2.0487799999999998</v>
      </c>
      <c r="CV63">
        <v>2.0487799999999998</v>
      </c>
      <c r="CW63">
        <v>2.0417999999999998</v>
      </c>
      <c r="CX63">
        <v>2.0417999999999998</v>
      </c>
      <c r="CY63">
        <v>2.0392999999999999</v>
      </c>
      <c r="CZ63">
        <v>2.02535</v>
      </c>
      <c r="DA63">
        <v>2.0318299999999998</v>
      </c>
      <c r="DB63">
        <v>2.0318399999999999</v>
      </c>
      <c r="DC63">
        <v>1.9374</v>
      </c>
    </row>
    <row r="64" spans="1:107" x14ac:dyDescent="0.25">
      <c r="A64">
        <f t="shared" si="0"/>
        <v>4</v>
      </c>
      <c r="B64" s="2">
        <v>42095</v>
      </c>
      <c r="E64">
        <v>0.53851000000000004</v>
      </c>
      <c r="F64">
        <v>0.59933000000000003</v>
      </c>
      <c r="G64">
        <v>0.59501000000000004</v>
      </c>
      <c r="H64">
        <v>0.58416999999999997</v>
      </c>
      <c r="I64">
        <v>0.53781999999999996</v>
      </c>
      <c r="J64">
        <v>0.62256</v>
      </c>
      <c r="K64">
        <v>0.62319999999999998</v>
      </c>
      <c r="L64">
        <v>0.56393000000000004</v>
      </c>
      <c r="M64">
        <v>0.58808000000000005</v>
      </c>
      <c r="N64">
        <v>0.52186999999999995</v>
      </c>
      <c r="O64">
        <v>0.65312000000000003</v>
      </c>
      <c r="P64">
        <v>0.63005999999999995</v>
      </c>
      <c r="Q64">
        <v>0.54752999999999996</v>
      </c>
      <c r="R64">
        <v>0.57916000000000001</v>
      </c>
      <c r="S64">
        <v>0.65025999999999995</v>
      </c>
      <c r="T64">
        <v>0.68181999999999998</v>
      </c>
      <c r="U64">
        <v>0.59321999999999997</v>
      </c>
      <c r="V64">
        <v>0.59711999999999998</v>
      </c>
      <c r="W64">
        <v>0.66188000000000002</v>
      </c>
      <c r="X64">
        <v>0.71536</v>
      </c>
      <c r="Y64">
        <v>0.74212999999999996</v>
      </c>
      <c r="Z64">
        <v>0.69071000000000005</v>
      </c>
      <c r="AA64">
        <v>0.76053999999999999</v>
      </c>
      <c r="AB64">
        <v>0.75985999999999998</v>
      </c>
      <c r="AC64">
        <v>0.83274000000000004</v>
      </c>
      <c r="AD64">
        <v>0.82291999999999998</v>
      </c>
      <c r="AE64">
        <v>0.73480999999999996</v>
      </c>
      <c r="AF64">
        <v>0.89827000000000001</v>
      </c>
      <c r="AG64">
        <v>0.93425999999999998</v>
      </c>
      <c r="AH64">
        <v>1.0059199999999999</v>
      </c>
      <c r="AI64">
        <v>0.98797000000000001</v>
      </c>
      <c r="AJ64">
        <v>0.99404000000000003</v>
      </c>
      <c r="AK64">
        <v>0.87480000000000002</v>
      </c>
      <c r="AL64">
        <v>1.0661799999999999</v>
      </c>
      <c r="AM64">
        <v>1.1644699999999999</v>
      </c>
      <c r="AN64">
        <v>0.98951999999999996</v>
      </c>
      <c r="AO64">
        <v>1.2185999999999999</v>
      </c>
      <c r="AP64">
        <v>1.2951699999999999</v>
      </c>
      <c r="AQ64">
        <v>1.12812</v>
      </c>
      <c r="AR64">
        <v>1.34175</v>
      </c>
      <c r="AS64">
        <v>1.3875</v>
      </c>
      <c r="AT64">
        <v>1.4192199999999999</v>
      </c>
      <c r="AU64">
        <v>1.40622</v>
      </c>
      <c r="AV64">
        <v>1.3383499999999999</v>
      </c>
      <c r="AW64">
        <v>1.83491</v>
      </c>
      <c r="AX64">
        <v>1.8246800000000001</v>
      </c>
      <c r="AY64">
        <v>1.8790800000000001</v>
      </c>
      <c r="AZ64">
        <v>1.89523</v>
      </c>
      <c r="BA64">
        <v>1.9152100000000001</v>
      </c>
      <c r="BB64">
        <v>1.96641</v>
      </c>
      <c r="BC64">
        <v>1.9929399999999999</v>
      </c>
      <c r="BD64">
        <v>2.0329600000000001</v>
      </c>
      <c r="BE64">
        <v>1.9318599999999999</v>
      </c>
      <c r="BF64">
        <v>2.0929799999999998</v>
      </c>
      <c r="BG64">
        <v>2.08968</v>
      </c>
      <c r="BH64">
        <v>2.0851899999999999</v>
      </c>
      <c r="BI64">
        <v>2.0789900000000001</v>
      </c>
      <c r="BJ64">
        <v>2.0807500000000001</v>
      </c>
      <c r="BK64">
        <v>2.0774400000000002</v>
      </c>
      <c r="BL64">
        <v>2.0708000000000002</v>
      </c>
      <c r="BM64">
        <v>2.0641600000000002</v>
      </c>
      <c r="BN64">
        <v>2.0590999999999999</v>
      </c>
      <c r="BO64">
        <v>2.0034999999999998</v>
      </c>
      <c r="BP64">
        <v>2.0531299999999999</v>
      </c>
      <c r="BQ64">
        <v>2.05315</v>
      </c>
      <c r="BR64">
        <v>2.0531600000000001</v>
      </c>
      <c r="BS64">
        <v>2.0531799999999998</v>
      </c>
      <c r="BT64">
        <v>2.0531899999999998</v>
      </c>
      <c r="BW64">
        <v>2.0503</v>
      </c>
      <c r="BX64">
        <v>2.04698</v>
      </c>
      <c r="BY64">
        <v>2.0436700000000001</v>
      </c>
      <c r="BZ64">
        <v>2.04034</v>
      </c>
      <c r="CA64">
        <v>2.03329</v>
      </c>
      <c r="CB64">
        <v>2.0333000000000001</v>
      </c>
      <c r="CC64">
        <v>2.0337200000000002</v>
      </c>
      <c r="CD64">
        <v>2.0337299999999998</v>
      </c>
      <c r="CE64">
        <v>2.0238999999999998</v>
      </c>
      <c r="CF64">
        <v>2.0239099999999999</v>
      </c>
      <c r="CG64">
        <v>2.0234399999999999</v>
      </c>
      <c r="CH64">
        <v>2.02345</v>
      </c>
      <c r="CI64">
        <v>2.0187499999999998</v>
      </c>
      <c r="CJ64">
        <v>2.0138099999999999</v>
      </c>
      <c r="CK64">
        <v>2.0134099999999999</v>
      </c>
      <c r="CL64">
        <v>2.01342</v>
      </c>
      <c r="CM64">
        <v>2.0134300000000001</v>
      </c>
      <c r="CN64">
        <v>2.0134400000000001</v>
      </c>
      <c r="CO64">
        <v>2.0109499999999998</v>
      </c>
      <c r="CP64">
        <v>2.00596</v>
      </c>
      <c r="CQ64">
        <v>2.0034700000000001</v>
      </c>
      <c r="CS64">
        <v>2.0109499999999998</v>
      </c>
      <c r="CT64">
        <v>2.0247099999999998</v>
      </c>
      <c r="CU64">
        <v>2.0247199999999999</v>
      </c>
      <c r="CV64">
        <v>2.0247299999999999</v>
      </c>
      <c r="CW64">
        <v>2.0044900000000001</v>
      </c>
      <c r="CX64">
        <v>2.0044900000000001</v>
      </c>
      <c r="CY64">
        <v>2.0019900000000002</v>
      </c>
      <c r="CZ64">
        <v>1.99702</v>
      </c>
      <c r="DA64">
        <v>1.9945200000000001</v>
      </c>
      <c r="DB64">
        <v>1.9945200000000001</v>
      </c>
      <c r="DC64">
        <v>1.9008100000000001</v>
      </c>
    </row>
    <row r="65" spans="1:107" x14ac:dyDescent="0.25">
      <c r="A65">
        <f t="shared" si="0"/>
        <v>5</v>
      </c>
      <c r="B65" s="2">
        <v>42096</v>
      </c>
      <c r="E65">
        <v>0.54374999999999996</v>
      </c>
      <c r="F65">
        <v>0.59916999999999998</v>
      </c>
      <c r="G65">
        <v>0.66718</v>
      </c>
      <c r="H65">
        <v>0.62378</v>
      </c>
      <c r="I65">
        <v>0.53281000000000001</v>
      </c>
      <c r="J65">
        <v>0.62251999999999996</v>
      </c>
      <c r="K65">
        <v>0.60563</v>
      </c>
      <c r="L65">
        <v>0.56620999999999999</v>
      </c>
      <c r="M65">
        <v>0.58708000000000005</v>
      </c>
      <c r="N65">
        <v>0.52061999999999997</v>
      </c>
      <c r="O65">
        <v>0.66920000000000002</v>
      </c>
      <c r="P65">
        <v>0.63449999999999995</v>
      </c>
      <c r="Q65">
        <v>0.54386000000000001</v>
      </c>
      <c r="R65">
        <v>0.57757999999999998</v>
      </c>
      <c r="S65">
        <v>0.62241000000000002</v>
      </c>
      <c r="T65">
        <v>0.68279999999999996</v>
      </c>
      <c r="U65">
        <v>0.59336</v>
      </c>
      <c r="V65">
        <v>0.59531000000000001</v>
      </c>
      <c r="W65">
        <v>0.65803999999999996</v>
      </c>
      <c r="X65">
        <v>0.71387</v>
      </c>
      <c r="Y65">
        <v>0.74707999999999997</v>
      </c>
      <c r="Z65">
        <v>0.69352999999999998</v>
      </c>
      <c r="AA65">
        <v>0.76090999999999998</v>
      </c>
      <c r="AB65">
        <v>0.76104000000000005</v>
      </c>
      <c r="AC65">
        <v>0.83292999999999995</v>
      </c>
      <c r="AD65">
        <v>0.83914999999999995</v>
      </c>
      <c r="AE65">
        <v>0.75063999999999997</v>
      </c>
      <c r="AF65">
        <v>0.89888000000000001</v>
      </c>
      <c r="AG65">
        <v>0.93449000000000004</v>
      </c>
      <c r="AH65">
        <v>1.00502</v>
      </c>
      <c r="AI65">
        <v>0.95957000000000003</v>
      </c>
      <c r="AJ65">
        <v>0.99512999999999996</v>
      </c>
      <c r="AK65">
        <v>0.85729999999999995</v>
      </c>
      <c r="AL65">
        <v>1.0668500000000001</v>
      </c>
      <c r="AM65">
        <v>1.1554800000000001</v>
      </c>
      <c r="AN65">
        <v>0.98728000000000005</v>
      </c>
      <c r="AO65">
        <v>1.2189099999999999</v>
      </c>
      <c r="AP65">
        <v>1.2882899999999999</v>
      </c>
      <c r="AQ65">
        <v>1.1287400000000001</v>
      </c>
      <c r="AR65">
        <v>1.3367100000000001</v>
      </c>
      <c r="AS65">
        <v>1.37974</v>
      </c>
      <c r="AT65">
        <v>1.40602</v>
      </c>
      <c r="AU65">
        <v>1.3983099999999999</v>
      </c>
      <c r="AV65">
        <v>1.3321000000000001</v>
      </c>
      <c r="AW65">
        <v>1.8312200000000001</v>
      </c>
      <c r="AX65">
        <v>1.83805</v>
      </c>
      <c r="AY65">
        <v>1.87801</v>
      </c>
      <c r="AZ65">
        <v>1.89137</v>
      </c>
      <c r="BA65">
        <v>1.9147400000000001</v>
      </c>
      <c r="BB65">
        <v>1.97601</v>
      </c>
      <c r="BC65">
        <v>1.99919</v>
      </c>
      <c r="BD65">
        <v>2.0377999999999998</v>
      </c>
      <c r="BE65">
        <v>1.9400500000000001</v>
      </c>
      <c r="BF65">
        <v>2.1028500000000001</v>
      </c>
      <c r="BG65">
        <v>2.1021700000000001</v>
      </c>
      <c r="BH65">
        <v>2.0996700000000001</v>
      </c>
      <c r="BI65">
        <v>2.0897199999999998</v>
      </c>
      <c r="BJ65">
        <v>2.09205</v>
      </c>
      <c r="BK65">
        <v>2.0847600000000002</v>
      </c>
      <c r="BL65">
        <v>2.0821000000000001</v>
      </c>
      <c r="BM65">
        <v>2.07626</v>
      </c>
      <c r="BN65">
        <v>2.08127</v>
      </c>
      <c r="BO65">
        <v>2.0140099999999999</v>
      </c>
      <c r="BP65">
        <v>2.06385</v>
      </c>
      <c r="BQ65">
        <v>2.0638700000000001</v>
      </c>
      <c r="BR65">
        <v>2.0638800000000002</v>
      </c>
      <c r="BS65">
        <v>2.0638999999999998</v>
      </c>
      <c r="BT65">
        <v>2.06392</v>
      </c>
      <c r="BW65">
        <v>2.0644499999999999</v>
      </c>
      <c r="BX65">
        <v>2.0582799999999999</v>
      </c>
      <c r="BY65">
        <v>2.0549599999999999</v>
      </c>
      <c r="BZ65">
        <v>2.0516399999999999</v>
      </c>
      <c r="CA65">
        <v>2.0440100000000001</v>
      </c>
      <c r="CB65">
        <v>2.0440200000000002</v>
      </c>
      <c r="CC65">
        <v>2.0450200000000001</v>
      </c>
      <c r="CD65">
        <v>2.0450300000000001</v>
      </c>
      <c r="CE65">
        <v>2.0365199999999999</v>
      </c>
      <c r="CF65">
        <v>2.03653</v>
      </c>
      <c r="CG65">
        <v>2.0333000000000001</v>
      </c>
      <c r="CH65">
        <v>2.0319500000000001</v>
      </c>
      <c r="CI65">
        <v>2.0294099999999999</v>
      </c>
      <c r="CJ65">
        <v>2.0236700000000001</v>
      </c>
      <c r="CK65">
        <v>2.0219800000000001</v>
      </c>
      <c r="CL65">
        <v>2.0219900000000002</v>
      </c>
      <c r="CM65">
        <v>2.0219999999999998</v>
      </c>
      <c r="CN65">
        <v>2.0220099999999999</v>
      </c>
      <c r="CO65">
        <v>2.01952</v>
      </c>
      <c r="CP65">
        <v>2.0266600000000001</v>
      </c>
      <c r="CQ65">
        <v>2.0120399999999998</v>
      </c>
      <c r="CS65">
        <v>2.0216599999999998</v>
      </c>
      <c r="CT65">
        <v>2.0216699999999999</v>
      </c>
      <c r="CU65">
        <v>2.0216799999999999</v>
      </c>
      <c r="CV65">
        <v>2.0216799999999999</v>
      </c>
      <c r="CW65">
        <v>2.0152000000000001</v>
      </c>
      <c r="CX65">
        <v>2.0152100000000002</v>
      </c>
      <c r="CY65">
        <v>2.0133200000000002</v>
      </c>
      <c r="CZ65">
        <v>2.0077400000000001</v>
      </c>
      <c r="DA65">
        <v>2.0052300000000001</v>
      </c>
      <c r="DB65">
        <v>2.0052400000000001</v>
      </c>
      <c r="DC65">
        <v>1.9111100000000001</v>
      </c>
    </row>
    <row r="66" spans="1:107" x14ac:dyDescent="0.25">
      <c r="A66">
        <f t="shared" si="0"/>
        <v>2</v>
      </c>
      <c r="B66" s="2">
        <v>42100</v>
      </c>
      <c r="E66">
        <v>0.57218000000000002</v>
      </c>
      <c r="F66">
        <v>0.60634999999999994</v>
      </c>
      <c r="G66">
        <v>0.67939000000000005</v>
      </c>
      <c r="H66">
        <v>0.64581</v>
      </c>
      <c r="I66">
        <v>0.53737000000000001</v>
      </c>
      <c r="J66">
        <v>0.62324000000000002</v>
      </c>
      <c r="K66">
        <v>0.61224000000000001</v>
      </c>
      <c r="L66">
        <v>0.58657000000000004</v>
      </c>
      <c r="M66">
        <v>0.60243999999999998</v>
      </c>
      <c r="N66">
        <v>0.53520000000000001</v>
      </c>
      <c r="O66">
        <v>0.65995999999999999</v>
      </c>
      <c r="P66">
        <v>0.63983999999999996</v>
      </c>
      <c r="Q66">
        <v>0.55937000000000003</v>
      </c>
      <c r="R66">
        <v>0.58992999999999995</v>
      </c>
      <c r="S66">
        <v>0.65712999999999999</v>
      </c>
      <c r="T66">
        <v>0.69044000000000005</v>
      </c>
      <c r="U66">
        <v>0.60335000000000005</v>
      </c>
      <c r="V66">
        <v>0.60821000000000003</v>
      </c>
      <c r="W66">
        <v>0.68362999999999996</v>
      </c>
      <c r="X66">
        <v>0.72663999999999995</v>
      </c>
      <c r="Y66">
        <v>0.77273999999999998</v>
      </c>
      <c r="Z66">
        <v>0.72133000000000003</v>
      </c>
      <c r="AA66">
        <v>0.79356000000000004</v>
      </c>
      <c r="AB66">
        <v>0.78915000000000002</v>
      </c>
      <c r="AC66">
        <v>0.87463999999999997</v>
      </c>
      <c r="AD66">
        <v>0.83928999999999998</v>
      </c>
      <c r="AE66">
        <v>0.78122000000000003</v>
      </c>
      <c r="AF66">
        <v>0.93</v>
      </c>
      <c r="AG66">
        <v>0.96194000000000002</v>
      </c>
      <c r="AH66">
        <v>1.03847</v>
      </c>
      <c r="AI66">
        <v>1.0024599999999999</v>
      </c>
      <c r="AJ66">
        <v>1.02634</v>
      </c>
      <c r="AK66">
        <v>0.89671999999999996</v>
      </c>
      <c r="AL66">
        <v>1.09962</v>
      </c>
      <c r="AM66">
        <v>1.19767</v>
      </c>
      <c r="AN66">
        <v>1.0177099999999999</v>
      </c>
      <c r="AO66">
        <v>1.2511000000000001</v>
      </c>
      <c r="AP66">
        <v>1.32802</v>
      </c>
      <c r="AQ66">
        <v>1.16794</v>
      </c>
      <c r="AR66">
        <v>1.3737200000000001</v>
      </c>
      <c r="AS66">
        <v>1.419</v>
      </c>
      <c r="AT66">
        <v>1.45292</v>
      </c>
      <c r="AU66">
        <v>1.4426600000000001</v>
      </c>
      <c r="AV66">
        <v>1.3750800000000001</v>
      </c>
      <c r="AW66">
        <v>1.8716600000000001</v>
      </c>
      <c r="AX66">
        <v>1.88354</v>
      </c>
      <c r="AY66">
        <v>1.9183600000000001</v>
      </c>
      <c r="AZ66">
        <v>1.9317200000000001</v>
      </c>
      <c r="BA66">
        <v>1.9557599999999999</v>
      </c>
      <c r="BB66">
        <v>2.01552</v>
      </c>
      <c r="BC66">
        <v>2.03898</v>
      </c>
      <c r="BD66">
        <v>2.0876999999999999</v>
      </c>
      <c r="BE66">
        <v>1.9852799999999999</v>
      </c>
      <c r="BF66">
        <v>2.1468699999999998</v>
      </c>
      <c r="BG66">
        <v>2.1459100000000002</v>
      </c>
      <c r="BH66">
        <v>2.1431100000000001</v>
      </c>
      <c r="BI66">
        <v>2.1334300000000002</v>
      </c>
      <c r="BJ66">
        <v>2.1358000000000001</v>
      </c>
      <c r="BK66">
        <v>2.12846</v>
      </c>
      <c r="BL66">
        <v>2.12582</v>
      </c>
      <c r="BM66">
        <v>2.11917</v>
      </c>
      <c r="BN66">
        <v>2.1250499999999999</v>
      </c>
      <c r="BO66">
        <v>2.0591300000000001</v>
      </c>
      <c r="BP66">
        <v>2.1074999999999999</v>
      </c>
      <c r="BQ66">
        <v>2.10751</v>
      </c>
      <c r="BR66">
        <v>2.1075200000000001</v>
      </c>
      <c r="BS66">
        <v>2.1075300000000001</v>
      </c>
      <c r="BT66">
        <v>2.1075400000000002</v>
      </c>
      <c r="BW66">
        <v>2.1052399999999998</v>
      </c>
      <c r="BX66">
        <v>2.1019199999999998</v>
      </c>
      <c r="BY66">
        <v>2.0985900000000002</v>
      </c>
      <c r="BZ66">
        <v>2.0952600000000001</v>
      </c>
      <c r="CA66">
        <v>2.0875900000000001</v>
      </c>
      <c r="CB66">
        <v>2.0875900000000001</v>
      </c>
      <c r="CC66">
        <v>2.0886200000000001</v>
      </c>
      <c r="CD66">
        <v>2.0886300000000002</v>
      </c>
      <c r="CE66">
        <v>2.0801799999999999</v>
      </c>
      <c r="CF66">
        <v>2.08019</v>
      </c>
      <c r="CG66">
        <v>2.0771000000000002</v>
      </c>
      <c r="CH66">
        <v>2.0758200000000002</v>
      </c>
      <c r="CI66">
        <v>2.0733899999999998</v>
      </c>
      <c r="CJ66">
        <v>2.0674600000000001</v>
      </c>
      <c r="CK66">
        <v>2.0658400000000001</v>
      </c>
      <c r="CL66">
        <v>2.0658400000000001</v>
      </c>
      <c r="CM66">
        <v>2.0658500000000002</v>
      </c>
      <c r="CN66">
        <v>2.0658500000000002</v>
      </c>
      <c r="CO66">
        <v>2.0633499999999998</v>
      </c>
      <c r="CP66">
        <v>2.0701499999999999</v>
      </c>
      <c r="CQ66">
        <v>2.0558700000000001</v>
      </c>
      <c r="CS66">
        <v>2.06514</v>
      </c>
      <c r="CT66">
        <v>2.06514</v>
      </c>
      <c r="CU66">
        <v>2.06515</v>
      </c>
      <c r="CV66">
        <v>2.06515</v>
      </c>
      <c r="CW66">
        <v>2.0586600000000002</v>
      </c>
      <c r="CX66">
        <v>2.0586700000000002</v>
      </c>
      <c r="CY66">
        <v>2.0569999999999999</v>
      </c>
      <c r="CZ66">
        <v>2.0511900000000001</v>
      </c>
      <c r="DA66">
        <v>2.0486800000000001</v>
      </c>
      <c r="DB66">
        <v>2.0486800000000001</v>
      </c>
      <c r="DC66">
        <v>1.9582999999999999</v>
      </c>
    </row>
    <row r="67" spans="1:107" x14ac:dyDescent="0.25">
      <c r="A67">
        <f t="shared" ref="A67:A130" si="1">WEEKDAY(B67)</f>
        <v>3</v>
      </c>
      <c r="B67" s="2">
        <v>42101</v>
      </c>
      <c r="E67">
        <v>0.58087999999999995</v>
      </c>
      <c r="F67">
        <v>0.60626000000000002</v>
      </c>
      <c r="G67">
        <v>0.67718</v>
      </c>
      <c r="H67">
        <v>0.62739999999999996</v>
      </c>
      <c r="I67">
        <v>0.5423</v>
      </c>
      <c r="J67">
        <v>0.62322</v>
      </c>
      <c r="K67">
        <v>0.61604999999999999</v>
      </c>
      <c r="L67">
        <v>0.59113000000000004</v>
      </c>
      <c r="M67">
        <v>0.60343000000000002</v>
      </c>
      <c r="N67">
        <v>0.53544000000000003</v>
      </c>
      <c r="O67">
        <v>0.66393999999999997</v>
      </c>
      <c r="P67">
        <v>0.64390999999999998</v>
      </c>
      <c r="Q67">
        <v>0.56011</v>
      </c>
      <c r="R67">
        <v>0.59174000000000004</v>
      </c>
      <c r="S67">
        <v>0.63390999999999997</v>
      </c>
      <c r="T67">
        <v>0.69328999999999996</v>
      </c>
      <c r="U67">
        <v>0.60270000000000001</v>
      </c>
      <c r="V67">
        <v>0.60696000000000006</v>
      </c>
      <c r="W67">
        <v>0.68228999999999995</v>
      </c>
      <c r="X67">
        <v>0.72543000000000002</v>
      </c>
      <c r="Y67">
        <v>0.76795000000000002</v>
      </c>
      <c r="Z67">
        <v>0.71614</v>
      </c>
      <c r="AA67">
        <v>0.78649000000000002</v>
      </c>
      <c r="AB67">
        <v>0.78581999999999996</v>
      </c>
      <c r="AC67">
        <v>0.86407999999999996</v>
      </c>
      <c r="AD67">
        <v>0.85728000000000004</v>
      </c>
      <c r="AE67">
        <v>0.78256999999999999</v>
      </c>
      <c r="AF67">
        <v>0.92815999999999999</v>
      </c>
      <c r="AG67">
        <v>0.96716000000000002</v>
      </c>
      <c r="AH67">
        <v>1.0377400000000001</v>
      </c>
      <c r="AI67">
        <v>1.0002599999999999</v>
      </c>
      <c r="AJ67">
        <v>1.02739</v>
      </c>
      <c r="AK67">
        <v>0.89498999999999995</v>
      </c>
      <c r="AL67">
        <v>1.1007499999999999</v>
      </c>
      <c r="AM67">
        <v>1.1905600000000001</v>
      </c>
      <c r="AN67">
        <v>1.01803</v>
      </c>
      <c r="AO67">
        <v>1.2470600000000001</v>
      </c>
      <c r="AP67">
        <v>1.31474</v>
      </c>
      <c r="AQ67">
        <v>1.1609799999999999</v>
      </c>
      <c r="AR67">
        <v>1.36649</v>
      </c>
      <c r="AS67">
        <v>1.4133800000000001</v>
      </c>
      <c r="AT67">
        <v>1.4448799999999999</v>
      </c>
      <c r="AU67">
        <v>1.4323300000000001</v>
      </c>
      <c r="AV67">
        <v>1.3661099999999999</v>
      </c>
      <c r="AW67">
        <v>1.8595900000000001</v>
      </c>
      <c r="AX67">
        <v>1.86988</v>
      </c>
      <c r="AY67">
        <v>1.90384</v>
      </c>
      <c r="AZ67">
        <v>1.9141699999999999</v>
      </c>
      <c r="BA67">
        <v>1.94356</v>
      </c>
      <c r="BB67">
        <v>2.0031400000000001</v>
      </c>
      <c r="BC67">
        <v>2.0259100000000001</v>
      </c>
      <c r="BD67">
        <v>2.0703499999999999</v>
      </c>
      <c r="BE67">
        <v>1.97041</v>
      </c>
      <c r="BF67">
        <v>2.1324999999999998</v>
      </c>
      <c r="BG67">
        <v>2.1291799999999999</v>
      </c>
      <c r="BH67">
        <v>2.1246100000000001</v>
      </c>
      <c r="BI67">
        <v>2.1182500000000002</v>
      </c>
      <c r="BJ67">
        <v>2.1202200000000002</v>
      </c>
      <c r="BK67">
        <v>2.1168900000000002</v>
      </c>
      <c r="BL67">
        <v>2.1102400000000001</v>
      </c>
      <c r="BM67">
        <v>2.1035900000000001</v>
      </c>
      <c r="BN67">
        <v>2.0983000000000001</v>
      </c>
      <c r="BO67">
        <v>2.04426</v>
      </c>
      <c r="BP67">
        <v>2.09232</v>
      </c>
      <c r="BQ67">
        <v>2.09233</v>
      </c>
      <c r="BR67">
        <v>2.0923400000000001</v>
      </c>
      <c r="BS67">
        <v>2.0923400000000001</v>
      </c>
      <c r="BT67">
        <v>2.0923500000000002</v>
      </c>
      <c r="BW67">
        <v>2.0896599999999999</v>
      </c>
      <c r="BX67">
        <v>2.0863299999999998</v>
      </c>
      <c r="BY67">
        <v>2.0830099999999998</v>
      </c>
      <c r="BZ67">
        <v>2.0796800000000002</v>
      </c>
      <c r="CA67">
        <v>2.0724</v>
      </c>
      <c r="CB67">
        <v>2.0724100000000001</v>
      </c>
      <c r="CC67">
        <v>2.0730400000000002</v>
      </c>
      <c r="CD67">
        <v>2.0730400000000002</v>
      </c>
      <c r="CE67">
        <v>2.0636399999999999</v>
      </c>
      <c r="CF67">
        <v>2.0636399999999999</v>
      </c>
      <c r="CG67">
        <v>2.06331</v>
      </c>
      <c r="CH67">
        <v>2.0627399999999998</v>
      </c>
      <c r="CI67">
        <v>2.0603199999999999</v>
      </c>
      <c r="CJ67">
        <v>2.05308</v>
      </c>
      <c r="CK67">
        <v>2.05246</v>
      </c>
      <c r="CL67">
        <v>2.05247</v>
      </c>
      <c r="CM67">
        <v>2.05247</v>
      </c>
      <c r="CN67">
        <v>2.0524800000000001</v>
      </c>
      <c r="CO67">
        <v>2.0499800000000001</v>
      </c>
      <c r="CP67">
        <v>2.0449899999999999</v>
      </c>
      <c r="CQ67">
        <v>2.0424899999999999</v>
      </c>
      <c r="CS67">
        <v>2.04996</v>
      </c>
      <c r="CT67">
        <v>2.0496400000000001</v>
      </c>
      <c r="CU67">
        <v>2.0496400000000001</v>
      </c>
      <c r="CV67">
        <v>2.0643799999999999</v>
      </c>
      <c r="CW67">
        <v>2.0434800000000002</v>
      </c>
      <c r="CX67">
        <v>2.0434899999999998</v>
      </c>
      <c r="CY67">
        <v>2.0409700000000002</v>
      </c>
      <c r="CZ67">
        <v>2.0360100000000001</v>
      </c>
      <c r="DA67">
        <v>2.0335000000000001</v>
      </c>
      <c r="DB67">
        <v>2.0335000000000001</v>
      </c>
      <c r="DC67">
        <v>1.9419299999999999</v>
      </c>
    </row>
    <row r="68" spans="1:107" x14ac:dyDescent="0.25">
      <c r="A68">
        <f t="shared" si="1"/>
        <v>4</v>
      </c>
      <c r="B68" s="2">
        <v>42102</v>
      </c>
      <c r="E68">
        <v>0.57182999999999995</v>
      </c>
      <c r="F68">
        <v>0.59762999999999999</v>
      </c>
      <c r="G68">
        <v>0.63019999999999998</v>
      </c>
      <c r="H68">
        <v>0.63814000000000004</v>
      </c>
      <c r="I68">
        <v>0.54098000000000002</v>
      </c>
      <c r="J68">
        <v>0.61933000000000005</v>
      </c>
      <c r="K68">
        <v>0.61585000000000001</v>
      </c>
      <c r="L68">
        <v>0.59111999999999998</v>
      </c>
      <c r="M68">
        <v>0.60202999999999995</v>
      </c>
      <c r="N68">
        <v>0.53402000000000005</v>
      </c>
      <c r="O68">
        <v>0.66357999999999995</v>
      </c>
      <c r="P68">
        <v>0.64212999999999998</v>
      </c>
      <c r="Q68">
        <v>0.54644999999999999</v>
      </c>
      <c r="R68">
        <v>0.58865000000000001</v>
      </c>
      <c r="S68">
        <v>0.65569999999999995</v>
      </c>
      <c r="T68">
        <v>0.68825000000000003</v>
      </c>
      <c r="U68">
        <v>0.59887999999999997</v>
      </c>
      <c r="V68">
        <v>0.60463999999999996</v>
      </c>
      <c r="W68">
        <v>0.68045</v>
      </c>
      <c r="X68">
        <v>0.72172999999999998</v>
      </c>
      <c r="Y68">
        <v>0.76097000000000004</v>
      </c>
      <c r="Z68">
        <v>0.71013000000000004</v>
      </c>
      <c r="AA68">
        <v>0.78017000000000003</v>
      </c>
      <c r="AB68">
        <v>0.77907000000000004</v>
      </c>
      <c r="AC68">
        <v>0.87729000000000001</v>
      </c>
      <c r="AD68">
        <v>0.83711999999999998</v>
      </c>
      <c r="AE68">
        <v>0.77822999999999998</v>
      </c>
      <c r="AF68">
        <v>0.92464999999999997</v>
      </c>
      <c r="AG68">
        <v>0.95791000000000004</v>
      </c>
      <c r="AH68">
        <v>1.03376</v>
      </c>
      <c r="AI68">
        <v>0.99533000000000005</v>
      </c>
      <c r="AJ68">
        <v>1.0202500000000001</v>
      </c>
      <c r="AK68">
        <v>0.89046000000000003</v>
      </c>
      <c r="AL68">
        <v>1.0942799999999999</v>
      </c>
      <c r="AM68">
        <v>1.18371</v>
      </c>
      <c r="AN68">
        <v>1.0095799999999999</v>
      </c>
      <c r="AO68">
        <v>1.2341299999999999</v>
      </c>
      <c r="AP68">
        <v>1.3081199999999999</v>
      </c>
      <c r="AQ68">
        <v>1.1501699999999999</v>
      </c>
      <c r="AR68">
        <v>1.35385</v>
      </c>
      <c r="AS68">
        <v>1.40405</v>
      </c>
      <c r="AT68">
        <v>1.4334800000000001</v>
      </c>
      <c r="AU68">
        <v>1.42482</v>
      </c>
      <c r="AV68">
        <v>1.3585799999999999</v>
      </c>
      <c r="AW68">
        <v>1.84961</v>
      </c>
      <c r="AX68">
        <v>1.8603400000000001</v>
      </c>
      <c r="AY68">
        <v>1.8886799999999999</v>
      </c>
      <c r="AZ68">
        <v>1.9088400000000001</v>
      </c>
      <c r="BA68">
        <v>1.9296500000000001</v>
      </c>
      <c r="BB68">
        <v>1.9888300000000001</v>
      </c>
      <c r="BC68">
        <v>2.0161600000000002</v>
      </c>
      <c r="BD68">
        <v>2.05802</v>
      </c>
      <c r="BE68">
        <v>1.96347</v>
      </c>
      <c r="BF68">
        <v>2.1513399999999998</v>
      </c>
      <c r="BG68">
        <v>2.1273200000000001</v>
      </c>
      <c r="BH68">
        <v>2.1162399999999999</v>
      </c>
      <c r="BI68">
        <v>2.11721</v>
      </c>
      <c r="BJ68">
        <v>2.11537</v>
      </c>
      <c r="BK68">
        <v>2.11206</v>
      </c>
      <c r="BL68">
        <v>2.10541</v>
      </c>
      <c r="BM68">
        <v>2.09877</v>
      </c>
      <c r="BN68">
        <v>2.0923099999999999</v>
      </c>
      <c r="BO68">
        <v>2.0432600000000001</v>
      </c>
      <c r="BP68">
        <v>2.0858300000000001</v>
      </c>
      <c r="BQ68">
        <v>2.0858400000000001</v>
      </c>
      <c r="BR68">
        <v>2.0858500000000002</v>
      </c>
      <c r="BS68">
        <v>2.0858699999999999</v>
      </c>
      <c r="BT68">
        <v>2.08588</v>
      </c>
      <c r="BW68">
        <v>2.0845500000000001</v>
      </c>
      <c r="BX68">
        <v>2.0772699999999999</v>
      </c>
      <c r="BY68">
        <v>2.0779200000000002</v>
      </c>
      <c r="BZ68">
        <v>2.0711599999999999</v>
      </c>
      <c r="CA68">
        <v>2.0642800000000001</v>
      </c>
      <c r="CB68">
        <v>2.0642900000000002</v>
      </c>
      <c r="CC68">
        <v>2.0659800000000001</v>
      </c>
      <c r="CD68">
        <v>2.0659900000000002</v>
      </c>
      <c r="CE68">
        <v>2.0614499999999998</v>
      </c>
      <c r="CF68">
        <v>2.0614599999999998</v>
      </c>
      <c r="CG68">
        <v>2.06074</v>
      </c>
      <c r="CH68">
        <v>2.0546799999999998</v>
      </c>
      <c r="CI68">
        <v>2.0513599999999999</v>
      </c>
      <c r="CJ68">
        <v>2.0514999999999999</v>
      </c>
      <c r="CK68">
        <v>2.05016</v>
      </c>
      <c r="CL68">
        <v>2.05017</v>
      </c>
      <c r="CM68">
        <v>2.0501800000000001</v>
      </c>
      <c r="CN68">
        <v>2.0501900000000002</v>
      </c>
      <c r="CO68">
        <v>2.0519500000000002</v>
      </c>
      <c r="CP68">
        <v>2.0427</v>
      </c>
      <c r="CQ68">
        <v>2.0402100000000001</v>
      </c>
      <c r="CS68">
        <v>2.0327299999999999</v>
      </c>
      <c r="CT68">
        <v>2.0327299999999999</v>
      </c>
      <c r="CU68">
        <v>2.03274</v>
      </c>
      <c r="CV68">
        <v>2.0327500000000001</v>
      </c>
      <c r="CW68">
        <v>2.0529999999999999</v>
      </c>
      <c r="CX68">
        <v>2.05301</v>
      </c>
      <c r="CY68">
        <v>2.0530200000000001</v>
      </c>
      <c r="CZ68">
        <v>2.02278</v>
      </c>
      <c r="DA68">
        <v>2.0312399999999999</v>
      </c>
      <c r="DB68">
        <v>2.03125</v>
      </c>
      <c r="DC68">
        <v>1.9405600000000001</v>
      </c>
    </row>
    <row r="69" spans="1:107" x14ac:dyDescent="0.25">
      <c r="A69">
        <f t="shared" si="1"/>
        <v>5</v>
      </c>
      <c r="B69" s="2">
        <v>42103</v>
      </c>
      <c r="E69">
        <v>0.55537000000000003</v>
      </c>
      <c r="F69">
        <v>0.59748000000000001</v>
      </c>
      <c r="G69">
        <v>0.61982000000000004</v>
      </c>
      <c r="H69">
        <v>0.61714000000000002</v>
      </c>
      <c r="I69">
        <v>0.54207000000000005</v>
      </c>
      <c r="J69">
        <v>0.61931000000000003</v>
      </c>
      <c r="K69">
        <v>0.62107000000000001</v>
      </c>
      <c r="L69">
        <v>0.59750999999999999</v>
      </c>
      <c r="M69">
        <v>0.6139</v>
      </c>
      <c r="N69">
        <v>0.54310000000000003</v>
      </c>
      <c r="O69">
        <v>0.67257999999999996</v>
      </c>
      <c r="P69">
        <v>0.65088999999999997</v>
      </c>
      <c r="Q69">
        <v>0.56525999999999998</v>
      </c>
      <c r="R69">
        <v>0.59660000000000002</v>
      </c>
      <c r="S69">
        <v>0.63661999999999996</v>
      </c>
      <c r="T69">
        <v>0.69681999999999999</v>
      </c>
      <c r="U69">
        <v>0.60123000000000004</v>
      </c>
      <c r="V69">
        <v>0.60785</v>
      </c>
      <c r="W69">
        <v>0.68544000000000005</v>
      </c>
      <c r="X69">
        <v>0.72663999999999995</v>
      </c>
      <c r="Y69">
        <v>0.77739000000000003</v>
      </c>
      <c r="Z69">
        <v>0.72753000000000001</v>
      </c>
      <c r="AA69">
        <v>0.79759999999999998</v>
      </c>
      <c r="AB69">
        <v>0.80398000000000003</v>
      </c>
      <c r="AC69">
        <v>0.89856000000000003</v>
      </c>
      <c r="AD69">
        <v>0.85719000000000001</v>
      </c>
      <c r="AE69">
        <v>0.79925999999999997</v>
      </c>
      <c r="AF69">
        <v>0.94550000000000001</v>
      </c>
      <c r="AG69">
        <v>0.97833000000000003</v>
      </c>
      <c r="AH69">
        <v>1.0566500000000001</v>
      </c>
      <c r="AI69">
        <v>1.01857</v>
      </c>
      <c r="AJ69">
        <v>1.0425199999999999</v>
      </c>
      <c r="AK69">
        <v>0.91237000000000001</v>
      </c>
      <c r="AL69">
        <v>1.11704</v>
      </c>
      <c r="AM69">
        <v>1.21282</v>
      </c>
      <c r="AN69">
        <v>1.0301</v>
      </c>
      <c r="AO69">
        <v>1.26728</v>
      </c>
      <c r="AP69">
        <v>1.33138</v>
      </c>
      <c r="AQ69">
        <v>1.1680299999999999</v>
      </c>
      <c r="AR69">
        <v>1.38262</v>
      </c>
      <c r="AS69">
        <v>1.43733</v>
      </c>
      <c r="AT69">
        <v>1.4645999999999999</v>
      </c>
      <c r="AU69">
        <v>1.45706</v>
      </c>
      <c r="AV69">
        <v>1.3906799999999999</v>
      </c>
      <c r="AW69">
        <v>1.8845799999999999</v>
      </c>
      <c r="AX69">
        <v>1.8715200000000001</v>
      </c>
      <c r="AY69">
        <v>1.9245099999999999</v>
      </c>
      <c r="AZ69">
        <v>1.9388799999999999</v>
      </c>
      <c r="BA69">
        <v>1.96326</v>
      </c>
      <c r="BB69">
        <v>2.03267</v>
      </c>
      <c r="BC69">
        <v>2.0577000000000001</v>
      </c>
      <c r="BD69">
        <v>2.0997699999999999</v>
      </c>
      <c r="BE69">
        <v>2.00414</v>
      </c>
      <c r="BF69">
        <v>2.1914799999999999</v>
      </c>
      <c r="BG69">
        <v>2.1703800000000002</v>
      </c>
      <c r="BH69">
        <v>2.1614800000000001</v>
      </c>
      <c r="BI69">
        <v>2.16005</v>
      </c>
      <c r="BJ69">
        <v>2.1600999999999999</v>
      </c>
      <c r="BK69">
        <v>2.1500900000000001</v>
      </c>
      <c r="BL69">
        <v>2.1501299999999999</v>
      </c>
      <c r="BM69">
        <v>2.1435</v>
      </c>
      <c r="BN69">
        <v>2.1351499999999999</v>
      </c>
      <c r="BO69">
        <v>2.08962</v>
      </c>
      <c r="BP69">
        <v>2.1286700000000001</v>
      </c>
      <c r="BQ69">
        <v>2.1286800000000001</v>
      </c>
      <c r="BR69">
        <v>2.1286999999999998</v>
      </c>
      <c r="BS69">
        <v>2.1287099999999999</v>
      </c>
      <c r="BT69">
        <v>2.12873</v>
      </c>
      <c r="BW69">
        <v>2.1237400000000002</v>
      </c>
      <c r="BX69">
        <v>2.1259600000000001</v>
      </c>
      <c r="BY69">
        <v>2.1187800000000001</v>
      </c>
      <c r="BZ69">
        <v>2.1106600000000002</v>
      </c>
      <c r="CA69">
        <v>2.1073499999999998</v>
      </c>
      <c r="CB69">
        <v>2.1073599999999999</v>
      </c>
      <c r="CC69">
        <v>2.10737</v>
      </c>
      <c r="CD69">
        <v>2.10738</v>
      </c>
      <c r="CE69">
        <v>2.1093899999999999</v>
      </c>
      <c r="CF69">
        <v>2.1093999999999999</v>
      </c>
      <c r="CG69">
        <v>2.1038700000000001</v>
      </c>
      <c r="CH69">
        <v>2.10276</v>
      </c>
      <c r="CI69">
        <v>2.0960999999999999</v>
      </c>
      <c r="CJ69">
        <v>2.0941100000000001</v>
      </c>
      <c r="CK69">
        <v>2.0945299999999998</v>
      </c>
      <c r="CL69">
        <v>2.0945399999999998</v>
      </c>
      <c r="CM69">
        <v>2.0945499999999999</v>
      </c>
      <c r="CN69">
        <v>2.09456</v>
      </c>
      <c r="CO69">
        <v>2.09457</v>
      </c>
      <c r="CP69">
        <v>2.0864600000000002</v>
      </c>
      <c r="CQ69">
        <v>2.0839699999999999</v>
      </c>
      <c r="CS69">
        <v>2.0864600000000002</v>
      </c>
      <c r="CT69">
        <v>2.0764900000000002</v>
      </c>
      <c r="CU69">
        <v>2.0764999999999998</v>
      </c>
      <c r="CV69">
        <v>2.0764999999999998</v>
      </c>
      <c r="CW69">
        <v>2.0966200000000002</v>
      </c>
      <c r="CX69">
        <v>2.0966300000000002</v>
      </c>
      <c r="CY69">
        <v>2.08148</v>
      </c>
      <c r="CZ69">
        <v>2.0738699999999999</v>
      </c>
      <c r="DA69">
        <v>2.07599</v>
      </c>
      <c r="DB69">
        <v>2.0760000000000001</v>
      </c>
      <c r="DC69">
        <v>1.9841800000000001</v>
      </c>
    </row>
    <row r="70" spans="1:107" x14ac:dyDescent="0.25">
      <c r="A70">
        <f t="shared" si="1"/>
        <v>6</v>
      </c>
      <c r="B70" s="2">
        <v>42104</v>
      </c>
      <c r="E70">
        <v>0.56713999999999998</v>
      </c>
      <c r="F70">
        <v>0.61180999999999996</v>
      </c>
      <c r="G70">
        <v>0.63951999999999998</v>
      </c>
      <c r="H70">
        <v>0.62402000000000002</v>
      </c>
      <c r="I70">
        <v>0.55227999999999999</v>
      </c>
      <c r="J70">
        <v>0.64388999999999996</v>
      </c>
      <c r="K70">
        <v>0.62580000000000002</v>
      </c>
      <c r="L70">
        <v>0.60602</v>
      </c>
      <c r="M70">
        <v>0.62775000000000003</v>
      </c>
      <c r="N70">
        <v>0.5575</v>
      </c>
      <c r="O70">
        <v>0.67664999999999997</v>
      </c>
      <c r="P70">
        <v>0.65642999999999996</v>
      </c>
      <c r="Q70">
        <v>0.57770999999999995</v>
      </c>
      <c r="R70">
        <v>0.60860999999999998</v>
      </c>
      <c r="S70">
        <v>0.67620999999999998</v>
      </c>
      <c r="T70">
        <v>0.70957000000000003</v>
      </c>
      <c r="U70">
        <v>0.61558000000000002</v>
      </c>
      <c r="V70">
        <v>0.61999000000000004</v>
      </c>
      <c r="W70">
        <v>0.69677</v>
      </c>
      <c r="X70">
        <v>0.73950000000000005</v>
      </c>
      <c r="Y70">
        <v>0.78917999999999999</v>
      </c>
      <c r="Z70">
        <v>0.73719999999999997</v>
      </c>
      <c r="AA70">
        <v>0.80688000000000004</v>
      </c>
      <c r="AB70">
        <v>0.80132999999999999</v>
      </c>
      <c r="AC70">
        <v>0.90593999999999997</v>
      </c>
      <c r="AD70">
        <v>0.86429</v>
      </c>
      <c r="AE70">
        <v>0.80749000000000004</v>
      </c>
      <c r="AF70">
        <v>0.95237000000000005</v>
      </c>
      <c r="AG70">
        <v>0.98516000000000004</v>
      </c>
      <c r="AH70">
        <v>1.06206</v>
      </c>
      <c r="AI70">
        <v>1.0241100000000001</v>
      </c>
      <c r="AJ70">
        <v>1.04979</v>
      </c>
      <c r="AK70">
        <v>0.91939000000000004</v>
      </c>
      <c r="AL70">
        <v>1.12338</v>
      </c>
      <c r="AM70">
        <v>1.20946</v>
      </c>
      <c r="AN70">
        <v>1.03651</v>
      </c>
      <c r="AO70">
        <v>1.2673399999999999</v>
      </c>
      <c r="AP70">
        <v>1.33264</v>
      </c>
      <c r="AQ70">
        <v>1.17197</v>
      </c>
      <c r="AR70">
        <v>1.3841399999999999</v>
      </c>
      <c r="AS70">
        <v>1.43628</v>
      </c>
      <c r="AT70">
        <v>1.4660500000000001</v>
      </c>
      <c r="AU70">
        <v>1.4578800000000001</v>
      </c>
      <c r="AV70">
        <v>1.3916500000000001</v>
      </c>
      <c r="AW70">
        <v>1.8877600000000001</v>
      </c>
      <c r="AX70">
        <v>1.8993</v>
      </c>
      <c r="AY70">
        <v>1.9312199999999999</v>
      </c>
      <c r="AZ70">
        <v>1.9488099999999999</v>
      </c>
      <c r="BA70">
        <v>1.9666300000000001</v>
      </c>
      <c r="BB70">
        <v>2.0338400000000001</v>
      </c>
      <c r="BC70">
        <v>2.0702500000000001</v>
      </c>
      <c r="BD70">
        <v>2.1123599999999998</v>
      </c>
      <c r="BE70">
        <v>2.0179399999999998</v>
      </c>
      <c r="BF70">
        <v>2.2010000000000001</v>
      </c>
      <c r="BG70">
        <v>2.1807599999999998</v>
      </c>
      <c r="BH70">
        <v>2.1766299999999998</v>
      </c>
      <c r="BI70">
        <v>2.1651400000000001</v>
      </c>
      <c r="BJ70">
        <v>2.1635900000000001</v>
      </c>
      <c r="BK70">
        <v>2.15863</v>
      </c>
      <c r="BL70">
        <v>2.1536300000000002</v>
      </c>
      <c r="BM70">
        <v>2.1528800000000001</v>
      </c>
      <c r="BN70">
        <v>2.1436899999999999</v>
      </c>
      <c r="BO70">
        <v>2.1025900000000002</v>
      </c>
      <c r="BP70">
        <v>2.1366999999999998</v>
      </c>
      <c r="BQ70">
        <v>2.13672</v>
      </c>
      <c r="BR70">
        <v>2.13673</v>
      </c>
      <c r="BS70">
        <v>2.1367500000000001</v>
      </c>
      <c r="BT70">
        <v>2.1367600000000002</v>
      </c>
      <c r="BW70">
        <v>2.13178</v>
      </c>
      <c r="BX70">
        <v>2.1350099999999999</v>
      </c>
      <c r="BY70">
        <v>2.1268199999999999</v>
      </c>
      <c r="BZ70">
        <v>2.11904</v>
      </c>
      <c r="CA70">
        <v>2.1157300000000001</v>
      </c>
      <c r="CB70">
        <v>2.1157400000000002</v>
      </c>
      <c r="CC70">
        <v>2.1157499999999998</v>
      </c>
      <c r="CD70">
        <v>2.1157599999999999</v>
      </c>
      <c r="CE70">
        <v>2.1184400000000001</v>
      </c>
      <c r="CF70">
        <v>2.1184500000000002</v>
      </c>
      <c r="CG70">
        <v>2.11191</v>
      </c>
      <c r="CH70">
        <v>2.1118000000000001</v>
      </c>
      <c r="CI70">
        <v>2.1095799999999998</v>
      </c>
      <c r="CJ70">
        <v>2.10249</v>
      </c>
      <c r="CK70">
        <v>2.1036000000000001</v>
      </c>
      <c r="CL70">
        <v>2.1036100000000002</v>
      </c>
      <c r="CM70">
        <v>2.1036199999999998</v>
      </c>
      <c r="CN70">
        <v>2.1036299999999999</v>
      </c>
      <c r="CO70">
        <v>2.10364</v>
      </c>
      <c r="CP70">
        <v>2.09449</v>
      </c>
      <c r="CQ70">
        <v>2.0920000000000001</v>
      </c>
      <c r="CS70">
        <v>2.09449</v>
      </c>
      <c r="CT70">
        <v>2.0845199999999999</v>
      </c>
      <c r="CU70">
        <v>2.08453</v>
      </c>
      <c r="CV70">
        <v>2.0845400000000001</v>
      </c>
      <c r="CW70">
        <v>2.0920100000000001</v>
      </c>
      <c r="CX70">
        <v>2.0920100000000001</v>
      </c>
      <c r="CY70">
        <v>2.0895100000000002</v>
      </c>
      <c r="CZ70">
        <v>2.0880899999999998</v>
      </c>
      <c r="DA70">
        <v>2.08501</v>
      </c>
      <c r="DB70">
        <v>2.08433</v>
      </c>
      <c r="DC70">
        <v>1.99465</v>
      </c>
    </row>
    <row r="71" spans="1:107" x14ac:dyDescent="0.25">
      <c r="A71">
        <f t="shared" si="1"/>
        <v>2</v>
      </c>
      <c r="B71" s="2">
        <v>42107</v>
      </c>
      <c r="E71">
        <v>0.58940000000000003</v>
      </c>
      <c r="F71">
        <v>0.62039999999999995</v>
      </c>
      <c r="G71">
        <v>0.64892000000000005</v>
      </c>
      <c r="H71">
        <v>0.63261000000000001</v>
      </c>
      <c r="I71">
        <v>0.55503000000000002</v>
      </c>
      <c r="J71">
        <v>0.64788000000000001</v>
      </c>
      <c r="K71">
        <v>0.63151000000000002</v>
      </c>
      <c r="L71">
        <v>0.60338999999999998</v>
      </c>
      <c r="M71">
        <v>0.62922999999999996</v>
      </c>
      <c r="N71">
        <v>0.55708999999999997</v>
      </c>
      <c r="O71">
        <v>0.68535000000000001</v>
      </c>
      <c r="P71">
        <v>0.66479999999999995</v>
      </c>
      <c r="Q71">
        <v>0.56520999999999999</v>
      </c>
      <c r="R71">
        <v>0.60880000000000001</v>
      </c>
      <c r="S71">
        <v>0.64827000000000001</v>
      </c>
      <c r="T71">
        <v>0.70821000000000001</v>
      </c>
      <c r="U71">
        <v>0.61360999999999999</v>
      </c>
      <c r="V71">
        <v>0.61929999999999996</v>
      </c>
      <c r="W71">
        <v>0.68481999999999998</v>
      </c>
      <c r="X71">
        <v>0.73816000000000004</v>
      </c>
      <c r="Y71">
        <v>0.77592000000000005</v>
      </c>
      <c r="Z71">
        <v>0.74014999999999997</v>
      </c>
      <c r="AA71">
        <v>0.79390000000000005</v>
      </c>
      <c r="AB71">
        <v>0.79525000000000001</v>
      </c>
      <c r="AC71">
        <v>0.87902999999999998</v>
      </c>
      <c r="AD71">
        <v>0.85272999999999999</v>
      </c>
      <c r="AE71">
        <v>0.79422999999999999</v>
      </c>
      <c r="AF71">
        <v>0.93479000000000001</v>
      </c>
      <c r="AG71">
        <v>0.97306000000000004</v>
      </c>
      <c r="AH71">
        <v>1.05409</v>
      </c>
      <c r="AI71">
        <v>1.0402100000000001</v>
      </c>
      <c r="AJ71">
        <v>1.03209</v>
      </c>
      <c r="AK71">
        <v>0.90393000000000001</v>
      </c>
      <c r="AL71">
        <v>1.10558</v>
      </c>
      <c r="AM71">
        <v>1.2024600000000001</v>
      </c>
      <c r="AN71">
        <v>1.01318</v>
      </c>
      <c r="AO71">
        <v>1.2568299999999999</v>
      </c>
      <c r="AP71">
        <v>1.3316600000000001</v>
      </c>
      <c r="AQ71">
        <v>1.1633599999999999</v>
      </c>
      <c r="AR71">
        <v>1.37822</v>
      </c>
      <c r="AS71">
        <v>1.4289099999999999</v>
      </c>
      <c r="AT71">
        <v>1.46851</v>
      </c>
      <c r="AU71">
        <v>1.45604</v>
      </c>
      <c r="AV71">
        <v>1.38453</v>
      </c>
      <c r="AW71">
        <v>1.8813800000000001</v>
      </c>
      <c r="AX71">
        <v>1.89015</v>
      </c>
      <c r="AY71">
        <v>1.9252400000000001</v>
      </c>
      <c r="AZ71">
        <v>1.94452</v>
      </c>
      <c r="BA71">
        <v>1.9622200000000001</v>
      </c>
      <c r="BB71">
        <v>2.01858</v>
      </c>
      <c r="BC71">
        <v>2.0624199999999999</v>
      </c>
      <c r="BD71">
        <v>2.1064500000000002</v>
      </c>
      <c r="BE71">
        <v>2.0043299999999999</v>
      </c>
      <c r="BF71">
        <v>2.19103</v>
      </c>
      <c r="BG71">
        <v>2.1715</v>
      </c>
      <c r="BH71">
        <v>2.1704500000000002</v>
      </c>
      <c r="BI71">
        <v>2.1598999999999999</v>
      </c>
      <c r="BJ71">
        <v>2.1549</v>
      </c>
      <c r="BK71">
        <v>2.1499199999999998</v>
      </c>
      <c r="BL71">
        <v>2.1501600000000001</v>
      </c>
      <c r="BM71">
        <v>2.14351</v>
      </c>
      <c r="BN71">
        <v>2.13496</v>
      </c>
      <c r="BO71">
        <v>2.08893</v>
      </c>
      <c r="BP71">
        <v>2.1274700000000002</v>
      </c>
      <c r="BQ71">
        <v>2.1274799999999998</v>
      </c>
      <c r="BR71">
        <v>2.1274899999999999</v>
      </c>
      <c r="BS71">
        <v>2.1274999999999999</v>
      </c>
      <c r="BT71">
        <v>2.12751</v>
      </c>
      <c r="BW71">
        <v>2.1225100000000001</v>
      </c>
      <c r="BX71">
        <v>2.1252599999999999</v>
      </c>
      <c r="BY71">
        <v>2.11754</v>
      </c>
      <c r="BZ71">
        <v>2.10866</v>
      </c>
      <c r="CA71">
        <v>2.1053500000000001</v>
      </c>
      <c r="CB71">
        <v>2.1053600000000001</v>
      </c>
      <c r="CC71">
        <v>2.1053600000000001</v>
      </c>
      <c r="CD71">
        <v>2.1053700000000002</v>
      </c>
      <c r="CE71">
        <v>2.1074299999999999</v>
      </c>
      <c r="CF71">
        <v>2.10744</v>
      </c>
      <c r="CG71">
        <v>2.1007699999999998</v>
      </c>
      <c r="CH71">
        <v>2.1007899999999999</v>
      </c>
      <c r="CI71">
        <v>2.0988199999999999</v>
      </c>
      <c r="CJ71">
        <v>2.0920700000000001</v>
      </c>
      <c r="CK71">
        <v>2.0907900000000001</v>
      </c>
      <c r="CL71">
        <v>2.0908000000000002</v>
      </c>
      <c r="CM71">
        <v>2.0908000000000002</v>
      </c>
      <c r="CN71">
        <v>2.0908099999999998</v>
      </c>
      <c r="CO71">
        <v>2.0928499999999999</v>
      </c>
      <c r="CP71">
        <v>2.0833200000000001</v>
      </c>
      <c r="CQ71">
        <v>2.0808200000000001</v>
      </c>
      <c r="CS71">
        <v>2.08514</v>
      </c>
      <c r="CT71">
        <v>2.0733299999999999</v>
      </c>
      <c r="CU71">
        <v>2.08514</v>
      </c>
      <c r="CV71">
        <v>2.0851500000000001</v>
      </c>
      <c r="CW71">
        <v>2.08264</v>
      </c>
      <c r="CX71">
        <v>2.08264</v>
      </c>
      <c r="CY71">
        <v>2.08013</v>
      </c>
      <c r="CZ71">
        <v>2.0772400000000002</v>
      </c>
      <c r="DA71">
        <v>2.0747300000000002</v>
      </c>
      <c r="DB71">
        <v>2.0747300000000002</v>
      </c>
      <c r="DC71">
        <v>1.98478</v>
      </c>
    </row>
    <row r="72" spans="1:107" x14ac:dyDescent="0.25">
      <c r="A72">
        <f t="shared" si="1"/>
        <v>3</v>
      </c>
      <c r="B72" s="2">
        <v>42108</v>
      </c>
      <c r="E72">
        <v>0.57054000000000005</v>
      </c>
      <c r="F72">
        <v>0.62519999999999998</v>
      </c>
      <c r="G72">
        <v>0.68598000000000003</v>
      </c>
      <c r="H72">
        <v>0.63129000000000002</v>
      </c>
      <c r="I72">
        <v>0.55783000000000005</v>
      </c>
      <c r="J72">
        <v>0.65281</v>
      </c>
      <c r="K72">
        <v>0.60204999999999997</v>
      </c>
      <c r="L72">
        <v>0.59977000000000003</v>
      </c>
      <c r="M72">
        <v>0.62624000000000002</v>
      </c>
      <c r="N72">
        <v>0.55120999999999998</v>
      </c>
      <c r="O72">
        <v>0.67500000000000004</v>
      </c>
      <c r="P72">
        <v>0.65190000000000003</v>
      </c>
      <c r="Q72">
        <v>0.57149000000000005</v>
      </c>
      <c r="R72">
        <v>0.59499999999999997</v>
      </c>
      <c r="S72">
        <v>0.66237000000000001</v>
      </c>
      <c r="T72">
        <v>0.69593000000000005</v>
      </c>
      <c r="U72">
        <v>0.59624999999999995</v>
      </c>
      <c r="V72">
        <v>0.60036</v>
      </c>
      <c r="W72">
        <v>0.66781000000000001</v>
      </c>
      <c r="X72">
        <v>0.71799000000000002</v>
      </c>
      <c r="Y72">
        <v>0.75888999999999995</v>
      </c>
      <c r="Z72">
        <v>0.71662999999999999</v>
      </c>
      <c r="AA72">
        <v>0.77383000000000002</v>
      </c>
      <c r="AB72">
        <v>0.78024000000000004</v>
      </c>
      <c r="AC72">
        <v>0.85194000000000003</v>
      </c>
      <c r="AD72">
        <v>0.82486999999999999</v>
      </c>
      <c r="AE72">
        <v>0.74567000000000005</v>
      </c>
      <c r="AF72">
        <v>0.90332999999999997</v>
      </c>
      <c r="AG72">
        <v>0.93596999999999997</v>
      </c>
      <c r="AH72">
        <v>1.00701</v>
      </c>
      <c r="AI72">
        <v>0.96887000000000001</v>
      </c>
      <c r="AJ72">
        <v>0.99568000000000001</v>
      </c>
      <c r="AK72">
        <v>0.86482000000000003</v>
      </c>
      <c r="AL72">
        <v>1.0689200000000001</v>
      </c>
      <c r="AM72">
        <v>1.15672</v>
      </c>
      <c r="AN72">
        <v>0.98229</v>
      </c>
      <c r="AO72">
        <v>1.2114199999999999</v>
      </c>
      <c r="AP72">
        <v>1.2789600000000001</v>
      </c>
      <c r="AQ72">
        <v>1.11378</v>
      </c>
      <c r="AR72">
        <v>1.3246599999999999</v>
      </c>
      <c r="AS72">
        <v>1.3763300000000001</v>
      </c>
      <c r="AT72">
        <v>1.4056500000000001</v>
      </c>
      <c r="AU72">
        <v>1.4004799999999999</v>
      </c>
      <c r="AV72">
        <v>1.3365800000000001</v>
      </c>
      <c r="AW72">
        <v>1.8313999999999999</v>
      </c>
      <c r="AX72">
        <v>1.83894</v>
      </c>
      <c r="AY72">
        <v>1.8649500000000001</v>
      </c>
      <c r="AZ72">
        <v>1.88645</v>
      </c>
      <c r="BA72">
        <v>1.90673</v>
      </c>
      <c r="BB72">
        <v>1.96628</v>
      </c>
      <c r="BC72">
        <v>2.0132300000000001</v>
      </c>
      <c r="BD72">
        <v>2.0507</v>
      </c>
      <c r="BE72">
        <v>1.9571700000000001</v>
      </c>
      <c r="BF72">
        <v>2.1472099999999998</v>
      </c>
      <c r="BG72">
        <v>2.1261899999999998</v>
      </c>
      <c r="BH72">
        <v>2.1221800000000002</v>
      </c>
      <c r="BI72">
        <v>2.1105499999999999</v>
      </c>
      <c r="BJ72">
        <v>2.1091799999999998</v>
      </c>
      <c r="BK72">
        <v>2.1042800000000002</v>
      </c>
      <c r="BL72">
        <v>2.1045600000000002</v>
      </c>
      <c r="BM72">
        <v>2.0979199999999998</v>
      </c>
      <c r="BN72">
        <v>2.0893199999999998</v>
      </c>
      <c r="BO72">
        <v>2.0462899999999999</v>
      </c>
      <c r="BP72">
        <v>2.08182</v>
      </c>
      <c r="BQ72">
        <v>2.0818300000000001</v>
      </c>
      <c r="BR72">
        <v>2.0818400000000001</v>
      </c>
      <c r="BS72">
        <v>2.0818500000000002</v>
      </c>
      <c r="BT72">
        <v>2.0818599999999998</v>
      </c>
      <c r="BW72">
        <v>2.0768599999999999</v>
      </c>
      <c r="BX72">
        <v>2.0796700000000001</v>
      </c>
      <c r="BY72">
        <v>2.0718899999999998</v>
      </c>
      <c r="BZ72">
        <v>2.0636800000000002</v>
      </c>
      <c r="CA72">
        <v>2.0603699999999998</v>
      </c>
      <c r="CB72">
        <v>2.0603699999999998</v>
      </c>
      <c r="CC72">
        <v>2.0603799999999999</v>
      </c>
      <c r="CD72">
        <v>2.0603899999999999</v>
      </c>
      <c r="CE72">
        <v>2.0630600000000001</v>
      </c>
      <c r="CF72">
        <v>2.0630600000000001</v>
      </c>
      <c r="CG72">
        <v>2.0569500000000001</v>
      </c>
      <c r="CH72">
        <v>2.0564100000000001</v>
      </c>
      <c r="CI72">
        <v>2.04975</v>
      </c>
      <c r="CJ72">
        <v>2.0470899999999999</v>
      </c>
      <c r="CK72">
        <v>2.0473499999999998</v>
      </c>
      <c r="CL72">
        <v>2.0473599999999998</v>
      </c>
      <c r="CM72">
        <v>2.0473599999999998</v>
      </c>
      <c r="CN72">
        <v>2.0473699999999999</v>
      </c>
      <c r="CO72">
        <v>2.0473699999999999</v>
      </c>
      <c r="CP72">
        <v>2.0394899999999998</v>
      </c>
      <c r="CQ72">
        <v>2.0369999999999999</v>
      </c>
      <c r="CS72">
        <v>2.0394899999999998</v>
      </c>
      <c r="CT72">
        <v>2.0295100000000001</v>
      </c>
      <c r="CU72">
        <v>2.0295200000000002</v>
      </c>
      <c r="CV72">
        <v>2.0295200000000002</v>
      </c>
      <c r="CW72">
        <v>2.0369999999999999</v>
      </c>
      <c r="CX72">
        <v>2.0369999999999999</v>
      </c>
      <c r="CY72">
        <v>2.0344899999999999</v>
      </c>
      <c r="CZ72">
        <v>2.0271400000000002</v>
      </c>
      <c r="DA72">
        <v>2.0295000000000001</v>
      </c>
      <c r="DB72">
        <v>2.0295000000000001</v>
      </c>
      <c r="DC72">
        <v>1.94306</v>
      </c>
    </row>
    <row r="73" spans="1:107" x14ac:dyDescent="0.25">
      <c r="A73">
        <f t="shared" si="1"/>
        <v>4</v>
      </c>
      <c r="B73" s="2">
        <v>42109</v>
      </c>
      <c r="E73">
        <v>0.59596000000000005</v>
      </c>
      <c r="F73">
        <v>0.61584000000000005</v>
      </c>
      <c r="G73">
        <v>0.64183000000000001</v>
      </c>
      <c r="H73">
        <v>0.66510000000000002</v>
      </c>
      <c r="I73">
        <v>0.59489000000000003</v>
      </c>
      <c r="J73">
        <v>0.66342000000000001</v>
      </c>
      <c r="K73">
        <v>0.67806999999999995</v>
      </c>
      <c r="L73">
        <v>0.64700000000000002</v>
      </c>
      <c r="M73">
        <v>0.6663</v>
      </c>
      <c r="N73">
        <v>0.59301999999999999</v>
      </c>
      <c r="O73">
        <v>0.72411000000000003</v>
      </c>
      <c r="P73">
        <v>0.70182999999999995</v>
      </c>
      <c r="Q73">
        <v>0.61167000000000005</v>
      </c>
      <c r="R73">
        <v>0.64254999999999995</v>
      </c>
      <c r="S73">
        <v>0.71072000000000002</v>
      </c>
      <c r="T73">
        <v>0.74346999999999996</v>
      </c>
      <c r="U73">
        <v>0.64297000000000004</v>
      </c>
      <c r="V73">
        <v>0.64583000000000002</v>
      </c>
      <c r="W73">
        <v>0.71070999999999995</v>
      </c>
      <c r="X73">
        <v>0.75390999999999997</v>
      </c>
      <c r="Y73">
        <v>0.80496000000000001</v>
      </c>
      <c r="Z73">
        <v>0.75065999999999999</v>
      </c>
      <c r="AA73">
        <v>0.82133</v>
      </c>
      <c r="AB73">
        <v>0.82079000000000002</v>
      </c>
      <c r="AC73">
        <v>0.90613999999999995</v>
      </c>
      <c r="AD73">
        <v>0.85128000000000004</v>
      </c>
      <c r="AE73">
        <v>0.78722999999999999</v>
      </c>
      <c r="AF73">
        <v>0.94389000000000001</v>
      </c>
      <c r="AG73">
        <v>0.96953</v>
      </c>
      <c r="AH73">
        <v>1.0455399999999999</v>
      </c>
      <c r="AI73">
        <v>1.0080899999999999</v>
      </c>
      <c r="AJ73">
        <v>1.0348599999999999</v>
      </c>
      <c r="AK73">
        <v>0.90527999999999997</v>
      </c>
      <c r="AL73">
        <v>1.1079000000000001</v>
      </c>
      <c r="AM73">
        <v>1.1938</v>
      </c>
      <c r="AN73">
        <v>1.01552</v>
      </c>
      <c r="AO73">
        <v>1.24536</v>
      </c>
      <c r="AP73">
        <v>1.3085500000000001</v>
      </c>
      <c r="AQ73">
        <v>1.1413899999999999</v>
      </c>
      <c r="AR73">
        <v>1.3603499999999999</v>
      </c>
      <c r="AS73">
        <v>1.4123000000000001</v>
      </c>
      <c r="AT73">
        <v>1.43997</v>
      </c>
      <c r="AU73">
        <v>1.4327700000000001</v>
      </c>
      <c r="AV73">
        <v>1.36677</v>
      </c>
      <c r="AW73">
        <v>1.8558699999999999</v>
      </c>
      <c r="AX73">
        <v>1.8384499999999999</v>
      </c>
      <c r="AY73">
        <v>1.8933500000000001</v>
      </c>
      <c r="AZ73">
        <v>1.9163399999999999</v>
      </c>
      <c r="BA73">
        <v>1.93085</v>
      </c>
      <c r="BB73">
        <v>1.9845299999999999</v>
      </c>
      <c r="BC73">
        <v>2.0233500000000002</v>
      </c>
      <c r="BD73">
        <v>2.0686100000000001</v>
      </c>
      <c r="BE73">
        <v>1.96793</v>
      </c>
      <c r="BF73">
        <v>2.1538499999999998</v>
      </c>
      <c r="BG73">
        <v>2.13314</v>
      </c>
      <c r="BH73">
        <v>2.1255000000000002</v>
      </c>
      <c r="BI73">
        <v>2.1171799999999998</v>
      </c>
      <c r="BJ73">
        <v>2.12121</v>
      </c>
      <c r="BK73">
        <v>2.125</v>
      </c>
      <c r="BL73">
        <v>2.1112500000000001</v>
      </c>
      <c r="BM73">
        <v>2.1046200000000002</v>
      </c>
      <c r="BN73">
        <v>2.0964299999999998</v>
      </c>
      <c r="BO73">
        <v>2.0447799999999998</v>
      </c>
      <c r="BP73">
        <v>2.0884399999999999</v>
      </c>
      <c r="BQ73">
        <v>2.08846</v>
      </c>
      <c r="BR73">
        <v>2.08847</v>
      </c>
      <c r="BS73">
        <v>2.0884900000000002</v>
      </c>
      <c r="BT73">
        <v>2.0884999999999998</v>
      </c>
      <c r="BW73">
        <v>2.08352</v>
      </c>
      <c r="BX73">
        <v>2.0860799999999999</v>
      </c>
      <c r="BY73">
        <v>2.0785499999999999</v>
      </c>
      <c r="BZ73">
        <v>2.06975</v>
      </c>
      <c r="CA73">
        <v>2.0664400000000001</v>
      </c>
      <c r="CB73">
        <v>2.0664500000000001</v>
      </c>
      <c r="CC73">
        <v>2.0664600000000002</v>
      </c>
      <c r="CD73">
        <v>2.0664699999999998</v>
      </c>
      <c r="CE73">
        <v>2.0689000000000002</v>
      </c>
      <c r="CF73">
        <v>2.0689099999999998</v>
      </c>
      <c r="CG73">
        <v>2.0627399999999998</v>
      </c>
      <c r="CH73">
        <v>2.0622699999999998</v>
      </c>
      <c r="CI73">
        <v>2.0577200000000002</v>
      </c>
      <c r="CJ73">
        <v>2.0531999999999999</v>
      </c>
      <c r="CK73">
        <v>2.05369</v>
      </c>
      <c r="CL73">
        <v>2.05369</v>
      </c>
      <c r="CM73">
        <v>2.0537000000000001</v>
      </c>
      <c r="CN73">
        <v>2.0537100000000001</v>
      </c>
      <c r="CO73">
        <v>2.0531899999999998</v>
      </c>
      <c r="CP73">
        <v>2.0512199999999998</v>
      </c>
      <c r="CQ73">
        <v>2.0428299999999999</v>
      </c>
      <c r="CS73">
        <v>2.0462400000000001</v>
      </c>
      <c r="CT73">
        <v>2.0353500000000002</v>
      </c>
      <c r="CU73">
        <v>2.0353599999999998</v>
      </c>
      <c r="CV73">
        <v>2.0353699999999999</v>
      </c>
      <c r="CW73">
        <v>2.0437500000000002</v>
      </c>
      <c r="CX73">
        <v>2.0437599999999998</v>
      </c>
      <c r="CY73">
        <v>2.0412499999999998</v>
      </c>
      <c r="CZ73">
        <v>2.0384099999999998</v>
      </c>
      <c r="DA73">
        <v>2.0358999999999998</v>
      </c>
      <c r="DB73">
        <v>2.0359099999999999</v>
      </c>
      <c r="DC73">
        <v>1.9454499999999999</v>
      </c>
    </row>
    <row r="74" spans="1:107" x14ac:dyDescent="0.25">
      <c r="A74">
        <f t="shared" si="1"/>
        <v>5</v>
      </c>
      <c r="B74" s="2">
        <v>42110</v>
      </c>
      <c r="E74">
        <v>0.59289999999999998</v>
      </c>
      <c r="F74">
        <v>0.63976</v>
      </c>
      <c r="G74">
        <v>0.65547999999999995</v>
      </c>
      <c r="H74">
        <v>0.67588999999999999</v>
      </c>
      <c r="I74">
        <v>0.60509000000000002</v>
      </c>
      <c r="J74">
        <v>0.68308000000000002</v>
      </c>
      <c r="K74">
        <v>0.68803999999999998</v>
      </c>
      <c r="L74">
        <v>0.66203999999999996</v>
      </c>
      <c r="M74">
        <v>0.68015000000000003</v>
      </c>
      <c r="N74">
        <v>0.61068</v>
      </c>
      <c r="O74">
        <v>0.73462000000000005</v>
      </c>
      <c r="P74">
        <v>0.71396999999999999</v>
      </c>
      <c r="Q74">
        <v>0.63156999999999996</v>
      </c>
      <c r="R74">
        <v>0.66274</v>
      </c>
      <c r="S74">
        <v>0.73096000000000005</v>
      </c>
      <c r="T74">
        <v>0.76390999999999998</v>
      </c>
      <c r="U74">
        <v>0.66868000000000005</v>
      </c>
      <c r="V74">
        <v>0.67020999999999997</v>
      </c>
      <c r="W74">
        <v>0.73345000000000005</v>
      </c>
      <c r="X74">
        <v>0.78690000000000004</v>
      </c>
      <c r="Y74">
        <v>0.83279000000000003</v>
      </c>
      <c r="Z74">
        <v>0.79054999999999997</v>
      </c>
      <c r="AA74">
        <v>0.85019</v>
      </c>
      <c r="AB74">
        <v>0.85472999999999999</v>
      </c>
      <c r="AC74">
        <v>0.92379999999999995</v>
      </c>
      <c r="AD74">
        <v>0.88158999999999998</v>
      </c>
      <c r="AE74">
        <v>0.82704</v>
      </c>
      <c r="AF74">
        <v>0.97616000000000003</v>
      </c>
      <c r="AG74">
        <v>0.99573999999999996</v>
      </c>
      <c r="AH74">
        <v>1.07874</v>
      </c>
      <c r="AI74">
        <v>1.0396000000000001</v>
      </c>
      <c r="AJ74">
        <v>1.0765</v>
      </c>
      <c r="AK74">
        <v>0.93701000000000001</v>
      </c>
      <c r="AL74">
        <v>1.1399900000000001</v>
      </c>
      <c r="AM74">
        <v>1.2245200000000001</v>
      </c>
      <c r="AN74">
        <v>1.05097</v>
      </c>
      <c r="AO74">
        <v>1.2801</v>
      </c>
      <c r="AP74">
        <v>1.3443700000000001</v>
      </c>
      <c r="AQ74">
        <v>1.18544</v>
      </c>
      <c r="AR74">
        <v>1.3900999999999999</v>
      </c>
      <c r="AS74">
        <v>1.4391799999999999</v>
      </c>
      <c r="AT74">
        <v>1.4656400000000001</v>
      </c>
      <c r="AU74">
        <v>1.46065</v>
      </c>
      <c r="AV74">
        <v>1.39028</v>
      </c>
      <c r="AW74">
        <v>1.87673</v>
      </c>
      <c r="AX74">
        <v>1.8845799999999999</v>
      </c>
      <c r="AY74">
        <v>1.9126399999999999</v>
      </c>
      <c r="AZ74">
        <v>1.9383300000000001</v>
      </c>
      <c r="BA74">
        <v>1.9582200000000001</v>
      </c>
      <c r="BB74">
        <v>2.01187</v>
      </c>
      <c r="BC74">
        <v>2.0573000000000001</v>
      </c>
      <c r="BD74">
        <v>2.0958399999999999</v>
      </c>
      <c r="BE74">
        <v>2.0008699999999999</v>
      </c>
      <c r="BF74">
        <v>2.1962600000000001</v>
      </c>
      <c r="BG74">
        <v>2.1693600000000002</v>
      </c>
      <c r="BH74">
        <v>2.1594600000000002</v>
      </c>
      <c r="BI74">
        <v>2.15307</v>
      </c>
      <c r="BJ74">
        <v>2.1448200000000002</v>
      </c>
      <c r="BK74">
        <v>2.15116</v>
      </c>
      <c r="BL74">
        <v>2.1444999999999999</v>
      </c>
      <c r="BM74">
        <v>2.1378699999999999</v>
      </c>
      <c r="BN74">
        <v>2.1312199999999999</v>
      </c>
      <c r="BO74">
        <v>2.07897</v>
      </c>
      <c r="BP74">
        <v>2.1222400000000001</v>
      </c>
      <c r="BQ74">
        <v>2.1222599999999998</v>
      </c>
      <c r="BR74">
        <v>2.1222699999999999</v>
      </c>
      <c r="BS74">
        <v>2.12229</v>
      </c>
      <c r="BT74">
        <v>2.1223000000000001</v>
      </c>
      <c r="BW74">
        <v>2.1219800000000002</v>
      </c>
      <c r="BX74">
        <v>2.1139399999999999</v>
      </c>
      <c r="BY74">
        <v>2.1153599999999999</v>
      </c>
      <c r="BZ74">
        <v>2.1132399999999998</v>
      </c>
      <c r="CA74">
        <v>2.1016599999999999</v>
      </c>
      <c r="CB74">
        <v>2.1016699999999999</v>
      </c>
      <c r="CC74">
        <v>2.1042299999999998</v>
      </c>
      <c r="CD74">
        <v>2.1042399999999999</v>
      </c>
      <c r="CE74">
        <v>2.1008599999999999</v>
      </c>
      <c r="CF74">
        <v>2.10087</v>
      </c>
      <c r="CG74">
        <v>2.1</v>
      </c>
      <c r="CH74">
        <v>2.0966800000000001</v>
      </c>
      <c r="CI74">
        <v>2.0888100000000001</v>
      </c>
      <c r="CJ74">
        <v>2.0893099999999998</v>
      </c>
      <c r="CK74">
        <v>2.0874899999999998</v>
      </c>
      <c r="CL74">
        <v>2.0874999999999999</v>
      </c>
      <c r="CM74">
        <v>2.08751</v>
      </c>
      <c r="CN74">
        <v>2.08751</v>
      </c>
      <c r="CO74">
        <v>2.0850200000000001</v>
      </c>
      <c r="CP74">
        <v>2.0818599999999998</v>
      </c>
      <c r="CQ74">
        <v>2.0793599999999999</v>
      </c>
      <c r="CS74">
        <v>2.0718800000000002</v>
      </c>
      <c r="CT74">
        <v>2.0718899999999998</v>
      </c>
      <c r="CU74">
        <v>2.0718899999999998</v>
      </c>
      <c r="CV74">
        <v>2.0718999999999999</v>
      </c>
      <c r="CW74">
        <v>2.0775600000000001</v>
      </c>
      <c r="CX74">
        <v>2.0775700000000001</v>
      </c>
      <c r="CY74">
        <v>2.0619200000000002</v>
      </c>
      <c r="CZ74">
        <v>2.0735299999999999</v>
      </c>
      <c r="DA74">
        <v>2.07098</v>
      </c>
      <c r="DB74">
        <v>2.0709900000000001</v>
      </c>
      <c r="DC74">
        <v>1.9848399999999999</v>
      </c>
    </row>
    <row r="75" spans="1:107" x14ac:dyDescent="0.25">
      <c r="A75">
        <f t="shared" si="1"/>
        <v>6</v>
      </c>
      <c r="B75" s="2">
        <v>42111</v>
      </c>
      <c r="E75">
        <v>0.60287999999999997</v>
      </c>
      <c r="F75">
        <v>0.64922000000000002</v>
      </c>
      <c r="G75">
        <v>0.66486000000000001</v>
      </c>
      <c r="H75">
        <v>0.70879000000000003</v>
      </c>
      <c r="I75">
        <v>0.63393999999999995</v>
      </c>
      <c r="J75">
        <v>0.71257000000000004</v>
      </c>
      <c r="K75">
        <v>0.71480999999999995</v>
      </c>
      <c r="L75">
        <v>0.69089999999999996</v>
      </c>
      <c r="M75">
        <v>0.70587999999999995</v>
      </c>
      <c r="N75">
        <v>0.64781999999999995</v>
      </c>
      <c r="O75">
        <v>0.76078999999999997</v>
      </c>
      <c r="P75">
        <v>0.74031000000000002</v>
      </c>
      <c r="Q75">
        <v>0.68606999999999996</v>
      </c>
      <c r="R75">
        <v>0.70964000000000005</v>
      </c>
      <c r="S75">
        <v>0.77917999999999998</v>
      </c>
      <c r="T75">
        <v>0.81144000000000005</v>
      </c>
      <c r="U75">
        <v>0.71543999999999996</v>
      </c>
      <c r="V75">
        <v>0.71813000000000005</v>
      </c>
      <c r="W75">
        <v>0.78259999999999996</v>
      </c>
      <c r="X75">
        <v>0.83435999999999999</v>
      </c>
      <c r="Y75">
        <v>0.87436000000000003</v>
      </c>
      <c r="Z75">
        <v>0.80364999999999998</v>
      </c>
      <c r="AA75">
        <v>0.88124999999999998</v>
      </c>
      <c r="AB75">
        <v>0.88702999999999999</v>
      </c>
      <c r="AC75">
        <v>0.96552000000000004</v>
      </c>
      <c r="AD75">
        <v>0.92373000000000005</v>
      </c>
      <c r="AE75">
        <v>0.87095</v>
      </c>
      <c r="AF75">
        <v>1.0178199999999999</v>
      </c>
      <c r="AG75">
        <v>1.0358400000000001</v>
      </c>
      <c r="AH75">
        <v>1.12043</v>
      </c>
      <c r="AI75">
        <v>1.0827100000000001</v>
      </c>
      <c r="AJ75">
        <v>1.10653</v>
      </c>
      <c r="AK75">
        <v>0.97892000000000001</v>
      </c>
      <c r="AL75">
        <v>1.18089</v>
      </c>
      <c r="AM75">
        <v>1.2642199999999999</v>
      </c>
      <c r="AN75">
        <v>1.09457</v>
      </c>
      <c r="AO75">
        <v>1.3187500000000001</v>
      </c>
      <c r="AP75">
        <v>1.38296</v>
      </c>
      <c r="AQ75">
        <v>1.2256199999999999</v>
      </c>
      <c r="AR75">
        <v>1.42869</v>
      </c>
      <c r="AS75">
        <v>1.4672400000000001</v>
      </c>
      <c r="AT75">
        <v>1.5041199999999999</v>
      </c>
      <c r="AU75">
        <v>1.49912</v>
      </c>
      <c r="AV75">
        <v>1.4259599999999999</v>
      </c>
      <c r="AW75">
        <v>1.9012500000000001</v>
      </c>
      <c r="AX75">
        <v>1.90493</v>
      </c>
      <c r="AY75">
        <v>1.94296</v>
      </c>
      <c r="AZ75">
        <v>1.9632400000000001</v>
      </c>
      <c r="BA75">
        <v>1.9857800000000001</v>
      </c>
      <c r="BB75">
        <v>2.0255999999999998</v>
      </c>
      <c r="BC75">
        <v>2.05538</v>
      </c>
      <c r="BD75">
        <v>2.0991499999999998</v>
      </c>
      <c r="BE75">
        <v>2.0077199999999999</v>
      </c>
      <c r="BF75">
        <v>2.18127</v>
      </c>
      <c r="BG75">
        <v>2.16798</v>
      </c>
      <c r="BH75">
        <v>2.1648900000000002</v>
      </c>
      <c r="BI75">
        <v>2.15069</v>
      </c>
      <c r="BJ75">
        <v>2.14893</v>
      </c>
      <c r="BK75">
        <v>2.1439599999999999</v>
      </c>
      <c r="BL75">
        <v>2.13897</v>
      </c>
      <c r="BM75">
        <v>2.1375899999999999</v>
      </c>
      <c r="BN75">
        <v>2.1290200000000001</v>
      </c>
      <c r="BO75">
        <v>2.0816400000000002</v>
      </c>
      <c r="BP75">
        <v>2.1250300000000002</v>
      </c>
      <c r="BQ75">
        <v>2.1250399999999998</v>
      </c>
      <c r="BR75">
        <v>2.1250599999999999</v>
      </c>
      <c r="BS75">
        <v>2.12507</v>
      </c>
      <c r="BT75">
        <v>2.1250900000000001</v>
      </c>
      <c r="BW75">
        <v>2.1250300000000002</v>
      </c>
      <c r="BX75">
        <v>2.1217199999999998</v>
      </c>
      <c r="BY75">
        <v>2.1183999999999998</v>
      </c>
      <c r="BZ75">
        <v>2.1055799999999998</v>
      </c>
      <c r="CA75">
        <v>2.1022699999999999</v>
      </c>
      <c r="CB75">
        <v>2.10229</v>
      </c>
      <c r="CC75">
        <v>2.1051899999999999</v>
      </c>
      <c r="CD75">
        <v>2.1052</v>
      </c>
      <c r="CE75">
        <v>2.1007799999999999</v>
      </c>
      <c r="CF75">
        <v>2.1007899999999999</v>
      </c>
      <c r="CG75">
        <v>2.0984099999999999</v>
      </c>
      <c r="CH75">
        <v>2.0958100000000002</v>
      </c>
      <c r="CI75">
        <v>2.0918600000000001</v>
      </c>
      <c r="CJ75">
        <v>2.0902699999999999</v>
      </c>
      <c r="CK75">
        <v>2.0902699999999999</v>
      </c>
      <c r="CL75">
        <v>2.0902799999999999</v>
      </c>
      <c r="CM75">
        <v>2.09029</v>
      </c>
      <c r="CN75">
        <v>2.0903</v>
      </c>
      <c r="CO75">
        <v>2.0859800000000002</v>
      </c>
      <c r="CP75">
        <v>2.0878100000000002</v>
      </c>
      <c r="CQ75">
        <v>2.0785</v>
      </c>
      <c r="CS75">
        <v>2.08283</v>
      </c>
      <c r="CT75">
        <v>2.08283</v>
      </c>
      <c r="CU75">
        <v>2.08284</v>
      </c>
      <c r="CV75">
        <v>2.0828500000000001</v>
      </c>
      <c r="CW75">
        <v>2.0803400000000001</v>
      </c>
      <c r="CX75">
        <v>2.0803500000000001</v>
      </c>
      <c r="CY75">
        <v>2.0778400000000001</v>
      </c>
      <c r="CZ75">
        <v>2.0747800000000001</v>
      </c>
      <c r="DA75">
        <v>2.0722700000000001</v>
      </c>
      <c r="DB75">
        <v>2.0722800000000001</v>
      </c>
      <c r="DC75">
        <v>1.9848600000000001</v>
      </c>
    </row>
    <row r="76" spans="1:107" x14ac:dyDescent="0.25">
      <c r="A76">
        <f t="shared" si="1"/>
        <v>2</v>
      </c>
      <c r="B76" s="2">
        <v>42114</v>
      </c>
      <c r="E76">
        <v>0.62990999999999997</v>
      </c>
      <c r="F76">
        <v>0.66857</v>
      </c>
      <c r="G76">
        <v>0.71450000000000002</v>
      </c>
      <c r="H76">
        <v>0.72087000000000001</v>
      </c>
      <c r="I76">
        <v>0.63687000000000005</v>
      </c>
      <c r="J76">
        <v>0.71708000000000005</v>
      </c>
      <c r="K76">
        <v>0.72689000000000004</v>
      </c>
      <c r="L76">
        <v>0.70135000000000003</v>
      </c>
      <c r="M76">
        <v>0.72262000000000004</v>
      </c>
      <c r="N76">
        <v>0.66607000000000005</v>
      </c>
      <c r="O76">
        <v>0.77522999999999997</v>
      </c>
      <c r="P76">
        <v>0.75651000000000002</v>
      </c>
      <c r="Q76">
        <v>0.69972000000000001</v>
      </c>
      <c r="R76">
        <v>0.73114999999999997</v>
      </c>
      <c r="S76">
        <v>0.80017000000000005</v>
      </c>
      <c r="T76">
        <v>0.83287999999999995</v>
      </c>
      <c r="U76">
        <v>0.73924999999999996</v>
      </c>
      <c r="V76">
        <v>0.74160999999999999</v>
      </c>
      <c r="W76">
        <v>0.80384</v>
      </c>
      <c r="X76">
        <v>0.85726999999999998</v>
      </c>
      <c r="Y76">
        <v>0.89870000000000005</v>
      </c>
      <c r="Z76">
        <v>0.84828999999999999</v>
      </c>
      <c r="AA76">
        <v>0.91371999999999998</v>
      </c>
      <c r="AB76">
        <v>0.91698000000000002</v>
      </c>
      <c r="AC76">
        <v>0.98348999999999998</v>
      </c>
      <c r="AD76">
        <v>0.98460000000000003</v>
      </c>
      <c r="AE76">
        <v>0.89585999999999999</v>
      </c>
      <c r="AF76">
        <v>1.04583</v>
      </c>
      <c r="AG76">
        <v>1.0768899999999999</v>
      </c>
      <c r="AH76">
        <v>1.1483699999999999</v>
      </c>
      <c r="AI76">
        <v>1.1007499999999999</v>
      </c>
      <c r="AJ76">
        <v>1.14405</v>
      </c>
      <c r="AK76">
        <v>0.99080000000000001</v>
      </c>
      <c r="AL76">
        <v>1.20872</v>
      </c>
      <c r="AM76">
        <v>1.28301</v>
      </c>
      <c r="AN76">
        <v>1.1153900000000001</v>
      </c>
      <c r="AO76">
        <v>1.3439000000000001</v>
      </c>
      <c r="AP76">
        <v>1.40537</v>
      </c>
      <c r="AQ76">
        <v>1.24959</v>
      </c>
      <c r="AR76">
        <v>1.4529700000000001</v>
      </c>
      <c r="AS76">
        <v>1.49953</v>
      </c>
      <c r="AT76">
        <v>1.522</v>
      </c>
      <c r="AU76">
        <v>1.5161</v>
      </c>
      <c r="AV76">
        <v>1.4450700000000001</v>
      </c>
      <c r="AW76">
        <v>1.91744</v>
      </c>
      <c r="AX76">
        <v>1.89689</v>
      </c>
      <c r="AY76">
        <v>1.9574499999999999</v>
      </c>
      <c r="AZ76">
        <v>1.9853400000000001</v>
      </c>
      <c r="BA76">
        <v>1.99952</v>
      </c>
      <c r="BB76">
        <v>2.0476299999999998</v>
      </c>
      <c r="BC76">
        <v>2.07342</v>
      </c>
      <c r="BD76">
        <v>2.1137299999999999</v>
      </c>
      <c r="BE76">
        <v>2.0166599999999999</v>
      </c>
      <c r="BF76">
        <v>2.20756</v>
      </c>
      <c r="BG76">
        <v>2.1834600000000002</v>
      </c>
      <c r="BH76">
        <v>2.1741700000000002</v>
      </c>
      <c r="BI76">
        <v>2.16648</v>
      </c>
      <c r="BJ76">
        <v>2.1581899999999998</v>
      </c>
      <c r="BK76">
        <v>2.1623000000000001</v>
      </c>
      <c r="BL76">
        <v>2.15564</v>
      </c>
      <c r="BM76">
        <v>2.149</v>
      </c>
      <c r="BN76">
        <v>2.1437599999999999</v>
      </c>
      <c r="BO76">
        <v>2.0906899999999999</v>
      </c>
      <c r="BP76">
        <v>2.1387700000000001</v>
      </c>
      <c r="BQ76">
        <v>2.1387800000000001</v>
      </c>
      <c r="BR76">
        <v>2.1423700000000001</v>
      </c>
      <c r="BS76">
        <v>2.1423700000000001</v>
      </c>
      <c r="BT76">
        <v>2.1423800000000002</v>
      </c>
      <c r="BW76">
        <v>2.1357300000000001</v>
      </c>
      <c r="BX76">
        <v>2.1263800000000002</v>
      </c>
      <c r="BY76">
        <v>2.1263899999999998</v>
      </c>
      <c r="BZ76">
        <v>2.1186500000000001</v>
      </c>
      <c r="CA76">
        <v>2.1169699999999998</v>
      </c>
      <c r="CB76">
        <v>2.1169699999999998</v>
      </c>
      <c r="CC76">
        <v>2.1153499999999998</v>
      </c>
      <c r="CD76">
        <v>2.1153599999999999</v>
      </c>
      <c r="CE76">
        <v>2.1114299999999999</v>
      </c>
      <c r="CF76">
        <v>2.11144</v>
      </c>
      <c r="CG76">
        <v>2.1124800000000001</v>
      </c>
      <c r="CH76">
        <v>2.1103399999999999</v>
      </c>
      <c r="CI76">
        <v>2.10249</v>
      </c>
      <c r="CJ76">
        <v>2.1036999999999999</v>
      </c>
      <c r="CK76">
        <v>2.1032600000000001</v>
      </c>
      <c r="CL76">
        <v>2.1032700000000002</v>
      </c>
      <c r="CM76">
        <v>2.1032700000000002</v>
      </c>
      <c r="CN76">
        <v>2.1032799999999998</v>
      </c>
      <c r="CO76">
        <v>2.1032799999999998</v>
      </c>
      <c r="CP76">
        <v>2.1014400000000002</v>
      </c>
      <c r="CQ76">
        <v>2.0970599999999999</v>
      </c>
      <c r="CS76">
        <v>2.0864600000000002</v>
      </c>
      <c r="CT76">
        <v>2.0964499999999999</v>
      </c>
      <c r="CU76">
        <v>2.09646</v>
      </c>
      <c r="CV76">
        <v>2.09646</v>
      </c>
      <c r="CW76">
        <v>2.1010200000000001</v>
      </c>
      <c r="CX76">
        <v>2.1010200000000001</v>
      </c>
      <c r="CY76">
        <v>2.0891600000000001</v>
      </c>
      <c r="CZ76">
        <v>2.0764900000000002</v>
      </c>
      <c r="DA76">
        <v>2.08168</v>
      </c>
      <c r="DB76">
        <v>2.08169</v>
      </c>
      <c r="DC76">
        <v>1.9981199999999999</v>
      </c>
    </row>
    <row r="77" spans="1:107" x14ac:dyDescent="0.25">
      <c r="A77">
        <f t="shared" si="1"/>
        <v>3</v>
      </c>
      <c r="B77" s="2">
        <v>42115</v>
      </c>
      <c r="E77">
        <v>0.63541999999999998</v>
      </c>
      <c r="F77">
        <v>0.67335</v>
      </c>
      <c r="G77">
        <v>0.68562000000000001</v>
      </c>
      <c r="H77">
        <v>0.72831000000000001</v>
      </c>
      <c r="I77">
        <v>0.64154999999999995</v>
      </c>
      <c r="J77">
        <v>0.72201000000000004</v>
      </c>
      <c r="K77">
        <v>0.72955000000000003</v>
      </c>
      <c r="L77">
        <v>0.70162000000000002</v>
      </c>
      <c r="M77">
        <v>0.72658</v>
      </c>
      <c r="N77">
        <v>0.67020000000000002</v>
      </c>
      <c r="O77">
        <v>0.77771999999999997</v>
      </c>
      <c r="P77">
        <v>0.75738000000000005</v>
      </c>
      <c r="Q77">
        <v>0.70328000000000002</v>
      </c>
      <c r="R77">
        <v>0.73492000000000002</v>
      </c>
      <c r="S77">
        <v>0.79452</v>
      </c>
      <c r="T77">
        <v>0.84965000000000002</v>
      </c>
      <c r="U77">
        <v>0.72019</v>
      </c>
      <c r="V77">
        <v>0.75512000000000001</v>
      </c>
      <c r="W77">
        <v>0.82210000000000005</v>
      </c>
      <c r="X77">
        <v>0.86616000000000004</v>
      </c>
      <c r="Y77">
        <v>0.91546000000000005</v>
      </c>
      <c r="Z77">
        <v>0.87834000000000001</v>
      </c>
      <c r="AA77">
        <v>0.93286999999999998</v>
      </c>
      <c r="AB77">
        <v>0.93050999999999995</v>
      </c>
      <c r="AC77">
        <v>1.00393</v>
      </c>
      <c r="AD77">
        <v>0.99222999999999995</v>
      </c>
      <c r="AE77">
        <v>0.91544000000000003</v>
      </c>
      <c r="AF77">
        <v>1.0670999999999999</v>
      </c>
      <c r="AG77">
        <v>1.09222</v>
      </c>
      <c r="AH77">
        <v>1.1707399999999999</v>
      </c>
      <c r="AI77">
        <v>1.1234500000000001</v>
      </c>
      <c r="AJ77">
        <v>1.1549799999999999</v>
      </c>
      <c r="AK77">
        <v>1.01301</v>
      </c>
      <c r="AL77">
        <v>1.22976</v>
      </c>
      <c r="AM77">
        <v>1.3129599999999999</v>
      </c>
      <c r="AN77">
        <v>1.14299</v>
      </c>
      <c r="AO77">
        <v>1.3702099999999999</v>
      </c>
      <c r="AP77">
        <v>1.43573</v>
      </c>
      <c r="AQ77">
        <v>1.2801800000000001</v>
      </c>
      <c r="AR77">
        <v>1.4821500000000001</v>
      </c>
      <c r="AS77">
        <v>1.5262100000000001</v>
      </c>
      <c r="AT77">
        <v>1.55768</v>
      </c>
      <c r="AU77">
        <v>1.5463</v>
      </c>
      <c r="AV77">
        <v>1.4724200000000001</v>
      </c>
      <c r="AW77">
        <v>1.9415199999999999</v>
      </c>
      <c r="AX77">
        <v>1.9228099999999999</v>
      </c>
      <c r="AY77">
        <v>1.98221</v>
      </c>
      <c r="AZ77">
        <v>1.9958100000000001</v>
      </c>
      <c r="BA77">
        <v>2.0150399999999999</v>
      </c>
      <c r="BB77">
        <v>2.06521</v>
      </c>
      <c r="BC77">
        <v>2.0931000000000002</v>
      </c>
      <c r="BD77">
        <v>2.12954</v>
      </c>
      <c r="BE77">
        <v>2.0350999999999999</v>
      </c>
      <c r="BF77">
        <v>2.2059299999999999</v>
      </c>
      <c r="BG77">
        <v>2.1962899999999999</v>
      </c>
      <c r="BH77">
        <v>2.1859899999999999</v>
      </c>
      <c r="BI77">
        <v>2.1756700000000002</v>
      </c>
      <c r="BJ77">
        <v>2.1690100000000001</v>
      </c>
      <c r="BK77">
        <v>2.16561</v>
      </c>
      <c r="BL77">
        <v>2.1606200000000002</v>
      </c>
      <c r="BM77">
        <v>2.15564</v>
      </c>
      <c r="BN77">
        <v>2.1406499999999999</v>
      </c>
      <c r="BO77">
        <v>2.1069800000000001</v>
      </c>
      <c r="BP77">
        <v>2.1506599999999998</v>
      </c>
      <c r="BQ77">
        <v>2.1506599999999998</v>
      </c>
      <c r="BR77">
        <v>2.14568</v>
      </c>
      <c r="BS77">
        <v>2.1456900000000001</v>
      </c>
      <c r="BT77">
        <v>2.1456900000000001</v>
      </c>
      <c r="BW77">
        <v>2.1407099999999999</v>
      </c>
      <c r="BX77">
        <v>2.1436999999999999</v>
      </c>
      <c r="BY77">
        <v>2.14371</v>
      </c>
      <c r="BZ77">
        <v>2.13246</v>
      </c>
      <c r="CA77">
        <v>2.1291500000000001</v>
      </c>
      <c r="CB77">
        <v>2.1291600000000002</v>
      </c>
      <c r="CC77">
        <v>2.1291600000000002</v>
      </c>
      <c r="CD77">
        <v>2.1291699999999998</v>
      </c>
      <c r="CE77">
        <v>2.1278700000000002</v>
      </c>
      <c r="CF77">
        <v>2.1278800000000002</v>
      </c>
      <c r="CG77">
        <v>2.1271</v>
      </c>
      <c r="CH77">
        <v>2.12378</v>
      </c>
      <c r="CI77">
        <v>2.1171199999999999</v>
      </c>
      <c r="CJ77">
        <v>2.1158800000000002</v>
      </c>
      <c r="CK77">
        <v>2.1160399999999999</v>
      </c>
      <c r="CL77">
        <v>2.1160399999999999</v>
      </c>
      <c r="CM77">
        <v>2.11605</v>
      </c>
      <c r="CN77">
        <v>2.11605</v>
      </c>
      <c r="CO77">
        <v>2.1160600000000001</v>
      </c>
      <c r="CP77">
        <v>2.10833</v>
      </c>
      <c r="CQ77">
        <v>2.1058400000000002</v>
      </c>
      <c r="CS77">
        <v>2.10833</v>
      </c>
      <c r="CT77">
        <v>2.0983499999999999</v>
      </c>
      <c r="CU77">
        <v>2.0983499999999999</v>
      </c>
      <c r="CV77">
        <v>2.09836</v>
      </c>
      <c r="CW77">
        <v>2.1174599999999999</v>
      </c>
      <c r="CX77">
        <v>2.1174599999999999</v>
      </c>
      <c r="CY77">
        <v>2.1033300000000001</v>
      </c>
      <c r="CZ77">
        <v>2.0883699999999998</v>
      </c>
      <c r="DA77">
        <v>2.09721</v>
      </c>
      <c r="DB77">
        <v>2.0972200000000001</v>
      </c>
      <c r="DC77">
        <v>2.0083899999999999</v>
      </c>
    </row>
    <row r="78" spans="1:107" x14ac:dyDescent="0.25">
      <c r="A78">
        <f t="shared" si="1"/>
        <v>4</v>
      </c>
      <c r="B78" s="2">
        <v>42116</v>
      </c>
      <c r="E78">
        <v>0.62377000000000005</v>
      </c>
      <c r="F78">
        <v>0.66752</v>
      </c>
      <c r="G78">
        <v>0.68340999999999996</v>
      </c>
      <c r="H78">
        <v>0.73028999999999999</v>
      </c>
      <c r="I78">
        <v>0.64737</v>
      </c>
      <c r="J78">
        <v>0.72223000000000004</v>
      </c>
      <c r="K78">
        <v>0.73792999999999997</v>
      </c>
      <c r="L78">
        <v>0.72458999999999996</v>
      </c>
      <c r="M78">
        <v>0.74739</v>
      </c>
      <c r="N78">
        <v>0.69257999999999997</v>
      </c>
      <c r="O78">
        <v>0.79088999999999998</v>
      </c>
      <c r="P78">
        <v>0.79166999999999998</v>
      </c>
      <c r="Q78">
        <v>0.73180999999999996</v>
      </c>
      <c r="R78">
        <v>0.75548999999999999</v>
      </c>
      <c r="S78">
        <v>0.81333</v>
      </c>
      <c r="T78">
        <v>0.87043999999999999</v>
      </c>
      <c r="U78">
        <v>0.74299999999999999</v>
      </c>
      <c r="V78">
        <v>0.77829999999999999</v>
      </c>
      <c r="W78">
        <v>0.84608000000000005</v>
      </c>
      <c r="X78">
        <v>0.88853000000000004</v>
      </c>
      <c r="Y78">
        <v>0.95659000000000005</v>
      </c>
      <c r="Z78">
        <v>0.90632999999999997</v>
      </c>
      <c r="AA78">
        <v>0.97206999999999999</v>
      </c>
      <c r="AB78">
        <v>0.97823000000000004</v>
      </c>
      <c r="AC78">
        <v>1.0546800000000001</v>
      </c>
      <c r="AD78">
        <v>1.05148</v>
      </c>
      <c r="AE78">
        <v>0.96160999999999996</v>
      </c>
      <c r="AF78">
        <v>1.1075200000000001</v>
      </c>
      <c r="AG78">
        <v>1.1281300000000001</v>
      </c>
      <c r="AH78">
        <v>1.2119200000000001</v>
      </c>
      <c r="AI78">
        <v>1.1754800000000001</v>
      </c>
      <c r="AJ78">
        <v>1.1968300000000001</v>
      </c>
      <c r="AK78">
        <v>1.0692699999999999</v>
      </c>
      <c r="AL78">
        <v>1.2716000000000001</v>
      </c>
      <c r="AM78">
        <v>1.3607800000000001</v>
      </c>
      <c r="AN78">
        <v>1.18588</v>
      </c>
      <c r="AO78">
        <v>1.4168799999999999</v>
      </c>
      <c r="AP78">
        <v>1.4876400000000001</v>
      </c>
      <c r="AQ78">
        <v>1.3220400000000001</v>
      </c>
      <c r="AR78">
        <v>1.53339</v>
      </c>
      <c r="AS78">
        <v>1.57474</v>
      </c>
      <c r="AT78">
        <v>1.6139399999999999</v>
      </c>
      <c r="AU78">
        <v>1.5981300000000001</v>
      </c>
      <c r="AV78">
        <v>1.5187900000000001</v>
      </c>
      <c r="AW78">
        <v>1.9827600000000001</v>
      </c>
      <c r="AX78">
        <v>1.9883299999999999</v>
      </c>
      <c r="AY78">
        <v>2.0240100000000001</v>
      </c>
      <c r="AZ78">
        <v>2.0392100000000002</v>
      </c>
      <c r="BA78">
        <v>2.0656400000000001</v>
      </c>
      <c r="BB78">
        <v>2.1049099999999998</v>
      </c>
      <c r="BC78">
        <v>2.1343700000000001</v>
      </c>
      <c r="BD78">
        <v>2.17774</v>
      </c>
      <c r="BE78">
        <v>2.0732300000000001</v>
      </c>
      <c r="BF78">
        <v>2.2499099999999999</v>
      </c>
      <c r="BG78">
        <v>2.2366199999999998</v>
      </c>
      <c r="BH78">
        <v>2.2299799999999999</v>
      </c>
      <c r="BI78">
        <v>2.2196699999999998</v>
      </c>
      <c r="BJ78">
        <v>2.2130200000000002</v>
      </c>
      <c r="BK78">
        <v>2.2107000000000001</v>
      </c>
      <c r="BL78">
        <v>2.2057199999999999</v>
      </c>
      <c r="BM78">
        <v>2.2007400000000001</v>
      </c>
      <c r="BN78">
        <v>2.1957599999999999</v>
      </c>
      <c r="BO78">
        <v>2.1414599999999999</v>
      </c>
      <c r="BP78">
        <v>2.1831200000000002</v>
      </c>
      <c r="BQ78">
        <v>2.1831399999999999</v>
      </c>
      <c r="BR78">
        <v>2.18581</v>
      </c>
      <c r="BS78">
        <v>2.1858200000000001</v>
      </c>
      <c r="BT78">
        <v>2.1858399999999998</v>
      </c>
      <c r="BW78">
        <v>2.1808700000000001</v>
      </c>
      <c r="BX78">
        <v>2.1808800000000002</v>
      </c>
      <c r="BY78">
        <v>2.1808999999999998</v>
      </c>
      <c r="BZ78">
        <v>2.1732499999999999</v>
      </c>
      <c r="CA78">
        <v>2.17326</v>
      </c>
      <c r="CB78">
        <v>2.17327</v>
      </c>
      <c r="CC78">
        <v>2.1759400000000002</v>
      </c>
      <c r="CD78">
        <v>2.1759499999999998</v>
      </c>
      <c r="CE78">
        <v>2.17136</v>
      </c>
      <c r="CF78">
        <v>2.17137</v>
      </c>
      <c r="CG78">
        <v>2.16913</v>
      </c>
      <c r="CH78">
        <v>2.1663899999999998</v>
      </c>
      <c r="CI78">
        <v>2.1632600000000002</v>
      </c>
      <c r="CJ78">
        <v>2.1610200000000002</v>
      </c>
      <c r="CK78">
        <v>2.1610299999999998</v>
      </c>
      <c r="CL78">
        <v>2.1610399999999998</v>
      </c>
      <c r="CM78">
        <v>2.1610399999999998</v>
      </c>
      <c r="CN78">
        <v>2.1610499999999999</v>
      </c>
      <c r="CO78">
        <v>2.1566999999999998</v>
      </c>
      <c r="CP78">
        <v>2.1585700000000001</v>
      </c>
      <c r="CQ78">
        <v>2.1492200000000001</v>
      </c>
      <c r="CS78">
        <v>2.1535799999999998</v>
      </c>
      <c r="CT78">
        <v>2.1535899999999999</v>
      </c>
      <c r="CU78">
        <v>2.1535899999999999</v>
      </c>
      <c r="CV78">
        <v>2.1536</v>
      </c>
      <c r="CW78">
        <v>2.1628799999999999</v>
      </c>
      <c r="CX78">
        <v>2.1628799999999999</v>
      </c>
      <c r="CY78">
        <v>2.1486000000000001</v>
      </c>
      <c r="CZ78">
        <v>2.1446200000000002</v>
      </c>
      <c r="DA78">
        <v>2.1421199999999998</v>
      </c>
      <c r="DB78">
        <v>2.1421199999999998</v>
      </c>
      <c r="DC78">
        <v>2.04853</v>
      </c>
    </row>
    <row r="79" spans="1:107" x14ac:dyDescent="0.25">
      <c r="A79">
        <f t="shared" si="1"/>
        <v>5</v>
      </c>
      <c r="B79" s="2">
        <v>42117</v>
      </c>
      <c r="E79">
        <v>0.59845999999999999</v>
      </c>
      <c r="F79">
        <v>0.66732000000000002</v>
      </c>
      <c r="G79">
        <v>0.67832999999999999</v>
      </c>
      <c r="H79">
        <v>0.72614999999999996</v>
      </c>
      <c r="I79">
        <v>0.74046999999999996</v>
      </c>
      <c r="J79">
        <v>0.72219</v>
      </c>
      <c r="K79">
        <v>0.73218000000000005</v>
      </c>
      <c r="L79">
        <v>0.70903000000000005</v>
      </c>
      <c r="M79">
        <v>0.73450000000000004</v>
      </c>
      <c r="N79">
        <v>0.67727000000000004</v>
      </c>
      <c r="O79">
        <v>0.78725000000000001</v>
      </c>
      <c r="P79">
        <v>0.78835999999999995</v>
      </c>
      <c r="Q79">
        <v>0.70021999999999995</v>
      </c>
      <c r="R79">
        <v>0.74214999999999998</v>
      </c>
      <c r="S79">
        <v>0.83775999999999995</v>
      </c>
      <c r="T79">
        <v>0.82571000000000006</v>
      </c>
      <c r="U79">
        <v>0.73043000000000002</v>
      </c>
      <c r="V79">
        <v>0.76627999999999996</v>
      </c>
      <c r="W79">
        <v>0.83308000000000004</v>
      </c>
      <c r="X79">
        <v>0.87700999999999996</v>
      </c>
      <c r="Y79">
        <v>0.93508000000000002</v>
      </c>
      <c r="Z79">
        <v>0.88539999999999996</v>
      </c>
      <c r="AA79">
        <v>0.95074999999999998</v>
      </c>
      <c r="AB79">
        <v>0.95865</v>
      </c>
      <c r="AC79">
        <v>1.0334300000000001</v>
      </c>
      <c r="AD79">
        <v>1.0148900000000001</v>
      </c>
      <c r="AE79">
        <v>0.93847999999999998</v>
      </c>
      <c r="AF79">
        <v>1.08626</v>
      </c>
      <c r="AG79">
        <v>1.1124000000000001</v>
      </c>
      <c r="AH79">
        <v>1.18963</v>
      </c>
      <c r="AI79">
        <v>1.15184</v>
      </c>
      <c r="AJ79">
        <v>1.1755100000000001</v>
      </c>
      <c r="AK79">
        <v>1.05884</v>
      </c>
      <c r="AL79">
        <v>1.24932</v>
      </c>
      <c r="AM79">
        <v>1.34257</v>
      </c>
      <c r="AN79">
        <v>1.1620200000000001</v>
      </c>
      <c r="AO79">
        <v>1.39581</v>
      </c>
      <c r="AP79">
        <v>1.4682599999999999</v>
      </c>
      <c r="AQ79">
        <v>1.29284</v>
      </c>
      <c r="AR79">
        <v>1.5140100000000001</v>
      </c>
      <c r="AS79">
        <v>1.55623</v>
      </c>
      <c r="AT79">
        <v>1.59</v>
      </c>
      <c r="AU79">
        <v>1.57826</v>
      </c>
      <c r="AV79">
        <v>1.5035400000000001</v>
      </c>
      <c r="AW79">
        <v>1.9647699999999999</v>
      </c>
      <c r="AX79">
        <v>1.94676</v>
      </c>
      <c r="AY79">
        <v>2.0050699999999999</v>
      </c>
      <c r="AZ79">
        <v>2.0228799999999998</v>
      </c>
      <c r="BA79">
        <v>2.0429900000000001</v>
      </c>
      <c r="BB79">
        <v>2.0906899999999999</v>
      </c>
      <c r="BC79">
        <v>2.1162700000000001</v>
      </c>
      <c r="BD79">
        <v>2.1572300000000002</v>
      </c>
      <c r="BE79">
        <v>2.0480399999999999</v>
      </c>
      <c r="BF79">
        <v>2.24146</v>
      </c>
      <c r="BG79">
        <v>2.2265000000000001</v>
      </c>
      <c r="BH79">
        <v>2.2171699999999999</v>
      </c>
      <c r="BI79">
        <v>2.2085499999999998</v>
      </c>
      <c r="BJ79">
        <v>2.20357</v>
      </c>
      <c r="BK79">
        <v>2.20323</v>
      </c>
      <c r="BL79">
        <v>2.19658</v>
      </c>
      <c r="BM79">
        <v>2.18994</v>
      </c>
      <c r="BN79">
        <v>2.18364</v>
      </c>
      <c r="BO79">
        <v>2.1277900000000001</v>
      </c>
      <c r="BP79">
        <v>2.1736599999999999</v>
      </c>
      <c r="BQ79">
        <v>2.1736800000000001</v>
      </c>
      <c r="BR79">
        <v>2.1736900000000001</v>
      </c>
      <c r="BS79">
        <v>2.1737099999999998</v>
      </c>
      <c r="BT79">
        <v>2.1737199999999999</v>
      </c>
      <c r="BW79">
        <v>2.1687599999999998</v>
      </c>
      <c r="BX79">
        <v>2.17008</v>
      </c>
      <c r="BY79">
        <v>2.1700900000000001</v>
      </c>
      <c r="BZ79">
        <v>2.1638000000000002</v>
      </c>
      <c r="CA79">
        <v>2.1638099999999998</v>
      </c>
      <c r="CB79">
        <v>2.1638199999999999</v>
      </c>
      <c r="CC79">
        <v>2.1616200000000001</v>
      </c>
      <c r="CD79">
        <v>2.1616300000000002</v>
      </c>
      <c r="CE79">
        <v>2.1515</v>
      </c>
      <c r="CF79">
        <v>2.15151</v>
      </c>
      <c r="CG79">
        <v>2.1515200000000001</v>
      </c>
      <c r="CH79">
        <v>2.15089</v>
      </c>
      <c r="CI79">
        <v>2.1496900000000001</v>
      </c>
      <c r="CJ79">
        <v>2.1437900000000001</v>
      </c>
      <c r="CK79">
        <v>2.1489099999999999</v>
      </c>
      <c r="CL79">
        <v>2.1489199999999999</v>
      </c>
      <c r="CM79">
        <v>2.14893</v>
      </c>
      <c r="CN79">
        <v>2.1489400000000001</v>
      </c>
      <c r="CO79">
        <v>2.14181</v>
      </c>
      <c r="CP79">
        <v>2.1464500000000002</v>
      </c>
      <c r="CQ79">
        <v>2.1343299999999998</v>
      </c>
      <c r="CS79">
        <v>2.1414599999999999</v>
      </c>
      <c r="CT79">
        <v>2.1527699999999999</v>
      </c>
      <c r="CU79">
        <v>2.1527699999999999</v>
      </c>
      <c r="CV79">
        <v>2.1527799999999999</v>
      </c>
      <c r="CW79">
        <v>2.1361400000000001</v>
      </c>
      <c r="CX79">
        <v>2.1361400000000001</v>
      </c>
      <c r="CY79">
        <v>2.1336400000000002</v>
      </c>
      <c r="CZ79">
        <v>2.1286700000000001</v>
      </c>
      <c r="DA79">
        <v>2.12616</v>
      </c>
      <c r="DB79">
        <v>2.1261700000000001</v>
      </c>
      <c r="DC79">
        <v>2.0319500000000001</v>
      </c>
    </row>
    <row r="80" spans="1:107" x14ac:dyDescent="0.25">
      <c r="A80">
        <f t="shared" si="1"/>
        <v>6</v>
      </c>
      <c r="B80" s="2">
        <v>42118</v>
      </c>
      <c r="E80">
        <v>0.59677000000000002</v>
      </c>
      <c r="F80">
        <v>0.67673000000000005</v>
      </c>
      <c r="G80">
        <v>0.67223999999999995</v>
      </c>
      <c r="H80">
        <v>0.72167000000000003</v>
      </c>
      <c r="I80">
        <v>0.67256000000000005</v>
      </c>
      <c r="J80">
        <v>0.73199999999999998</v>
      </c>
      <c r="K80">
        <v>0.72533999999999998</v>
      </c>
      <c r="L80">
        <v>0.69142000000000003</v>
      </c>
      <c r="M80">
        <v>0.71072999999999997</v>
      </c>
      <c r="N80">
        <v>0.65364</v>
      </c>
      <c r="O80">
        <v>0.77364999999999995</v>
      </c>
      <c r="P80">
        <v>0.75405</v>
      </c>
      <c r="Q80">
        <v>0.68584999999999996</v>
      </c>
      <c r="R80">
        <v>0.71809000000000001</v>
      </c>
      <c r="S80">
        <v>0.81574999999999998</v>
      </c>
      <c r="T80">
        <v>0.80220999999999998</v>
      </c>
      <c r="U80">
        <v>0.70352999999999999</v>
      </c>
      <c r="V80">
        <v>0.73936000000000002</v>
      </c>
      <c r="W80">
        <v>0.80581999999999998</v>
      </c>
      <c r="X80">
        <v>0.85094999999999998</v>
      </c>
      <c r="Y80">
        <v>0.88599000000000006</v>
      </c>
      <c r="Z80">
        <v>0.83687999999999996</v>
      </c>
      <c r="AA80">
        <v>0.90149000000000001</v>
      </c>
      <c r="AB80">
        <v>0.90549000000000002</v>
      </c>
      <c r="AC80">
        <v>0.97591000000000006</v>
      </c>
      <c r="AD80">
        <v>0.98212999999999995</v>
      </c>
      <c r="AE80">
        <v>0.88980000000000004</v>
      </c>
      <c r="AF80">
        <v>1.0374699999999999</v>
      </c>
      <c r="AG80">
        <v>1.06366</v>
      </c>
      <c r="AH80">
        <v>1.1397699999999999</v>
      </c>
      <c r="AI80">
        <v>1.10101</v>
      </c>
      <c r="AJ80">
        <v>1.12547</v>
      </c>
      <c r="AK80">
        <v>1.0082199999999999</v>
      </c>
      <c r="AL80">
        <v>1.1990799999999999</v>
      </c>
      <c r="AM80">
        <v>1.2919799999999999</v>
      </c>
      <c r="AN80">
        <v>1.11243</v>
      </c>
      <c r="AO80">
        <v>1.3452200000000001</v>
      </c>
      <c r="AP80">
        <v>1.41185</v>
      </c>
      <c r="AQ80">
        <v>1.2411000000000001</v>
      </c>
      <c r="AR80">
        <v>1.4633799999999999</v>
      </c>
      <c r="AS80">
        <v>1.5060899999999999</v>
      </c>
      <c r="AT80">
        <v>1.54009</v>
      </c>
      <c r="AU80">
        <v>1.52702</v>
      </c>
      <c r="AV80">
        <v>1.45479</v>
      </c>
      <c r="AW80">
        <v>1.92754</v>
      </c>
      <c r="AX80">
        <v>1.9013</v>
      </c>
      <c r="AY80">
        <v>1.9611400000000001</v>
      </c>
      <c r="AZ80">
        <v>1.9816</v>
      </c>
      <c r="BA80">
        <v>2.0004400000000002</v>
      </c>
      <c r="BB80">
        <v>2.0581399999999999</v>
      </c>
      <c r="BC80">
        <v>2.0797500000000002</v>
      </c>
      <c r="BD80">
        <v>2.1194600000000001</v>
      </c>
      <c r="BE80">
        <v>2.0226899999999999</v>
      </c>
      <c r="BF80">
        <v>2.2104900000000001</v>
      </c>
      <c r="BG80">
        <v>2.1951200000000002</v>
      </c>
      <c r="BH80">
        <v>2.1844000000000001</v>
      </c>
      <c r="BI80">
        <v>2.1734200000000001</v>
      </c>
      <c r="BJ80">
        <v>2.1694900000000001</v>
      </c>
      <c r="BK80">
        <v>2.1621700000000001</v>
      </c>
      <c r="BL80">
        <v>2.1571899999999999</v>
      </c>
      <c r="BM80">
        <v>2.15456</v>
      </c>
      <c r="BN80">
        <v>2.1431800000000001</v>
      </c>
      <c r="BO80">
        <v>2.09809</v>
      </c>
      <c r="BP80">
        <v>2.1358700000000002</v>
      </c>
      <c r="BQ80">
        <v>2.1358899999999998</v>
      </c>
      <c r="BR80">
        <v>2.1325699999999999</v>
      </c>
      <c r="BS80">
        <v>2.1325799999999999</v>
      </c>
      <c r="BT80">
        <v>2.13259</v>
      </c>
      <c r="BW80">
        <v>2.1293000000000002</v>
      </c>
      <c r="BX80">
        <v>2.1313499999999999</v>
      </c>
      <c r="BY80">
        <v>2.1313599999999999</v>
      </c>
      <c r="BZ80">
        <v>2.1259999999999999</v>
      </c>
      <c r="CA80">
        <v>2.12601</v>
      </c>
      <c r="CB80">
        <v>2.12602</v>
      </c>
      <c r="CC80">
        <v>2.12737</v>
      </c>
      <c r="CD80">
        <v>2.12738</v>
      </c>
      <c r="CE80">
        <v>2.1223900000000002</v>
      </c>
      <c r="CF80">
        <v>2.1223999999999998</v>
      </c>
      <c r="CG80">
        <v>2.1203699999999999</v>
      </c>
      <c r="CH80">
        <v>2.1141399999999999</v>
      </c>
      <c r="CI80">
        <v>2.1108199999999999</v>
      </c>
      <c r="CJ80">
        <v>2.11083</v>
      </c>
      <c r="CK80">
        <v>2.1114899999999999</v>
      </c>
      <c r="CL80">
        <v>2.1114999999999999</v>
      </c>
      <c r="CM80">
        <v>2.11151</v>
      </c>
      <c r="CN80">
        <v>2.1115200000000001</v>
      </c>
      <c r="CO80">
        <v>2.1135600000000001</v>
      </c>
      <c r="CP80">
        <v>2.1058699999999999</v>
      </c>
      <c r="CQ80">
        <v>2.10338</v>
      </c>
      <c r="CS80">
        <v>2.0958999999999999</v>
      </c>
      <c r="CT80">
        <v>2.1011799999999998</v>
      </c>
      <c r="CU80">
        <v>2.1011799999999998</v>
      </c>
      <c r="CV80">
        <v>2.1011899999999999</v>
      </c>
      <c r="CW80">
        <v>2.1049099999999998</v>
      </c>
      <c r="CX80">
        <v>2.1049099999999998</v>
      </c>
      <c r="CY80">
        <v>2.0987900000000002</v>
      </c>
      <c r="CZ80">
        <v>2.09117</v>
      </c>
      <c r="DA80">
        <v>2.09151</v>
      </c>
      <c r="DB80">
        <v>2.09151</v>
      </c>
      <c r="DC80">
        <v>2.0052699999999999</v>
      </c>
    </row>
    <row r="81" spans="1:107" x14ac:dyDescent="0.25">
      <c r="A81">
        <f t="shared" si="1"/>
        <v>2</v>
      </c>
      <c r="B81" s="2">
        <v>42121</v>
      </c>
      <c r="E81">
        <v>0.62995000000000001</v>
      </c>
      <c r="F81">
        <v>0.68725000000000003</v>
      </c>
      <c r="G81">
        <v>0.69298999999999999</v>
      </c>
      <c r="H81">
        <v>0.73346999999999996</v>
      </c>
      <c r="I81">
        <v>0.66349999999999998</v>
      </c>
      <c r="J81">
        <v>0.72682000000000002</v>
      </c>
      <c r="K81">
        <v>0.73184000000000005</v>
      </c>
      <c r="L81">
        <v>0.70511000000000001</v>
      </c>
      <c r="M81">
        <v>0.73150000000000004</v>
      </c>
      <c r="N81">
        <v>0.67227999999999999</v>
      </c>
      <c r="O81">
        <v>0.78293999999999997</v>
      </c>
      <c r="P81">
        <v>0.76305000000000001</v>
      </c>
      <c r="Q81">
        <v>0.70267999999999997</v>
      </c>
      <c r="R81">
        <v>0.73329999999999995</v>
      </c>
      <c r="S81">
        <v>0.82989000000000002</v>
      </c>
      <c r="T81">
        <v>0.83482000000000001</v>
      </c>
      <c r="U81">
        <v>0.71865000000000001</v>
      </c>
      <c r="V81">
        <v>0.75434999999999997</v>
      </c>
      <c r="W81">
        <v>0.82086999999999999</v>
      </c>
      <c r="X81">
        <v>0.86446999999999996</v>
      </c>
      <c r="Y81">
        <v>0.90554999999999997</v>
      </c>
      <c r="Z81">
        <v>0.85604999999999998</v>
      </c>
      <c r="AA81">
        <v>0.92086999999999997</v>
      </c>
      <c r="AB81">
        <v>0.92920999999999998</v>
      </c>
      <c r="AC81">
        <v>0.99358000000000002</v>
      </c>
      <c r="AD81">
        <v>0.99812000000000001</v>
      </c>
      <c r="AE81">
        <v>0.90834000000000004</v>
      </c>
      <c r="AF81">
        <v>1.0546899999999999</v>
      </c>
      <c r="AG81">
        <v>1.0738300000000001</v>
      </c>
      <c r="AH81">
        <v>1.1572800000000001</v>
      </c>
      <c r="AI81">
        <v>1.1206</v>
      </c>
      <c r="AJ81">
        <v>1.14232</v>
      </c>
      <c r="AK81">
        <v>1.0262100000000001</v>
      </c>
      <c r="AL81">
        <v>1.21651</v>
      </c>
      <c r="AM81">
        <v>1.31176</v>
      </c>
      <c r="AN81">
        <v>1.13334</v>
      </c>
      <c r="AO81">
        <v>1.3715999999999999</v>
      </c>
      <c r="AP81">
        <v>1.4369000000000001</v>
      </c>
      <c r="AQ81">
        <v>1.26596</v>
      </c>
      <c r="AR81">
        <v>1.4882899999999999</v>
      </c>
      <c r="AS81">
        <v>1.5292300000000001</v>
      </c>
      <c r="AT81">
        <v>1.5634600000000001</v>
      </c>
      <c r="AU81">
        <v>1.5512999999999999</v>
      </c>
      <c r="AV81">
        <v>1.4777199999999999</v>
      </c>
      <c r="AW81">
        <v>1.94763</v>
      </c>
      <c r="AX81">
        <v>1.92083</v>
      </c>
      <c r="AY81">
        <v>1.9819599999999999</v>
      </c>
      <c r="AZ81">
        <v>2.0058799999999999</v>
      </c>
      <c r="BA81">
        <v>2.01471</v>
      </c>
      <c r="BB81">
        <v>2.07206</v>
      </c>
      <c r="BC81">
        <v>2.0982699999999999</v>
      </c>
      <c r="BD81">
        <v>2.1371500000000001</v>
      </c>
      <c r="BE81">
        <v>2.0337399999999999</v>
      </c>
      <c r="BF81">
        <v>2.2273700000000001</v>
      </c>
      <c r="BG81">
        <v>2.2111499999999999</v>
      </c>
      <c r="BH81">
        <v>2.2026400000000002</v>
      </c>
      <c r="BI81">
        <v>2.1905700000000001</v>
      </c>
      <c r="BJ81">
        <v>2.1876600000000002</v>
      </c>
      <c r="BK81">
        <v>2.1794099999999998</v>
      </c>
      <c r="BL81">
        <v>2.17441</v>
      </c>
      <c r="BM81">
        <v>2.1716700000000002</v>
      </c>
      <c r="BN81">
        <v>2.1644399999999999</v>
      </c>
      <c r="BO81">
        <v>2.1162800000000002</v>
      </c>
      <c r="BP81">
        <v>2.1529799999999999</v>
      </c>
      <c r="BQ81">
        <v>2.15299</v>
      </c>
      <c r="BR81">
        <v>2.1496599999999999</v>
      </c>
      <c r="BS81">
        <v>2.14967</v>
      </c>
      <c r="BT81">
        <v>2.14968</v>
      </c>
      <c r="BW81">
        <v>2.14636</v>
      </c>
      <c r="BX81">
        <v>2.1485099999999999</v>
      </c>
      <c r="BY81">
        <v>2.14852</v>
      </c>
      <c r="BZ81">
        <v>2.1463000000000001</v>
      </c>
      <c r="CA81">
        <v>2.1463000000000001</v>
      </c>
      <c r="CB81">
        <v>2.1463100000000002</v>
      </c>
      <c r="CC81">
        <v>2.1442000000000001</v>
      </c>
      <c r="CD81">
        <v>2.1442000000000001</v>
      </c>
      <c r="CE81">
        <v>2.1392099999999998</v>
      </c>
      <c r="CF81">
        <v>2.1392199999999999</v>
      </c>
      <c r="CG81">
        <v>2.1396600000000001</v>
      </c>
      <c r="CH81">
        <v>2.1339000000000001</v>
      </c>
      <c r="CI81">
        <v>2.1278299999999999</v>
      </c>
      <c r="CJ81">
        <v>2.12784</v>
      </c>
      <c r="CK81">
        <v>2.13137</v>
      </c>
      <c r="CL81">
        <v>2.1313800000000001</v>
      </c>
      <c r="CM81">
        <v>2.1313800000000001</v>
      </c>
      <c r="CN81">
        <v>2.1313900000000001</v>
      </c>
      <c r="CO81">
        <v>2.1261199999999998</v>
      </c>
      <c r="CP81">
        <v>2.1261299999999999</v>
      </c>
      <c r="CQ81">
        <v>2.1214</v>
      </c>
      <c r="CS81">
        <v>2.1139100000000002</v>
      </c>
      <c r="CT81">
        <v>2.11816</v>
      </c>
      <c r="CU81">
        <v>2.11816</v>
      </c>
      <c r="CV81">
        <v>2.1181700000000001</v>
      </c>
      <c r="CW81">
        <v>2.12188</v>
      </c>
      <c r="CX81">
        <v>2.1218900000000001</v>
      </c>
      <c r="CY81">
        <v>2.1156999999999999</v>
      </c>
      <c r="CZ81">
        <v>2.1087500000000001</v>
      </c>
      <c r="DA81">
        <v>2.1095000000000002</v>
      </c>
      <c r="DB81">
        <v>2.1095000000000002</v>
      </c>
      <c r="DC81">
        <v>2.0204900000000001</v>
      </c>
    </row>
    <row r="82" spans="1:107" x14ac:dyDescent="0.25">
      <c r="A82">
        <f t="shared" si="1"/>
        <v>3</v>
      </c>
      <c r="B82" s="2">
        <v>42122</v>
      </c>
      <c r="E82">
        <v>0.63690999999999998</v>
      </c>
      <c r="F82">
        <v>0.68711999999999995</v>
      </c>
      <c r="G82">
        <v>0.74782000000000004</v>
      </c>
      <c r="H82">
        <v>0.72807999999999995</v>
      </c>
      <c r="I82">
        <v>0.67095000000000005</v>
      </c>
      <c r="J82">
        <v>0.7268</v>
      </c>
      <c r="K82">
        <v>0.74358000000000002</v>
      </c>
      <c r="L82">
        <v>0.73253999999999997</v>
      </c>
      <c r="M82">
        <v>0.75434999999999997</v>
      </c>
      <c r="N82">
        <v>0.70059000000000005</v>
      </c>
      <c r="O82">
        <v>0.80042000000000002</v>
      </c>
      <c r="P82">
        <v>0.80149000000000004</v>
      </c>
      <c r="Q82">
        <v>0.72770000000000001</v>
      </c>
      <c r="R82">
        <v>0.75822000000000001</v>
      </c>
      <c r="S82">
        <v>0.82093000000000005</v>
      </c>
      <c r="T82">
        <v>0.86124999999999996</v>
      </c>
      <c r="U82">
        <v>0.75934000000000001</v>
      </c>
      <c r="V82">
        <v>0.78876000000000002</v>
      </c>
      <c r="W82">
        <v>0.85445000000000004</v>
      </c>
      <c r="X82">
        <v>0.89531000000000005</v>
      </c>
      <c r="Y82">
        <v>0.99339999999999995</v>
      </c>
      <c r="Z82">
        <v>0.93274000000000001</v>
      </c>
      <c r="AA82">
        <v>0.98453000000000002</v>
      </c>
      <c r="AB82">
        <v>0.99209000000000003</v>
      </c>
      <c r="AC82">
        <v>1.0578799999999999</v>
      </c>
      <c r="AD82">
        <v>1.0290900000000001</v>
      </c>
      <c r="AE82">
        <v>0.99117999999999995</v>
      </c>
      <c r="AF82">
        <v>1.1064700000000001</v>
      </c>
      <c r="AG82">
        <v>1.14775</v>
      </c>
      <c r="AH82">
        <v>1.2089000000000001</v>
      </c>
      <c r="AI82">
        <v>1.1829400000000001</v>
      </c>
      <c r="AJ82">
        <v>1.2057599999999999</v>
      </c>
      <c r="AK82">
        <v>1.0920300000000001</v>
      </c>
      <c r="AL82">
        <v>1.2821899999999999</v>
      </c>
      <c r="AM82">
        <v>1.3984700000000001</v>
      </c>
      <c r="AN82">
        <v>1.2412099999999999</v>
      </c>
      <c r="AO82">
        <v>1.45113</v>
      </c>
      <c r="AP82">
        <v>1.5363100000000001</v>
      </c>
      <c r="AQ82">
        <v>1.3642300000000001</v>
      </c>
      <c r="AR82">
        <v>1.5811599999999999</v>
      </c>
      <c r="AS82">
        <v>1.6142799999999999</v>
      </c>
      <c r="AT82">
        <v>1.64377</v>
      </c>
      <c r="AU82">
        <v>1.6113200000000001</v>
      </c>
      <c r="AV82">
        <v>1.5716000000000001</v>
      </c>
      <c r="AW82">
        <v>2.0351699999999999</v>
      </c>
      <c r="AX82">
        <v>2.01912</v>
      </c>
      <c r="AY82">
        <v>2.0757300000000001</v>
      </c>
      <c r="AZ82">
        <v>2.0906400000000001</v>
      </c>
      <c r="BA82">
        <v>2.1135999999999999</v>
      </c>
      <c r="BB82">
        <v>2.1616599999999999</v>
      </c>
      <c r="BC82">
        <v>2.1893500000000001</v>
      </c>
      <c r="BD82">
        <v>2.22743</v>
      </c>
      <c r="BE82">
        <v>2.1406800000000001</v>
      </c>
      <c r="BF82">
        <v>2.32775</v>
      </c>
      <c r="BG82">
        <v>2.30409</v>
      </c>
      <c r="BH82">
        <v>2.29705</v>
      </c>
      <c r="BI82">
        <v>2.2864499999999999</v>
      </c>
      <c r="BJ82">
        <v>2.2785600000000001</v>
      </c>
      <c r="BK82">
        <v>2.28084</v>
      </c>
      <c r="BL82">
        <v>2.2741799999999999</v>
      </c>
      <c r="BM82">
        <v>2.2675299999999998</v>
      </c>
      <c r="BN82">
        <v>2.26248</v>
      </c>
      <c r="BO82">
        <v>2.21157</v>
      </c>
      <c r="BP82">
        <v>2.2488600000000001</v>
      </c>
      <c r="BQ82">
        <v>2.2488700000000001</v>
      </c>
      <c r="BR82">
        <v>2.2515100000000001</v>
      </c>
      <c r="BS82">
        <v>2.2515200000000002</v>
      </c>
      <c r="BT82">
        <v>2.2515299999999998</v>
      </c>
      <c r="BW82">
        <v>2.24655</v>
      </c>
      <c r="BX82">
        <v>2.24695</v>
      </c>
      <c r="BY82">
        <v>2.2415600000000002</v>
      </c>
      <c r="BZ82">
        <v>2.2355999999999998</v>
      </c>
      <c r="CA82">
        <v>2.2356099999999999</v>
      </c>
      <c r="CB82">
        <v>2.2356199999999999</v>
      </c>
      <c r="CC82">
        <v>2.2350599999999998</v>
      </c>
      <c r="CD82">
        <v>2.2350599999999998</v>
      </c>
      <c r="CE82">
        <v>2.23075</v>
      </c>
      <c r="CF82">
        <v>2.2307600000000001</v>
      </c>
      <c r="CG82">
        <v>2.2286700000000002</v>
      </c>
      <c r="CH82">
        <v>2.2266300000000001</v>
      </c>
      <c r="CI82">
        <v>2.22037</v>
      </c>
      <c r="CJ82">
        <v>2.22234</v>
      </c>
      <c r="CK82">
        <v>2.2237399999999998</v>
      </c>
      <c r="CL82">
        <v>2.2237399999999998</v>
      </c>
      <c r="CM82">
        <v>2.2237499999999999</v>
      </c>
      <c r="CN82">
        <v>2.22376</v>
      </c>
      <c r="CO82">
        <v>2.22376</v>
      </c>
      <c r="CP82">
        <v>2.2141700000000002</v>
      </c>
      <c r="CQ82">
        <v>2.2116799999999999</v>
      </c>
      <c r="CS82">
        <v>2.2041900000000001</v>
      </c>
      <c r="CT82">
        <v>2.2041900000000001</v>
      </c>
      <c r="CU82">
        <v>2.2042000000000002</v>
      </c>
      <c r="CV82">
        <v>2.2042000000000002</v>
      </c>
      <c r="CW82">
        <v>2.2150799999999999</v>
      </c>
      <c r="CX82">
        <v>2.2228500000000002</v>
      </c>
      <c r="CY82">
        <v>2.1942200000000001</v>
      </c>
      <c r="CZ82">
        <v>2.1942200000000001</v>
      </c>
      <c r="DA82">
        <v>2.1867200000000002</v>
      </c>
      <c r="DB82">
        <v>2.1867299999999998</v>
      </c>
      <c r="DC82">
        <v>2.1132399999999998</v>
      </c>
    </row>
    <row r="83" spans="1:107" x14ac:dyDescent="0.25">
      <c r="A83">
        <f t="shared" si="1"/>
        <v>4</v>
      </c>
      <c r="B83" s="2">
        <v>42123</v>
      </c>
      <c r="E83">
        <v>0.61878999999999995</v>
      </c>
      <c r="F83">
        <v>0.68332000000000004</v>
      </c>
      <c r="G83">
        <v>0.73265999999999998</v>
      </c>
      <c r="H83">
        <v>0.74602000000000002</v>
      </c>
      <c r="I83">
        <v>0.66381000000000001</v>
      </c>
      <c r="J83">
        <v>0.71213000000000004</v>
      </c>
      <c r="K83">
        <v>0.74483999999999995</v>
      </c>
      <c r="L83">
        <v>0.73046</v>
      </c>
      <c r="M83">
        <v>0.76607999999999998</v>
      </c>
      <c r="N83">
        <v>0.70628000000000002</v>
      </c>
      <c r="O83">
        <v>0.82567999999999997</v>
      </c>
      <c r="P83">
        <v>0.78947999999999996</v>
      </c>
      <c r="Q83">
        <v>0.73224</v>
      </c>
      <c r="R83">
        <v>0.76315</v>
      </c>
      <c r="S83">
        <v>0.85792000000000002</v>
      </c>
      <c r="T83">
        <v>0.84735000000000005</v>
      </c>
      <c r="U83">
        <v>0.76153999999999999</v>
      </c>
      <c r="V83">
        <v>0.79693999999999998</v>
      </c>
      <c r="W83">
        <v>0.86334999999999995</v>
      </c>
      <c r="X83">
        <v>0.90466000000000002</v>
      </c>
      <c r="Y83">
        <v>0.98623000000000005</v>
      </c>
      <c r="Z83">
        <v>0.94281999999999999</v>
      </c>
      <c r="AA83">
        <v>1.00176</v>
      </c>
      <c r="AB83">
        <v>1.0096400000000001</v>
      </c>
      <c r="AC83">
        <v>1.1074299999999999</v>
      </c>
      <c r="AD83">
        <v>1.07561</v>
      </c>
      <c r="AE83">
        <v>1.00301</v>
      </c>
      <c r="AF83">
        <v>1.1490100000000001</v>
      </c>
      <c r="AG83">
        <v>1.1685700000000001</v>
      </c>
      <c r="AH83">
        <v>1.24309</v>
      </c>
      <c r="AI83">
        <v>1.23349</v>
      </c>
      <c r="AJ83">
        <v>1.2425200000000001</v>
      </c>
      <c r="AK83">
        <v>1.1273899999999999</v>
      </c>
      <c r="AL83">
        <v>1.3162799999999999</v>
      </c>
      <c r="AM83">
        <v>1.4475800000000001</v>
      </c>
      <c r="AN83">
        <v>1.2589999999999999</v>
      </c>
      <c r="AO83">
        <v>1.4961100000000001</v>
      </c>
      <c r="AP83">
        <v>1.5805199999999999</v>
      </c>
      <c r="AQ83">
        <v>1.40463</v>
      </c>
      <c r="AR83">
        <v>1.6262799999999999</v>
      </c>
      <c r="AS83">
        <v>1.66431</v>
      </c>
      <c r="AT83">
        <v>1.70885</v>
      </c>
      <c r="AU83">
        <v>1.6855</v>
      </c>
      <c r="AV83">
        <v>1.6066400000000001</v>
      </c>
      <c r="AW83">
        <v>2.0786199999999999</v>
      </c>
      <c r="AX83">
        <v>2.0895100000000002</v>
      </c>
      <c r="AY83">
        <v>2.1166999999999998</v>
      </c>
      <c r="AZ83">
        <v>2.1358700000000002</v>
      </c>
      <c r="BA83">
        <v>2.1492599999999999</v>
      </c>
      <c r="BB83">
        <v>2.2050900000000002</v>
      </c>
      <c r="BC83">
        <v>2.22383</v>
      </c>
      <c r="BD83">
        <v>2.2617600000000002</v>
      </c>
      <c r="BE83">
        <v>2.1711</v>
      </c>
      <c r="BF83">
        <v>2.3519199999999998</v>
      </c>
      <c r="BG83">
        <v>2.3370099999999998</v>
      </c>
      <c r="BH83">
        <v>2.3318099999999999</v>
      </c>
      <c r="BI83">
        <v>2.3197199999999998</v>
      </c>
      <c r="BJ83">
        <v>2.3158400000000001</v>
      </c>
      <c r="BK83">
        <v>2.3154300000000001</v>
      </c>
      <c r="BL83">
        <v>2.3087800000000001</v>
      </c>
      <c r="BM83">
        <v>2.3021400000000001</v>
      </c>
      <c r="BN83">
        <v>2.2961100000000001</v>
      </c>
      <c r="BO83">
        <v>2.24621</v>
      </c>
      <c r="BP83">
        <v>2.2851400000000002</v>
      </c>
      <c r="BQ83">
        <v>2.2851499999999998</v>
      </c>
      <c r="BR83">
        <v>2.2851699999999999</v>
      </c>
      <c r="BS83">
        <v>2.28518</v>
      </c>
      <c r="BT83">
        <v>2.2852000000000001</v>
      </c>
      <c r="BW83">
        <v>2.2802199999999999</v>
      </c>
      <c r="BX83">
        <v>2.2816200000000002</v>
      </c>
      <c r="BY83">
        <v>2.2752599999999998</v>
      </c>
      <c r="BZ83">
        <v>2.2686500000000001</v>
      </c>
      <c r="CA83">
        <v>2.2686600000000001</v>
      </c>
      <c r="CB83">
        <v>2.2686799999999998</v>
      </c>
      <c r="CC83">
        <v>2.27013</v>
      </c>
      <c r="CD83">
        <v>2.27014</v>
      </c>
      <c r="CE83">
        <v>2.26498</v>
      </c>
      <c r="CF83">
        <v>2.2649900000000001</v>
      </c>
      <c r="CG83">
        <v>2.2650700000000001</v>
      </c>
      <c r="CH83">
        <v>2.2601800000000001</v>
      </c>
      <c r="CI83">
        <v>2.25509</v>
      </c>
      <c r="CJ83">
        <v>2.2554400000000001</v>
      </c>
      <c r="CK83">
        <v>2.2555499999999999</v>
      </c>
      <c r="CL83">
        <v>2.25556</v>
      </c>
      <c r="CM83">
        <v>2.25556</v>
      </c>
      <c r="CN83">
        <v>2.2555700000000001</v>
      </c>
      <c r="CO83">
        <v>2.2555800000000001</v>
      </c>
      <c r="CP83">
        <v>2.2479399999999998</v>
      </c>
      <c r="CQ83">
        <v>2.2454499999999999</v>
      </c>
      <c r="CS83">
        <v>2.2379600000000002</v>
      </c>
      <c r="CT83">
        <v>2.2379699999999998</v>
      </c>
      <c r="CU83">
        <v>2.2379799999999999</v>
      </c>
      <c r="CV83">
        <v>2.2379899999999999</v>
      </c>
      <c r="CW83">
        <v>2.2561399999999998</v>
      </c>
      <c r="CX83">
        <v>2.2561499999999999</v>
      </c>
      <c r="CY83">
        <v>2.2561599999999999</v>
      </c>
      <c r="CZ83">
        <v>2.2280199999999999</v>
      </c>
      <c r="DA83">
        <v>2.2359900000000001</v>
      </c>
      <c r="DB83">
        <v>2.2360000000000002</v>
      </c>
      <c r="DC83">
        <v>2.1482700000000001</v>
      </c>
    </row>
    <row r="84" spans="1:107" x14ac:dyDescent="0.25">
      <c r="A84">
        <f t="shared" si="1"/>
        <v>5</v>
      </c>
      <c r="B84" s="2">
        <v>42124</v>
      </c>
      <c r="E84">
        <v>0.59443999999999997</v>
      </c>
      <c r="F84">
        <v>0.68308999999999997</v>
      </c>
      <c r="G84">
        <v>0.72321000000000002</v>
      </c>
      <c r="H84">
        <v>0.74206000000000005</v>
      </c>
      <c r="I84">
        <v>0.76776999999999995</v>
      </c>
      <c r="J84">
        <v>0.71209</v>
      </c>
      <c r="K84">
        <v>0.75129000000000001</v>
      </c>
      <c r="L84">
        <v>0.73914999999999997</v>
      </c>
      <c r="M84">
        <v>0.76903999999999995</v>
      </c>
      <c r="N84">
        <v>0.70801999999999998</v>
      </c>
      <c r="O84">
        <v>0.83082999999999996</v>
      </c>
      <c r="P84">
        <v>0.79759999999999998</v>
      </c>
      <c r="Q84">
        <v>0.73731000000000002</v>
      </c>
      <c r="R84">
        <v>0.76934999999999998</v>
      </c>
      <c r="S84">
        <v>0.88229000000000002</v>
      </c>
      <c r="T84">
        <v>0.87182999999999999</v>
      </c>
      <c r="U84">
        <v>0.77454000000000001</v>
      </c>
      <c r="V84">
        <v>0.80947999999999998</v>
      </c>
      <c r="W84">
        <v>0.87697999999999998</v>
      </c>
      <c r="X84">
        <v>0.92200000000000004</v>
      </c>
      <c r="Y84">
        <v>0.98663999999999996</v>
      </c>
      <c r="Z84">
        <v>0.94504999999999995</v>
      </c>
      <c r="AA84">
        <v>1.00301</v>
      </c>
      <c r="AB84">
        <v>1.0075099999999999</v>
      </c>
      <c r="AC84">
        <v>1.1030500000000001</v>
      </c>
      <c r="AD84">
        <v>1.0805400000000001</v>
      </c>
      <c r="AE84">
        <v>1.0044900000000001</v>
      </c>
      <c r="AF84">
        <v>1.15201</v>
      </c>
      <c r="AG84">
        <v>1.1799200000000001</v>
      </c>
      <c r="AH84">
        <v>1.2457199999999999</v>
      </c>
      <c r="AI84">
        <v>1.23821</v>
      </c>
      <c r="AJ84">
        <v>1.24682</v>
      </c>
      <c r="AK84">
        <v>1.13215</v>
      </c>
      <c r="AL84">
        <v>1.32104</v>
      </c>
      <c r="AM84">
        <v>1.4469099999999999</v>
      </c>
      <c r="AN84">
        <v>1.26135</v>
      </c>
      <c r="AO84">
        <v>1.4998499999999999</v>
      </c>
      <c r="AP84">
        <v>1.57579</v>
      </c>
      <c r="AQ84">
        <v>1.4043099999999999</v>
      </c>
      <c r="AR84">
        <v>1.62835</v>
      </c>
      <c r="AS84">
        <v>1.6673</v>
      </c>
      <c r="AT84">
        <v>1.712</v>
      </c>
      <c r="AU84">
        <v>1.6869499999999999</v>
      </c>
      <c r="AV84">
        <v>1.6077300000000001</v>
      </c>
      <c r="AW84">
        <v>2.0750299999999999</v>
      </c>
      <c r="AX84">
        <v>2.09151</v>
      </c>
      <c r="AY84">
        <v>2.1213600000000001</v>
      </c>
      <c r="AZ84">
        <v>2.1389900000000002</v>
      </c>
      <c r="BA84">
        <v>2.15598</v>
      </c>
      <c r="BB84">
        <v>2.2062499999999998</v>
      </c>
      <c r="BC84">
        <v>2.2203900000000001</v>
      </c>
      <c r="BD84">
        <v>2.2556699999999998</v>
      </c>
      <c r="BE84">
        <v>2.16974</v>
      </c>
      <c r="BF84">
        <v>2.3398400000000001</v>
      </c>
      <c r="BG84">
        <v>2.3298800000000002</v>
      </c>
      <c r="BH84">
        <v>2.3252600000000001</v>
      </c>
      <c r="BI84">
        <v>2.3122600000000002</v>
      </c>
      <c r="BJ84">
        <v>2.3088000000000002</v>
      </c>
      <c r="BK84">
        <v>2.3086000000000002</v>
      </c>
      <c r="BL84">
        <v>2.3019500000000002</v>
      </c>
      <c r="BM84">
        <v>2.2953100000000002</v>
      </c>
      <c r="BN84">
        <v>2.28877</v>
      </c>
      <c r="BO84">
        <v>2.2310599999999998</v>
      </c>
      <c r="BP84">
        <v>2.2743899999999999</v>
      </c>
      <c r="BQ84">
        <v>2.2744</v>
      </c>
      <c r="BR84">
        <v>2.2778200000000002</v>
      </c>
      <c r="BS84">
        <v>2.2778299999999998</v>
      </c>
      <c r="BT84">
        <v>2.2778499999999999</v>
      </c>
      <c r="BW84">
        <v>2.2728700000000002</v>
      </c>
      <c r="BX84">
        <v>2.2747899999999999</v>
      </c>
      <c r="BY84">
        <v>2.2679100000000001</v>
      </c>
      <c r="BZ84">
        <v>2.26119</v>
      </c>
      <c r="CA84">
        <v>2.2612000000000001</v>
      </c>
      <c r="CB84">
        <v>2.2612100000000002</v>
      </c>
      <c r="CC84">
        <v>2.26308</v>
      </c>
      <c r="CD84">
        <v>2.26309</v>
      </c>
      <c r="CE84">
        <v>2.2582399999999998</v>
      </c>
      <c r="CF84">
        <v>2.2582499999999999</v>
      </c>
      <c r="CG84">
        <v>2.2582399999999998</v>
      </c>
      <c r="CH84">
        <v>2.2531400000000001</v>
      </c>
      <c r="CI84">
        <v>2.2482600000000001</v>
      </c>
      <c r="CJ84">
        <v>2.24797</v>
      </c>
      <c r="CK84">
        <v>2.2478500000000001</v>
      </c>
      <c r="CL84">
        <v>2.2478600000000002</v>
      </c>
      <c r="CM84">
        <v>2.2478699999999998</v>
      </c>
      <c r="CN84">
        <v>2.2478699999999998</v>
      </c>
      <c r="CO84">
        <v>2.2478799999999999</v>
      </c>
      <c r="CP84">
        <v>2.24559</v>
      </c>
      <c r="CQ84">
        <v>2.2381000000000002</v>
      </c>
      <c r="CS84">
        <v>2.2406000000000001</v>
      </c>
      <c r="CT84">
        <v>2.23062</v>
      </c>
      <c r="CU84">
        <v>2.2306300000000001</v>
      </c>
      <c r="CV84">
        <v>2.2306400000000002</v>
      </c>
      <c r="CW84">
        <v>2.2494000000000001</v>
      </c>
      <c r="CX84">
        <v>2.2494000000000001</v>
      </c>
      <c r="CY84">
        <v>2.2356199999999999</v>
      </c>
      <c r="CZ84">
        <v>2.2321</v>
      </c>
      <c r="DA84">
        <v>2.2296</v>
      </c>
      <c r="DB84">
        <v>2.2296</v>
      </c>
      <c r="DC84">
        <v>2.1367699999999998</v>
      </c>
    </row>
    <row r="85" spans="1:107" x14ac:dyDescent="0.25">
      <c r="A85">
        <f t="shared" si="1"/>
        <v>6</v>
      </c>
      <c r="B85" s="2">
        <v>42125</v>
      </c>
      <c r="E85">
        <v>0.60048999999999997</v>
      </c>
      <c r="F85">
        <v>0.68957000000000002</v>
      </c>
      <c r="G85">
        <v>0.71833000000000002</v>
      </c>
      <c r="H85">
        <v>0.73948000000000003</v>
      </c>
      <c r="I85">
        <v>0.71923999999999999</v>
      </c>
      <c r="J85">
        <v>0.71697</v>
      </c>
      <c r="K85">
        <v>0.76961999999999997</v>
      </c>
      <c r="L85">
        <v>0.76266999999999996</v>
      </c>
      <c r="M85">
        <v>0.78386999999999996</v>
      </c>
      <c r="N85">
        <v>0.73338000000000003</v>
      </c>
      <c r="O85">
        <v>0.84665999999999997</v>
      </c>
      <c r="P85">
        <v>0.81259000000000003</v>
      </c>
      <c r="Q85">
        <v>0.76887000000000005</v>
      </c>
      <c r="R85">
        <v>0.80044000000000004</v>
      </c>
      <c r="S85">
        <v>0.89866999999999997</v>
      </c>
      <c r="T85">
        <v>0.91654999999999998</v>
      </c>
      <c r="U85">
        <v>0.81189999999999996</v>
      </c>
      <c r="V85">
        <v>0.84826999999999997</v>
      </c>
      <c r="W85">
        <v>0.91535999999999995</v>
      </c>
      <c r="X85">
        <v>0.96406000000000003</v>
      </c>
      <c r="Y85">
        <v>1.07039</v>
      </c>
      <c r="Z85">
        <v>1.0092699999999999</v>
      </c>
      <c r="AA85">
        <v>1.0643800000000001</v>
      </c>
      <c r="AB85">
        <v>1.07023</v>
      </c>
      <c r="AC85">
        <v>1.1725399999999999</v>
      </c>
      <c r="AD85">
        <v>1.13296</v>
      </c>
      <c r="AE85">
        <v>1.0768200000000001</v>
      </c>
      <c r="AF85">
        <v>1.2241</v>
      </c>
      <c r="AG85">
        <v>1.2526600000000001</v>
      </c>
      <c r="AH85">
        <v>1.31697</v>
      </c>
      <c r="AI85">
        <v>1.31474</v>
      </c>
      <c r="AJ85">
        <v>1.31989</v>
      </c>
      <c r="AK85">
        <v>1.1915500000000001</v>
      </c>
      <c r="AL85">
        <v>1.39324</v>
      </c>
      <c r="AM85">
        <v>1.52166</v>
      </c>
      <c r="AN85">
        <v>1.34076</v>
      </c>
      <c r="AO85">
        <v>1.5796399999999999</v>
      </c>
      <c r="AP85">
        <v>1.65998</v>
      </c>
      <c r="AQ85">
        <v>1.4812399999999999</v>
      </c>
      <c r="AR85">
        <v>1.7082599999999999</v>
      </c>
      <c r="AS85">
        <v>1.74177</v>
      </c>
      <c r="AT85">
        <v>1.77667</v>
      </c>
      <c r="AU85">
        <v>1.73367</v>
      </c>
      <c r="AV85">
        <v>1.67991</v>
      </c>
      <c r="AW85">
        <v>2.1494</v>
      </c>
      <c r="AX85">
        <v>2.12723</v>
      </c>
      <c r="AY85">
        <v>2.1920700000000002</v>
      </c>
      <c r="AZ85">
        <v>2.2040799999999998</v>
      </c>
      <c r="BA85">
        <v>2.2240500000000001</v>
      </c>
      <c r="BB85">
        <v>2.26667</v>
      </c>
      <c r="BC85">
        <v>2.2817099999999999</v>
      </c>
      <c r="BD85">
        <v>2.32491</v>
      </c>
      <c r="BE85">
        <v>2.2313499999999999</v>
      </c>
      <c r="BF85">
        <v>2.3988499999999999</v>
      </c>
      <c r="BG85">
        <v>2.3888799999999999</v>
      </c>
      <c r="BH85">
        <v>2.3868399999999999</v>
      </c>
      <c r="BI85">
        <v>2.37093</v>
      </c>
      <c r="BJ85">
        <v>2.3629600000000002</v>
      </c>
      <c r="BK85">
        <v>2.3738800000000002</v>
      </c>
      <c r="BL85">
        <v>2.3615900000000001</v>
      </c>
      <c r="BM85">
        <v>2.3549500000000001</v>
      </c>
      <c r="BN85">
        <v>2.3489800000000001</v>
      </c>
      <c r="BO85">
        <v>2.28973</v>
      </c>
      <c r="BP85">
        <v>2.3380000000000001</v>
      </c>
      <c r="BQ85">
        <v>2.3380200000000002</v>
      </c>
      <c r="BR85">
        <v>2.3380399999999999</v>
      </c>
      <c r="BS85">
        <v>2.33805</v>
      </c>
      <c r="BT85">
        <v>2.3380700000000001</v>
      </c>
      <c r="BW85">
        <v>2.3330899999999999</v>
      </c>
      <c r="BX85">
        <v>2.3344299999999998</v>
      </c>
      <c r="BY85">
        <v>2.3281299999999998</v>
      </c>
      <c r="BZ85">
        <v>2.3198599999999998</v>
      </c>
      <c r="CA85">
        <v>2.3198699999999999</v>
      </c>
      <c r="CB85">
        <v>2.31989</v>
      </c>
      <c r="CC85">
        <v>2.3245</v>
      </c>
      <c r="CD85">
        <v>2.3245100000000001</v>
      </c>
      <c r="CE85">
        <v>2.31528</v>
      </c>
      <c r="CF85">
        <v>2.3152900000000001</v>
      </c>
      <c r="CG85">
        <v>2.3166000000000002</v>
      </c>
      <c r="CH85">
        <v>2.30931</v>
      </c>
      <c r="CI85">
        <v>2.3079100000000001</v>
      </c>
      <c r="CJ85">
        <v>2.3079200000000002</v>
      </c>
      <c r="CK85">
        <v>2.3082699999999998</v>
      </c>
      <c r="CL85">
        <v>2.3082799999999999</v>
      </c>
      <c r="CM85">
        <v>2.30829</v>
      </c>
      <c r="CN85">
        <v>2.3083</v>
      </c>
      <c r="CO85">
        <v>2.3038699999999999</v>
      </c>
      <c r="CP85">
        <v>2.3058100000000001</v>
      </c>
      <c r="CQ85">
        <v>2.2963900000000002</v>
      </c>
      <c r="CS85">
        <v>2.3008299999999999</v>
      </c>
      <c r="CT85">
        <v>2.30084</v>
      </c>
      <c r="CU85">
        <v>2.3008500000000001</v>
      </c>
      <c r="CV85">
        <v>2.3008500000000001</v>
      </c>
      <c r="CW85">
        <v>2.3088799999999998</v>
      </c>
      <c r="CX85">
        <v>2.3088899999999999</v>
      </c>
      <c r="CY85">
        <v>2.2958500000000002</v>
      </c>
      <c r="CZ85">
        <v>2.2923499999999999</v>
      </c>
      <c r="DA85">
        <v>2.2898399999999999</v>
      </c>
      <c r="DB85">
        <v>2.2898499999999999</v>
      </c>
      <c r="DC85">
        <v>2.1938</v>
      </c>
    </row>
    <row r="86" spans="1:107" x14ac:dyDescent="0.25">
      <c r="A86">
        <f t="shared" si="1"/>
        <v>2</v>
      </c>
      <c r="B86" s="2">
        <v>42128</v>
      </c>
      <c r="E86">
        <v>0.64131000000000005</v>
      </c>
      <c r="F86">
        <v>0.70089999999999997</v>
      </c>
      <c r="G86">
        <v>0.72955999999999999</v>
      </c>
      <c r="H86">
        <v>0.75234000000000001</v>
      </c>
      <c r="I86">
        <v>0.68355999999999995</v>
      </c>
      <c r="J86">
        <v>0.72170999999999996</v>
      </c>
      <c r="K86">
        <v>0.77266999999999997</v>
      </c>
      <c r="L86">
        <v>0.76666999999999996</v>
      </c>
      <c r="M86">
        <v>0.79503999999999997</v>
      </c>
      <c r="N86">
        <v>0.73814000000000002</v>
      </c>
      <c r="O86">
        <v>0.85033000000000003</v>
      </c>
      <c r="P86">
        <v>0.81610000000000005</v>
      </c>
      <c r="Q86">
        <v>0.77615999999999996</v>
      </c>
      <c r="R86">
        <v>0.79979999999999996</v>
      </c>
      <c r="S86">
        <v>0.89798999999999995</v>
      </c>
      <c r="T86">
        <v>0.90237999999999996</v>
      </c>
      <c r="U86">
        <v>0.80771000000000004</v>
      </c>
      <c r="V86">
        <v>0.84470000000000001</v>
      </c>
      <c r="W86">
        <v>0.91298000000000001</v>
      </c>
      <c r="X86">
        <v>0.96035999999999999</v>
      </c>
      <c r="Y86">
        <v>1.09327</v>
      </c>
      <c r="Z86">
        <v>1.03586</v>
      </c>
      <c r="AA86">
        <v>1.0952999999999999</v>
      </c>
      <c r="AB86">
        <v>1.1033599999999999</v>
      </c>
      <c r="AC86">
        <v>1.2072700000000001</v>
      </c>
      <c r="AD86">
        <v>1.1859200000000001</v>
      </c>
      <c r="AE86">
        <v>1.1167100000000001</v>
      </c>
      <c r="AF86">
        <v>1.25654</v>
      </c>
      <c r="AG86">
        <v>1.2873000000000001</v>
      </c>
      <c r="AH86">
        <v>1.35955</v>
      </c>
      <c r="AI86">
        <v>1.3521099999999999</v>
      </c>
      <c r="AJ86">
        <v>1.35931</v>
      </c>
      <c r="AK86">
        <v>1.2434000000000001</v>
      </c>
      <c r="AL86">
        <v>1.43371</v>
      </c>
      <c r="AM86">
        <v>1.58413</v>
      </c>
      <c r="AN86">
        <v>1.3996999999999999</v>
      </c>
      <c r="AO86">
        <v>1.6320300000000001</v>
      </c>
      <c r="AP86">
        <v>1.72194</v>
      </c>
      <c r="AQ86">
        <v>1.5434600000000001</v>
      </c>
      <c r="AR86">
        <v>1.7676799999999999</v>
      </c>
      <c r="AS86">
        <v>1.7962</v>
      </c>
      <c r="AT86">
        <v>1.8385100000000001</v>
      </c>
      <c r="AU86">
        <v>1.7889299999999999</v>
      </c>
      <c r="AV86">
        <v>1.7369600000000001</v>
      </c>
      <c r="AW86">
        <v>2.1985800000000002</v>
      </c>
      <c r="AX86">
        <v>2.20092</v>
      </c>
      <c r="AY86">
        <v>2.2381799999999998</v>
      </c>
      <c r="AZ86">
        <v>2.2537699999999998</v>
      </c>
      <c r="BA86">
        <v>2.2825700000000002</v>
      </c>
      <c r="BB86">
        <v>2.3221500000000002</v>
      </c>
      <c r="BC86">
        <v>2.3397800000000002</v>
      </c>
      <c r="BD86">
        <v>2.3778199999999998</v>
      </c>
      <c r="BE86">
        <v>2.2856999999999998</v>
      </c>
      <c r="BF86">
        <v>2.4539800000000001</v>
      </c>
      <c r="BG86">
        <v>2.44401</v>
      </c>
      <c r="BH86">
        <v>2.4384199999999998</v>
      </c>
      <c r="BI86">
        <v>2.4260299999999999</v>
      </c>
      <c r="BJ86">
        <v>2.4179300000000001</v>
      </c>
      <c r="BK86">
        <v>2.4207399999999999</v>
      </c>
      <c r="BL86">
        <v>2.4140799999999998</v>
      </c>
      <c r="BM86">
        <v>2.4074300000000002</v>
      </c>
      <c r="BN86">
        <v>2.4021599999999999</v>
      </c>
      <c r="BO86">
        <v>2.3431199999999999</v>
      </c>
      <c r="BP86">
        <v>2.3911799999999999</v>
      </c>
      <c r="BQ86">
        <v>2.3911899999999999</v>
      </c>
      <c r="BR86">
        <v>2.3912</v>
      </c>
      <c r="BS86">
        <v>2.3912100000000001</v>
      </c>
      <c r="BT86">
        <v>2.3912200000000001</v>
      </c>
      <c r="BW86">
        <v>2.3862299999999999</v>
      </c>
      <c r="BX86">
        <v>2.38686</v>
      </c>
      <c r="BY86">
        <v>2.3812500000000001</v>
      </c>
      <c r="BZ86">
        <v>2.37486</v>
      </c>
      <c r="CA86">
        <v>2.37487</v>
      </c>
      <c r="CB86">
        <v>2.3748800000000001</v>
      </c>
      <c r="CC86">
        <v>2.3741099999999999</v>
      </c>
      <c r="CD86">
        <v>2.37412</v>
      </c>
      <c r="CE86">
        <v>2.3701300000000001</v>
      </c>
      <c r="CF86">
        <v>2.3701400000000001</v>
      </c>
      <c r="CG86">
        <v>2.37026</v>
      </c>
      <c r="CH86">
        <v>2.3682500000000002</v>
      </c>
      <c r="CI86">
        <v>2.3602799999999999</v>
      </c>
      <c r="CJ86">
        <v>2.3616000000000001</v>
      </c>
      <c r="CK86">
        <v>2.3621500000000002</v>
      </c>
      <c r="CL86">
        <v>2.3621599999999998</v>
      </c>
      <c r="CM86">
        <v>2.3621699999999999</v>
      </c>
      <c r="CN86">
        <v>2.3621699999999999</v>
      </c>
      <c r="CO86">
        <v>2.3621799999999999</v>
      </c>
      <c r="CP86">
        <v>2.3538700000000001</v>
      </c>
      <c r="CQ86">
        <v>2.3513700000000002</v>
      </c>
      <c r="CS86">
        <v>2.34388</v>
      </c>
      <c r="CT86">
        <v>2.34998</v>
      </c>
      <c r="CU86">
        <v>2.34998</v>
      </c>
      <c r="CV86">
        <v>2.34998</v>
      </c>
      <c r="CW86">
        <v>2.3617300000000001</v>
      </c>
      <c r="CX86">
        <v>2.3617400000000002</v>
      </c>
      <c r="CY86">
        <v>2.3477800000000002</v>
      </c>
      <c r="CZ86">
        <v>2.33392</v>
      </c>
      <c r="DA86">
        <v>2.34091</v>
      </c>
      <c r="DB86">
        <v>2.3409200000000001</v>
      </c>
      <c r="DC86">
        <v>2.2473900000000002</v>
      </c>
    </row>
    <row r="87" spans="1:107" x14ac:dyDescent="0.25">
      <c r="A87">
        <f t="shared" si="1"/>
        <v>3</v>
      </c>
      <c r="B87" s="2">
        <v>42129</v>
      </c>
      <c r="E87">
        <v>0.63283</v>
      </c>
      <c r="F87">
        <v>0.70562000000000002</v>
      </c>
      <c r="G87">
        <v>0.73436000000000001</v>
      </c>
      <c r="H87">
        <v>0.75943000000000005</v>
      </c>
      <c r="I87">
        <v>0.7792</v>
      </c>
      <c r="J87">
        <v>0.72167999999999999</v>
      </c>
      <c r="K87">
        <v>0.77122000000000002</v>
      </c>
      <c r="L87">
        <v>0.75443000000000005</v>
      </c>
      <c r="M87">
        <v>0.77515000000000001</v>
      </c>
      <c r="N87">
        <v>0.71958999999999995</v>
      </c>
      <c r="O87">
        <v>0.84097999999999995</v>
      </c>
      <c r="P87">
        <v>0.80562</v>
      </c>
      <c r="Q87">
        <v>0.76136000000000004</v>
      </c>
      <c r="R87">
        <v>0.77934999999999999</v>
      </c>
      <c r="S87">
        <v>0.87822999999999996</v>
      </c>
      <c r="T87">
        <v>0.89470000000000005</v>
      </c>
      <c r="U87">
        <v>0.79439000000000004</v>
      </c>
      <c r="V87">
        <v>0.82938000000000001</v>
      </c>
      <c r="W87">
        <v>0.89437999999999995</v>
      </c>
      <c r="X87">
        <v>0.94389999999999996</v>
      </c>
      <c r="Y87">
        <v>1.0785800000000001</v>
      </c>
      <c r="Z87">
        <v>1.0276700000000001</v>
      </c>
      <c r="AA87">
        <v>1.08406</v>
      </c>
      <c r="AB87">
        <v>1.0905400000000001</v>
      </c>
      <c r="AC87">
        <v>1.20085</v>
      </c>
      <c r="AD87">
        <v>1.1665300000000001</v>
      </c>
      <c r="AE87">
        <v>1.1070800000000001</v>
      </c>
      <c r="AF87">
        <v>1.2526600000000001</v>
      </c>
      <c r="AG87">
        <v>1.28596</v>
      </c>
      <c r="AH87">
        <v>1.35867</v>
      </c>
      <c r="AI87">
        <v>1.3550500000000001</v>
      </c>
      <c r="AJ87">
        <v>1.3626499999999999</v>
      </c>
      <c r="AK87">
        <v>1.2337400000000001</v>
      </c>
      <c r="AL87">
        <v>1.4363600000000001</v>
      </c>
      <c r="AM87">
        <v>1.58796</v>
      </c>
      <c r="AN87">
        <v>1.40357</v>
      </c>
      <c r="AO87">
        <v>1.6499200000000001</v>
      </c>
      <c r="AP87">
        <v>1.73045</v>
      </c>
      <c r="AQ87">
        <v>1.5640499999999999</v>
      </c>
      <c r="AR87">
        <v>1.77871</v>
      </c>
      <c r="AS87">
        <v>1.8075000000000001</v>
      </c>
      <c r="AT87">
        <v>1.8463499999999999</v>
      </c>
      <c r="AU87">
        <v>1.80311</v>
      </c>
      <c r="AV87">
        <v>1.7486200000000001</v>
      </c>
      <c r="AW87">
        <v>2.22044</v>
      </c>
      <c r="AX87">
        <v>2.2284000000000002</v>
      </c>
      <c r="AY87">
        <v>2.2624399999999998</v>
      </c>
      <c r="AZ87">
        <v>2.2740100000000001</v>
      </c>
      <c r="BA87">
        <v>2.28762</v>
      </c>
      <c r="BB87">
        <v>2.3424800000000001</v>
      </c>
      <c r="BC87">
        <v>2.3576299999999999</v>
      </c>
      <c r="BD87">
        <v>2.4025500000000002</v>
      </c>
      <c r="BE87">
        <v>2.3100999999999998</v>
      </c>
      <c r="BF87">
        <v>2.4760399999999998</v>
      </c>
      <c r="BG87">
        <v>2.4660700000000002</v>
      </c>
      <c r="BH87">
        <v>2.4624199999999998</v>
      </c>
      <c r="BI87">
        <v>2.4481000000000002</v>
      </c>
      <c r="BJ87">
        <v>2.4401899999999999</v>
      </c>
      <c r="BK87">
        <v>2.4434499999999999</v>
      </c>
      <c r="BL87">
        <v>2.4367899999999998</v>
      </c>
      <c r="BM87">
        <v>2.4301499999999998</v>
      </c>
      <c r="BN87">
        <v>2.4244599999999998</v>
      </c>
      <c r="BO87">
        <v>2.3717800000000002</v>
      </c>
      <c r="BP87">
        <v>2.4134699999999998</v>
      </c>
      <c r="BQ87">
        <v>2.4134799999999998</v>
      </c>
      <c r="BR87">
        <v>2.4134899999999999</v>
      </c>
      <c r="BS87">
        <v>2.4135</v>
      </c>
      <c r="BT87">
        <v>2.41351</v>
      </c>
      <c r="BW87">
        <v>2.4085299999999998</v>
      </c>
      <c r="BX87">
        <v>2.4095800000000001</v>
      </c>
      <c r="BY87">
        <v>2.4035500000000001</v>
      </c>
      <c r="BZ87">
        <v>2.3969299999999998</v>
      </c>
      <c r="CA87">
        <v>2.3969399999999998</v>
      </c>
      <c r="CB87">
        <v>2.3969399999999998</v>
      </c>
      <c r="CC87">
        <v>2.3963700000000001</v>
      </c>
      <c r="CD87">
        <v>2.3963700000000001</v>
      </c>
      <c r="CE87">
        <v>2.3927200000000002</v>
      </c>
      <c r="CF87">
        <v>2.3927200000000002</v>
      </c>
      <c r="CG87">
        <v>2.3929800000000001</v>
      </c>
      <c r="CH87">
        <v>2.39032</v>
      </c>
      <c r="CI87">
        <v>2.383</v>
      </c>
      <c r="CJ87">
        <v>2.38367</v>
      </c>
      <c r="CK87">
        <v>2.3837600000000001</v>
      </c>
      <c r="CL87">
        <v>2.3837600000000001</v>
      </c>
      <c r="CM87">
        <v>2.3837700000000002</v>
      </c>
      <c r="CN87">
        <v>2.3837700000000002</v>
      </c>
      <c r="CO87">
        <v>2.3837799999999998</v>
      </c>
      <c r="CP87">
        <v>2.3761700000000001</v>
      </c>
      <c r="CQ87">
        <v>2.3736700000000002</v>
      </c>
      <c r="CS87">
        <v>2.3661799999999999</v>
      </c>
      <c r="CT87">
        <v>2.36619</v>
      </c>
      <c r="CU87">
        <v>2.36619</v>
      </c>
      <c r="CV87">
        <v>2.3662000000000001</v>
      </c>
      <c r="CW87">
        <v>2.3848199999999999</v>
      </c>
      <c r="CX87">
        <v>2.3848199999999999</v>
      </c>
      <c r="CY87">
        <v>2.38483</v>
      </c>
      <c r="CZ87">
        <v>2.35622</v>
      </c>
      <c r="DA87">
        <v>2.36469</v>
      </c>
      <c r="DB87">
        <v>2.36469</v>
      </c>
      <c r="DC87">
        <v>2.2721100000000001</v>
      </c>
    </row>
    <row r="88" spans="1:107" x14ac:dyDescent="0.25">
      <c r="A88">
        <f t="shared" si="1"/>
        <v>4</v>
      </c>
      <c r="B88" s="2">
        <v>42130</v>
      </c>
      <c r="E88">
        <v>0.60650999999999999</v>
      </c>
      <c r="F88">
        <v>0.69311</v>
      </c>
      <c r="G88">
        <v>0.71784999999999999</v>
      </c>
      <c r="H88">
        <v>0.73695999999999995</v>
      </c>
      <c r="I88">
        <v>0.72094999999999998</v>
      </c>
      <c r="J88">
        <v>0.71677000000000002</v>
      </c>
      <c r="K88">
        <v>0.77142999999999995</v>
      </c>
      <c r="L88">
        <v>0.75251000000000001</v>
      </c>
      <c r="M88">
        <v>0.77983000000000002</v>
      </c>
      <c r="N88">
        <v>0.72480999999999995</v>
      </c>
      <c r="O88">
        <v>0.84380999999999995</v>
      </c>
      <c r="P88">
        <v>0.80723</v>
      </c>
      <c r="Q88">
        <v>0.75409999999999999</v>
      </c>
      <c r="R88">
        <v>0.78915000000000002</v>
      </c>
      <c r="S88">
        <v>0.88436999999999999</v>
      </c>
      <c r="T88">
        <v>0.90824000000000005</v>
      </c>
      <c r="U88">
        <v>0.81177999999999995</v>
      </c>
      <c r="V88">
        <v>0.84889999999999999</v>
      </c>
      <c r="W88">
        <v>0.91351000000000004</v>
      </c>
      <c r="X88">
        <v>0.95799999999999996</v>
      </c>
      <c r="Y88">
        <v>1.1187199999999999</v>
      </c>
      <c r="Z88">
        <v>1.0765199999999999</v>
      </c>
      <c r="AA88">
        <v>1.1293599999999999</v>
      </c>
      <c r="AB88">
        <v>1.12917</v>
      </c>
      <c r="AC88">
        <v>1.26024</v>
      </c>
      <c r="AD88">
        <v>1.2754099999999999</v>
      </c>
      <c r="AE88">
        <v>1.1722600000000001</v>
      </c>
      <c r="AF88">
        <v>1.3127599999999999</v>
      </c>
      <c r="AG88">
        <v>1.3561099999999999</v>
      </c>
      <c r="AH88">
        <v>1.4201900000000001</v>
      </c>
      <c r="AI88">
        <v>1.4168499999999999</v>
      </c>
      <c r="AJ88">
        <v>1.43045</v>
      </c>
      <c r="AK88">
        <v>1.29569</v>
      </c>
      <c r="AL88">
        <v>1.5006999999999999</v>
      </c>
      <c r="AM88">
        <v>1.67682</v>
      </c>
      <c r="AN88">
        <v>1.48997</v>
      </c>
      <c r="AO88">
        <v>1.7232700000000001</v>
      </c>
      <c r="AP88">
        <v>1.8117099999999999</v>
      </c>
      <c r="AQ88">
        <v>1.6407700000000001</v>
      </c>
      <c r="AR88">
        <v>1.8591500000000001</v>
      </c>
      <c r="AS88">
        <v>1.89575</v>
      </c>
      <c r="AT88">
        <v>1.93448</v>
      </c>
      <c r="AU88">
        <v>1.89299</v>
      </c>
      <c r="AV88">
        <v>1.839</v>
      </c>
      <c r="AW88">
        <v>2.30925</v>
      </c>
      <c r="AX88">
        <v>2.3184100000000001</v>
      </c>
      <c r="AY88">
        <v>2.3485</v>
      </c>
      <c r="AZ88">
        <v>2.3649300000000002</v>
      </c>
      <c r="BA88">
        <v>2.3899699999999999</v>
      </c>
      <c r="BB88">
        <v>2.4253</v>
      </c>
      <c r="BC88">
        <v>2.4388200000000002</v>
      </c>
      <c r="BD88">
        <v>2.4704799999999998</v>
      </c>
      <c r="BE88">
        <v>2.3863400000000001</v>
      </c>
      <c r="BF88">
        <v>2.5636199999999998</v>
      </c>
      <c r="BG88">
        <v>2.5469599999999999</v>
      </c>
      <c r="BH88">
        <v>2.53762</v>
      </c>
      <c r="BI88">
        <v>2.53165</v>
      </c>
      <c r="BJ88">
        <v>2.5173299999999998</v>
      </c>
      <c r="BK88">
        <v>2.5233699999999999</v>
      </c>
      <c r="BL88">
        <v>2.5033699999999999</v>
      </c>
      <c r="BM88">
        <v>2.50373</v>
      </c>
      <c r="BN88">
        <v>2.5101100000000001</v>
      </c>
      <c r="BO88">
        <v>2.4515600000000002</v>
      </c>
      <c r="BP88">
        <v>2.4948199999999998</v>
      </c>
      <c r="BQ88">
        <v>2.4948399999999999</v>
      </c>
      <c r="BR88">
        <v>2.4948600000000001</v>
      </c>
      <c r="BS88">
        <v>2.4948700000000001</v>
      </c>
      <c r="BT88">
        <v>2.4899</v>
      </c>
      <c r="BW88">
        <v>2.4849199999999998</v>
      </c>
      <c r="BX88">
        <v>2.4862600000000001</v>
      </c>
      <c r="BY88">
        <v>2.4799600000000002</v>
      </c>
      <c r="BZ88">
        <v>2.4769899999999998</v>
      </c>
      <c r="CA88">
        <v>2.4769999999999999</v>
      </c>
      <c r="CB88">
        <v>2.47702</v>
      </c>
      <c r="CC88">
        <v>2.4759799999999998</v>
      </c>
      <c r="CD88">
        <v>2.4759899999999999</v>
      </c>
      <c r="CE88">
        <v>2.4710100000000002</v>
      </c>
      <c r="CF88">
        <v>2.4710200000000002</v>
      </c>
      <c r="CG88">
        <v>2.47106</v>
      </c>
      <c r="CH88">
        <v>2.4655499999999999</v>
      </c>
      <c r="CI88">
        <v>2.45974</v>
      </c>
      <c r="CJ88">
        <v>2.4597500000000001</v>
      </c>
      <c r="CK88">
        <v>2.4621300000000002</v>
      </c>
      <c r="CL88">
        <v>2.4621400000000002</v>
      </c>
      <c r="CM88">
        <v>2.4621499999999998</v>
      </c>
      <c r="CN88">
        <v>2.4621599999999999</v>
      </c>
      <c r="CO88">
        <v>2.4576500000000001</v>
      </c>
      <c r="CP88">
        <v>2.4576600000000002</v>
      </c>
      <c r="CQ88">
        <v>2.4521899999999999</v>
      </c>
      <c r="CS88">
        <v>2.4447100000000002</v>
      </c>
      <c r="CT88">
        <v>2.4447100000000002</v>
      </c>
      <c r="CU88">
        <v>2.4447199999999998</v>
      </c>
      <c r="CV88">
        <v>2.4447299999999998</v>
      </c>
      <c r="CW88">
        <v>2.4616600000000002</v>
      </c>
      <c r="CX88">
        <v>2.4616699999999998</v>
      </c>
      <c r="CY88">
        <v>2.4347599999999998</v>
      </c>
      <c r="CZ88">
        <v>2.4347599999999998</v>
      </c>
      <c r="DA88">
        <v>2.4427300000000001</v>
      </c>
      <c r="DB88">
        <v>2.4427300000000001</v>
      </c>
      <c r="DC88">
        <v>2.3506100000000001</v>
      </c>
    </row>
    <row r="89" spans="1:107" x14ac:dyDescent="0.25">
      <c r="A89">
        <f t="shared" si="1"/>
        <v>5</v>
      </c>
      <c r="B89" s="2">
        <v>42131</v>
      </c>
      <c r="E89">
        <v>0.57586999999999999</v>
      </c>
      <c r="F89">
        <v>0.69284999999999997</v>
      </c>
      <c r="G89">
        <v>0.71550999999999998</v>
      </c>
      <c r="H89">
        <v>0.74717999999999996</v>
      </c>
      <c r="I89">
        <v>0.67940999999999996</v>
      </c>
      <c r="J89">
        <v>0.71672999999999998</v>
      </c>
      <c r="K89">
        <v>0.78366000000000002</v>
      </c>
      <c r="L89">
        <v>0.76426000000000005</v>
      </c>
      <c r="M89">
        <v>0.77981</v>
      </c>
      <c r="N89">
        <v>0.71789999999999998</v>
      </c>
      <c r="O89">
        <v>0.85414999999999996</v>
      </c>
      <c r="P89">
        <v>0.81593000000000004</v>
      </c>
      <c r="Q89">
        <v>0.76424999999999998</v>
      </c>
      <c r="R89">
        <v>0.78710999999999998</v>
      </c>
      <c r="S89">
        <v>0.87339999999999995</v>
      </c>
      <c r="T89">
        <v>0.89524000000000004</v>
      </c>
      <c r="U89">
        <v>0.79691999999999996</v>
      </c>
      <c r="V89">
        <v>0.83528000000000002</v>
      </c>
      <c r="W89">
        <v>0.90110000000000001</v>
      </c>
      <c r="X89">
        <v>0.94681000000000004</v>
      </c>
      <c r="Y89">
        <v>1.06203</v>
      </c>
      <c r="Z89">
        <v>1.00603</v>
      </c>
      <c r="AA89">
        <v>1.06071</v>
      </c>
      <c r="AB89">
        <v>1.05786</v>
      </c>
      <c r="AC89">
        <v>1.19011</v>
      </c>
      <c r="AD89">
        <v>1.20618</v>
      </c>
      <c r="AE89">
        <v>1.1000099999999999</v>
      </c>
      <c r="AF89">
        <v>1.2451099999999999</v>
      </c>
      <c r="AG89">
        <v>1.28223</v>
      </c>
      <c r="AH89">
        <v>1.3600300000000001</v>
      </c>
      <c r="AI89">
        <v>1.35494</v>
      </c>
      <c r="AJ89">
        <v>1.3603700000000001</v>
      </c>
      <c r="AK89">
        <v>1.2351799999999999</v>
      </c>
      <c r="AL89">
        <v>1.4491400000000001</v>
      </c>
      <c r="AM89">
        <v>1.60049</v>
      </c>
      <c r="AN89">
        <v>1.4053599999999999</v>
      </c>
      <c r="AO89">
        <v>1.64785</v>
      </c>
      <c r="AP89">
        <v>1.73421</v>
      </c>
      <c r="AQ89">
        <v>1.5593699999999999</v>
      </c>
      <c r="AR89">
        <v>1.78165</v>
      </c>
      <c r="AS89">
        <v>1.8156300000000001</v>
      </c>
      <c r="AT89">
        <v>1.8677600000000001</v>
      </c>
      <c r="AU89">
        <v>1.81758</v>
      </c>
      <c r="AV89">
        <v>1.7625200000000001</v>
      </c>
      <c r="AW89">
        <v>2.2321399999999998</v>
      </c>
      <c r="AX89">
        <v>2.24078</v>
      </c>
      <c r="AY89">
        <v>2.27529</v>
      </c>
      <c r="AZ89">
        <v>2.2880799999999999</v>
      </c>
      <c r="BA89">
        <v>2.3058299999999998</v>
      </c>
      <c r="BB89">
        <v>2.3504200000000002</v>
      </c>
      <c r="BC89">
        <v>2.3694299999999999</v>
      </c>
      <c r="BD89">
        <v>2.4015300000000002</v>
      </c>
      <c r="BE89">
        <v>2.3107799999999998</v>
      </c>
      <c r="BF89">
        <v>2.4956299999999998</v>
      </c>
      <c r="BG89">
        <v>2.47898</v>
      </c>
      <c r="BH89">
        <v>2.4693100000000001</v>
      </c>
      <c r="BI89">
        <v>2.4676999999999998</v>
      </c>
      <c r="BJ89">
        <v>2.4503599999999999</v>
      </c>
      <c r="BK89">
        <v>2.45641</v>
      </c>
      <c r="BL89">
        <v>2.44224</v>
      </c>
      <c r="BM89">
        <v>2.4372699999999998</v>
      </c>
      <c r="BN89">
        <v>2.4431500000000002</v>
      </c>
      <c r="BO89">
        <v>2.3818299999999999</v>
      </c>
      <c r="BP89">
        <v>2.4278599999999999</v>
      </c>
      <c r="BQ89">
        <v>2.42787</v>
      </c>
      <c r="BR89">
        <v>2.4278900000000001</v>
      </c>
      <c r="BS89">
        <v>2.4279099999999998</v>
      </c>
      <c r="BT89">
        <v>2.42293</v>
      </c>
      <c r="BW89">
        <v>2.4179599999999999</v>
      </c>
      <c r="BX89">
        <v>2.4192900000000002</v>
      </c>
      <c r="BY89">
        <v>2.4129900000000002</v>
      </c>
      <c r="BZ89">
        <v>2.4069799999999999</v>
      </c>
      <c r="CA89">
        <v>2.40699</v>
      </c>
      <c r="CB89">
        <v>2.407</v>
      </c>
      <c r="CC89">
        <v>2.4100199999999998</v>
      </c>
      <c r="CD89">
        <v>2.4100299999999999</v>
      </c>
      <c r="CE89">
        <v>2.4035099999999998</v>
      </c>
      <c r="CF89">
        <v>2.4035199999999999</v>
      </c>
      <c r="CG89">
        <v>2.40341</v>
      </c>
      <c r="CH89">
        <v>2.39832</v>
      </c>
      <c r="CI89">
        <v>2.3927700000000001</v>
      </c>
      <c r="CJ89">
        <v>2.3931300000000002</v>
      </c>
      <c r="CK89">
        <v>2.3931399999999998</v>
      </c>
      <c r="CL89">
        <v>2.3931499999999999</v>
      </c>
      <c r="CM89">
        <v>2.39316</v>
      </c>
      <c r="CN89">
        <v>2.39316</v>
      </c>
      <c r="CO89">
        <v>2.39411</v>
      </c>
      <c r="CP89">
        <v>2.3866700000000001</v>
      </c>
      <c r="CQ89">
        <v>2.3841800000000002</v>
      </c>
      <c r="CS89">
        <v>2.3767</v>
      </c>
      <c r="CT89">
        <v>2.3767100000000001</v>
      </c>
      <c r="CU89">
        <v>2.3767200000000002</v>
      </c>
      <c r="CV89">
        <v>2.3767299999999998</v>
      </c>
      <c r="CW89">
        <v>2.39419</v>
      </c>
      <c r="CX89">
        <v>2.3942000000000001</v>
      </c>
      <c r="CY89">
        <v>2.38043</v>
      </c>
      <c r="CZ89">
        <v>2.3729</v>
      </c>
      <c r="DA89">
        <v>2.37425</v>
      </c>
      <c r="DB89">
        <v>2.37426</v>
      </c>
      <c r="DC89">
        <v>2.2822800000000001</v>
      </c>
    </row>
    <row r="90" spans="1:107" x14ac:dyDescent="0.25">
      <c r="A90">
        <f t="shared" si="1"/>
        <v>6</v>
      </c>
      <c r="B90" s="2">
        <v>42132</v>
      </c>
      <c r="E90">
        <v>0.55928999999999995</v>
      </c>
      <c r="F90">
        <v>0.68301000000000001</v>
      </c>
      <c r="G90">
        <v>0.71140000000000003</v>
      </c>
      <c r="H90">
        <v>0.74605999999999995</v>
      </c>
      <c r="I90">
        <v>0.75553999999999999</v>
      </c>
      <c r="J90">
        <v>0.71177000000000001</v>
      </c>
      <c r="K90">
        <v>0.77142999999999995</v>
      </c>
      <c r="L90">
        <v>0.75024000000000002</v>
      </c>
      <c r="M90">
        <v>0.76693</v>
      </c>
      <c r="N90">
        <v>0.69728000000000001</v>
      </c>
      <c r="O90">
        <v>0.83965000000000001</v>
      </c>
      <c r="P90">
        <v>0.80239000000000005</v>
      </c>
      <c r="Q90">
        <v>0.72567000000000004</v>
      </c>
      <c r="R90">
        <v>0.76402999999999999</v>
      </c>
      <c r="S90">
        <v>0.86277000000000004</v>
      </c>
      <c r="T90">
        <v>0.85933000000000004</v>
      </c>
      <c r="U90">
        <v>0.77446000000000004</v>
      </c>
      <c r="V90">
        <v>0.81098999999999999</v>
      </c>
      <c r="W90">
        <v>0.87682000000000004</v>
      </c>
      <c r="X90">
        <v>0.92164000000000001</v>
      </c>
      <c r="Y90">
        <v>1.03444</v>
      </c>
      <c r="Z90">
        <v>0.97928999999999999</v>
      </c>
      <c r="AA90">
        <v>1.0324800000000001</v>
      </c>
      <c r="AB90">
        <v>1.0320400000000001</v>
      </c>
      <c r="AC90">
        <v>1.1559200000000001</v>
      </c>
      <c r="AD90">
        <v>1.1384399999999999</v>
      </c>
      <c r="AE90">
        <v>1.0633600000000001</v>
      </c>
      <c r="AF90">
        <v>1.2092400000000001</v>
      </c>
      <c r="AG90">
        <v>1.25847</v>
      </c>
      <c r="AH90">
        <v>1.3242400000000001</v>
      </c>
      <c r="AI90">
        <v>1.32064</v>
      </c>
      <c r="AJ90">
        <v>1.3352599999999999</v>
      </c>
      <c r="AK90">
        <v>1.2119500000000001</v>
      </c>
      <c r="AL90">
        <v>1.4139900000000001</v>
      </c>
      <c r="AM90">
        <v>1.5472999999999999</v>
      </c>
      <c r="AN90">
        <v>1.3685499999999999</v>
      </c>
      <c r="AO90">
        <v>1.60568</v>
      </c>
      <c r="AP90">
        <v>1.68523</v>
      </c>
      <c r="AQ90">
        <v>1.5147699999999999</v>
      </c>
      <c r="AR90">
        <v>1.7326600000000001</v>
      </c>
      <c r="AS90">
        <v>1.7711600000000001</v>
      </c>
      <c r="AT90">
        <v>1.81759</v>
      </c>
      <c r="AU90">
        <v>1.77128</v>
      </c>
      <c r="AV90">
        <v>1.71461</v>
      </c>
      <c r="AW90">
        <v>2.19109</v>
      </c>
      <c r="AX90">
        <v>2.20051</v>
      </c>
      <c r="AY90">
        <v>2.2302399999999998</v>
      </c>
      <c r="AZ90">
        <v>2.2463299999999999</v>
      </c>
      <c r="BA90">
        <v>2.27033</v>
      </c>
      <c r="BB90">
        <v>2.3087499999999999</v>
      </c>
      <c r="BC90">
        <v>2.32829</v>
      </c>
      <c r="BD90">
        <v>2.3673899999999999</v>
      </c>
      <c r="BE90">
        <v>2.2754400000000001</v>
      </c>
      <c r="BF90">
        <v>2.4618600000000002</v>
      </c>
      <c r="BG90">
        <v>2.44658</v>
      </c>
      <c r="BH90">
        <v>2.4405100000000002</v>
      </c>
      <c r="BI90">
        <v>2.4322300000000001</v>
      </c>
      <c r="BJ90">
        <v>2.4187400000000001</v>
      </c>
      <c r="BK90">
        <v>2.4324699999999999</v>
      </c>
      <c r="BL90">
        <v>2.4125999999999999</v>
      </c>
      <c r="BM90">
        <v>2.4127100000000001</v>
      </c>
      <c r="BN90">
        <v>2.4175300000000002</v>
      </c>
      <c r="BO90">
        <v>2.3511099999999998</v>
      </c>
      <c r="BP90">
        <v>2.3970400000000001</v>
      </c>
      <c r="BQ90">
        <v>2.3970600000000002</v>
      </c>
      <c r="BR90">
        <v>2.3970699999999998</v>
      </c>
      <c r="BS90">
        <v>2.3970899999999999</v>
      </c>
      <c r="BT90">
        <v>2.3921100000000002</v>
      </c>
      <c r="BW90">
        <v>2.38714</v>
      </c>
      <c r="BX90">
        <v>2.3888699999999998</v>
      </c>
      <c r="BY90">
        <v>2.3821699999999999</v>
      </c>
      <c r="BZ90">
        <v>2.3745799999999999</v>
      </c>
      <c r="CA90">
        <v>2.37459</v>
      </c>
      <c r="CB90">
        <v>2.3746</v>
      </c>
      <c r="CC90">
        <v>2.37893</v>
      </c>
      <c r="CD90">
        <v>2.3789500000000001</v>
      </c>
      <c r="CE90">
        <v>2.3709099999999999</v>
      </c>
      <c r="CF90">
        <v>2.3709199999999999</v>
      </c>
      <c r="CG90">
        <v>2.3710100000000001</v>
      </c>
      <c r="CH90">
        <v>2.3650899999999999</v>
      </c>
      <c r="CI90">
        <v>2.3623400000000001</v>
      </c>
      <c r="CJ90">
        <v>2.3618199999999998</v>
      </c>
      <c r="CK90">
        <v>2.3603499999999999</v>
      </c>
      <c r="CL90">
        <v>2.36036</v>
      </c>
      <c r="CM90">
        <v>2.3603700000000001</v>
      </c>
      <c r="CN90">
        <v>2.3603800000000001</v>
      </c>
      <c r="CO90">
        <v>2.3578899999999998</v>
      </c>
      <c r="CP90">
        <v>2.3529</v>
      </c>
      <c r="CQ90">
        <v>2.3504100000000001</v>
      </c>
      <c r="CS90">
        <v>2.35487</v>
      </c>
      <c r="CT90">
        <v>2.3548800000000001</v>
      </c>
      <c r="CU90">
        <v>2.3548900000000001</v>
      </c>
      <c r="CV90">
        <v>2.3548900000000001</v>
      </c>
      <c r="CW90">
        <v>2.3645399999999999</v>
      </c>
      <c r="CX90">
        <v>2.3645499999999999</v>
      </c>
      <c r="CY90">
        <v>2.3498899999999998</v>
      </c>
      <c r="CZ90">
        <v>2.3459400000000001</v>
      </c>
      <c r="DA90">
        <v>2.3434300000000001</v>
      </c>
      <c r="DB90">
        <v>2.3434400000000002</v>
      </c>
      <c r="DC90">
        <v>2.2532199999999998</v>
      </c>
    </row>
    <row r="91" spans="1:107" x14ac:dyDescent="0.25">
      <c r="A91">
        <f t="shared" si="1"/>
        <v>2</v>
      </c>
      <c r="B91" s="2">
        <v>42135</v>
      </c>
      <c r="E91">
        <v>0.59801000000000004</v>
      </c>
      <c r="F91">
        <v>0.69491000000000003</v>
      </c>
      <c r="G91">
        <v>0.74694000000000005</v>
      </c>
      <c r="H91">
        <v>0.75588</v>
      </c>
      <c r="I91">
        <v>0.70133999999999996</v>
      </c>
      <c r="J91">
        <v>0.71658999999999995</v>
      </c>
      <c r="K91">
        <v>0.79166000000000003</v>
      </c>
      <c r="L91">
        <v>0.78441000000000005</v>
      </c>
      <c r="M91">
        <v>0.79398000000000002</v>
      </c>
      <c r="N91">
        <v>0.73214999999999997</v>
      </c>
      <c r="O91">
        <v>0.86963999999999997</v>
      </c>
      <c r="P91">
        <v>0.83396000000000003</v>
      </c>
      <c r="Q91">
        <v>0.77002000000000004</v>
      </c>
      <c r="R91">
        <v>0.80822000000000005</v>
      </c>
      <c r="S91">
        <v>0.90780000000000005</v>
      </c>
      <c r="T91">
        <v>0.91551000000000005</v>
      </c>
      <c r="U91">
        <v>0.82474000000000003</v>
      </c>
      <c r="V91">
        <v>0.86163999999999996</v>
      </c>
      <c r="W91">
        <v>0.92640999999999996</v>
      </c>
      <c r="X91">
        <v>0.97204000000000002</v>
      </c>
      <c r="Y91">
        <v>1.1122799999999999</v>
      </c>
      <c r="Z91">
        <v>1.06179</v>
      </c>
      <c r="AA91">
        <v>1.1134500000000001</v>
      </c>
      <c r="AB91">
        <v>1.1312899999999999</v>
      </c>
      <c r="AC91">
        <v>1.2432099999999999</v>
      </c>
      <c r="AD91">
        <v>1.2578800000000001</v>
      </c>
      <c r="AE91">
        <v>1.1425399999999999</v>
      </c>
      <c r="AF91">
        <v>1.2982100000000001</v>
      </c>
      <c r="AG91">
        <v>1.35025</v>
      </c>
      <c r="AH91">
        <v>1.41978</v>
      </c>
      <c r="AI91">
        <v>1.4176899999999999</v>
      </c>
      <c r="AJ91">
        <v>1.4328000000000001</v>
      </c>
      <c r="AK91">
        <v>1.2961199999999999</v>
      </c>
      <c r="AL91">
        <v>1.51048</v>
      </c>
      <c r="AM91">
        <v>1.66822</v>
      </c>
      <c r="AN91">
        <v>1.4975799999999999</v>
      </c>
      <c r="AO91">
        <v>1.7214700000000001</v>
      </c>
      <c r="AP91">
        <v>1.8035300000000001</v>
      </c>
      <c r="AQ91">
        <v>1.63632</v>
      </c>
      <c r="AR91">
        <v>1.85701</v>
      </c>
      <c r="AS91">
        <v>1.8955500000000001</v>
      </c>
      <c r="AT91">
        <v>1.9355899999999999</v>
      </c>
      <c r="AU91">
        <v>1.8899600000000001</v>
      </c>
      <c r="AV91">
        <v>1.8363499999999999</v>
      </c>
      <c r="AW91">
        <v>2.30715</v>
      </c>
      <c r="AX91">
        <v>2.3224399999999998</v>
      </c>
      <c r="AY91">
        <v>2.3552</v>
      </c>
      <c r="AZ91">
        <v>2.3685399999999999</v>
      </c>
      <c r="BA91">
        <v>2.3854600000000001</v>
      </c>
      <c r="BB91">
        <v>2.4282599999999999</v>
      </c>
      <c r="BC91">
        <v>2.4350900000000002</v>
      </c>
      <c r="BD91">
        <v>2.4776600000000002</v>
      </c>
      <c r="BE91">
        <v>2.3769900000000002</v>
      </c>
      <c r="BF91">
        <v>2.5657199999999998</v>
      </c>
      <c r="BG91">
        <v>2.5596000000000001</v>
      </c>
      <c r="BH91">
        <v>2.5505100000000001</v>
      </c>
      <c r="BI91">
        <v>2.5447600000000001</v>
      </c>
      <c r="BJ91">
        <v>2.53254</v>
      </c>
      <c r="BK91">
        <v>2.5386600000000001</v>
      </c>
      <c r="BL91">
        <v>2.52257</v>
      </c>
      <c r="BM91">
        <v>2.5175900000000002</v>
      </c>
      <c r="BN91">
        <v>2.5182099999999998</v>
      </c>
      <c r="BO91">
        <v>2.4576600000000002</v>
      </c>
      <c r="BP91">
        <v>2.5072199999999998</v>
      </c>
      <c r="BQ91">
        <v>2.5072299999999998</v>
      </c>
      <c r="BR91">
        <v>2.5072399999999999</v>
      </c>
      <c r="BS91">
        <v>2.50725</v>
      </c>
      <c r="BT91">
        <v>2.5022600000000002</v>
      </c>
      <c r="BW91">
        <v>2.4972799999999999</v>
      </c>
      <c r="BX91">
        <v>2.4975900000000002</v>
      </c>
      <c r="BY91">
        <v>2.4942600000000001</v>
      </c>
      <c r="BZ91">
        <v>2.4873099999999999</v>
      </c>
      <c r="CA91">
        <v>2.48732</v>
      </c>
      <c r="CB91">
        <v>2.48733</v>
      </c>
      <c r="CC91">
        <v>2.4876299999999998</v>
      </c>
      <c r="CD91">
        <v>2.4876399999999999</v>
      </c>
      <c r="CE91">
        <v>2.4775700000000001</v>
      </c>
      <c r="CF91">
        <v>2.4775800000000001</v>
      </c>
      <c r="CG91">
        <v>2.4773299999999998</v>
      </c>
      <c r="CH91">
        <v>2.4773299999999998</v>
      </c>
      <c r="CI91">
        <v>2.4725700000000002</v>
      </c>
      <c r="CJ91">
        <v>2.4676800000000001</v>
      </c>
      <c r="CK91">
        <v>2.46739</v>
      </c>
      <c r="CL91">
        <v>2.4674</v>
      </c>
      <c r="CM91">
        <v>2.4674</v>
      </c>
      <c r="CN91">
        <v>2.4674100000000001</v>
      </c>
      <c r="CO91">
        <v>2.4649100000000002</v>
      </c>
      <c r="CP91">
        <v>2.4599199999999999</v>
      </c>
      <c r="CQ91">
        <v>2.45743</v>
      </c>
      <c r="CS91">
        <v>2.4499399999999998</v>
      </c>
      <c r="CT91">
        <v>2.4499399999999998</v>
      </c>
      <c r="CU91">
        <v>2.4499499999999999</v>
      </c>
      <c r="CV91">
        <v>2.4499499999999999</v>
      </c>
      <c r="CW91">
        <v>2.44245</v>
      </c>
      <c r="CX91">
        <v>2.4424600000000001</v>
      </c>
      <c r="CY91">
        <v>2.4399700000000002</v>
      </c>
      <c r="CZ91">
        <v>2.4399700000000002</v>
      </c>
      <c r="DA91">
        <v>2.4324699999999999</v>
      </c>
      <c r="DB91">
        <v>2.43248</v>
      </c>
    </row>
    <row r="92" spans="1:107" x14ac:dyDescent="0.25">
      <c r="A92">
        <f t="shared" si="1"/>
        <v>3</v>
      </c>
      <c r="B92" s="2">
        <v>42136</v>
      </c>
      <c r="E92">
        <v>0.59245000000000003</v>
      </c>
      <c r="F92">
        <v>0.70447000000000004</v>
      </c>
      <c r="G92">
        <v>0.74567000000000005</v>
      </c>
      <c r="H92">
        <v>0.76270000000000004</v>
      </c>
      <c r="I92">
        <v>0.69094999999999995</v>
      </c>
      <c r="J92">
        <v>0.74131000000000002</v>
      </c>
      <c r="K92">
        <v>0.79676000000000002</v>
      </c>
      <c r="L92">
        <v>0.77161000000000002</v>
      </c>
      <c r="M92">
        <v>0.77905999999999997</v>
      </c>
      <c r="N92">
        <v>0.71957000000000004</v>
      </c>
      <c r="O92">
        <v>0.86829000000000001</v>
      </c>
      <c r="P92">
        <v>0.82933000000000001</v>
      </c>
      <c r="Q92">
        <v>0.76312999999999998</v>
      </c>
      <c r="R92">
        <v>0.80122000000000004</v>
      </c>
      <c r="S92">
        <v>0.90041000000000004</v>
      </c>
      <c r="T92">
        <v>0.89783000000000002</v>
      </c>
      <c r="U92">
        <v>0.82121999999999995</v>
      </c>
      <c r="V92">
        <v>0.85862000000000005</v>
      </c>
      <c r="W92">
        <v>0.92498000000000002</v>
      </c>
      <c r="X92">
        <v>0.97028999999999999</v>
      </c>
      <c r="Y92">
        <v>1.0889599999999999</v>
      </c>
      <c r="Z92">
        <v>1.0394300000000001</v>
      </c>
      <c r="AA92">
        <v>1.08629</v>
      </c>
      <c r="AB92">
        <v>1.1052999999999999</v>
      </c>
      <c r="AC92">
        <v>1.2191399999999999</v>
      </c>
      <c r="AD92">
        <v>1.25749</v>
      </c>
      <c r="AE92">
        <v>1.1311100000000001</v>
      </c>
      <c r="AF92">
        <v>1.27749</v>
      </c>
      <c r="AG92">
        <v>1.33087</v>
      </c>
      <c r="AH92">
        <v>1.40465</v>
      </c>
      <c r="AI92">
        <v>1.4020699999999999</v>
      </c>
      <c r="AJ92">
        <v>1.4092199999999999</v>
      </c>
      <c r="AK92">
        <v>1.2787500000000001</v>
      </c>
      <c r="AL92">
        <v>1.49702</v>
      </c>
      <c r="AM92">
        <v>1.65635</v>
      </c>
      <c r="AN92">
        <v>1.4741299999999999</v>
      </c>
      <c r="AO92">
        <v>1.7095899999999999</v>
      </c>
      <c r="AP92">
        <v>1.7934099999999999</v>
      </c>
      <c r="AQ92">
        <v>1.6374</v>
      </c>
      <c r="AR92">
        <v>1.84674</v>
      </c>
      <c r="AS92">
        <v>1.8842699999999999</v>
      </c>
      <c r="AT92">
        <v>1.92388</v>
      </c>
      <c r="AU92">
        <v>1.87859</v>
      </c>
      <c r="AV92">
        <v>1.82864</v>
      </c>
      <c r="AW92">
        <v>2.29487</v>
      </c>
      <c r="AX92">
        <v>2.31027</v>
      </c>
      <c r="AY92">
        <v>2.3407100000000001</v>
      </c>
      <c r="AZ92">
        <v>2.3546399999999998</v>
      </c>
      <c r="BA92">
        <v>2.3763299999999998</v>
      </c>
      <c r="BB92">
        <v>2.41777</v>
      </c>
      <c r="BC92">
        <v>2.4319500000000001</v>
      </c>
      <c r="BD92">
        <v>2.47296</v>
      </c>
      <c r="BE92">
        <v>2.37391</v>
      </c>
      <c r="BF92">
        <v>2.5613199999999998</v>
      </c>
      <c r="BG92">
        <v>2.5550600000000001</v>
      </c>
      <c r="BH92">
        <v>2.5453999999999999</v>
      </c>
      <c r="BI92">
        <v>2.5396899999999998</v>
      </c>
      <c r="BJ92">
        <v>2.5274299999999998</v>
      </c>
      <c r="BK92">
        <v>2.5331000000000001</v>
      </c>
      <c r="BL92">
        <v>2.5174599999999998</v>
      </c>
      <c r="BM92">
        <v>2.51641</v>
      </c>
      <c r="BN92">
        <v>2.5136599999999998</v>
      </c>
      <c r="BO92">
        <v>2.4535900000000002</v>
      </c>
      <c r="BP92">
        <v>2.5054400000000001</v>
      </c>
      <c r="BQ92">
        <v>2.5054500000000002</v>
      </c>
      <c r="BR92">
        <v>2.5021900000000001</v>
      </c>
      <c r="BS92">
        <v>2.5022000000000002</v>
      </c>
      <c r="BT92">
        <v>2.4972099999999999</v>
      </c>
      <c r="BW92">
        <v>2.4954999999999998</v>
      </c>
      <c r="BX92">
        <v>2.4921799999999998</v>
      </c>
      <c r="BY92">
        <v>2.4888499999999998</v>
      </c>
      <c r="BZ92">
        <v>2.4822600000000001</v>
      </c>
      <c r="CA92">
        <v>2.4822700000000002</v>
      </c>
      <c r="CB92">
        <v>2.4822799999999998</v>
      </c>
      <c r="CC92">
        <v>2.4822199999999999</v>
      </c>
      <c r="CD92">
        <v>2.4822299999999999</v>
      </c>
      <c r="CE92">
        <v>2.4727999999999999</v>
      </c>
      <c r="CF92">
        <v>2.47281</v>
      </c>
      <c r="CG92">
        <v>2.47282</v>
      </c>
      <c r="CH92">
        <v>2.47261</v>
      </c>
      <c r="CI92">
        <v>2.4674900000000002</v>
      </c>
      <c r="CJ92">
        <v>2.4622799999999998</v>
      </c>
      <c r="CK92">
        <v>2.4623499999999998</v>
      </c>
      <c r="CL92">
        <v>2.4623499999999998</v>
      </c>
      <c r="CM92">
        <v>2.4623599999999999</v>
      </c>
      <c r="CN92">
        <v>2.4623599999999999</v>
      </c>
      <c r="CO92">
        <v>2.45987</v>
      </c>
      <c r="CP92">
        <v>2.4548700000000001</v>
      </c>
      <c r="CQ92">
        <v>2.4523799999999998</v>
      </c>
      <c r="CS92">
        <v>2.4598499999999999</v>
      </c>
      <c r="CT92">
        <v>2.4590100000000001</v>
      </c>
      <c r="CU92">
        <v>2.4590200000000002</v>
      </c>
      <c r="CV92">
        <v>2.4590200000000002</v>
      </c>
      <c r="CW92">
        <v>2.4523700000000002</v>
      </c>
      <c r="CX92">
        <v>2.4523700000000002</v>
      </c>
      <c r="CY92">
        <v>2.4498600000000001</v>
      </c>
      <c r="CZ92">
        <v>2.44489</v>
      </c>
      <c r="DA92">
        <v>2.44238</v>
      </c>
      <c r="DB92">
        <v>2.4423900000000001</v>
      </c>
    </row>
    <row r="93" spans="1:107" x14ac:dyDescent="0.25">
      <c r="A93">
        <f t="shared" si="1"/>
        <v>4</v>
      </c>
      <c r="B93" s="2">
        <v>42137</v>
      </c>
      <c r="E93">
        <v>0.54017000000000004</v>
      </c>
      <c r="F93">
        <v>0.68459000000000003</v>
      </c>
      <c r="G93">
        <v>0.73214999999999997</v>
      </c>
      <c r="H93">
        <v>0.75210999999999995</v>
      </c>
      <c r="I93">
        <v>0.78090999999999999</v>
      </c>
      <c r="J93">
        <v>0.73355999999999999</v>
      </c>
      <c r="K93">
        <v>0.78563000000000005</v>
      </c>
      <c r="L93">
        <v>0.77522999999999997</v>
      </c>
      <c r="M93">
        <v>0.78595000000000004</v>
      </c>
      <c r="N93">
        <v>0.72514999999999996</v>
      </c>
      <c r="O93">
        <v>0.86299999999999999</v>
      </c>
      <c r="P93">
        <v>0.82435999999999998</v>
      </c>
      <c r="Q93">
        <v>0.76005</v>
      </c>
      <c r="R93">
        <v>0.79796999999999996</v>
      </c>
      <c r="S93">
        <v>0.84682000000000002</v>
      </c>
      <c r="T93">
        <v>0.89553000000000005</v>
      </c>
      <c r="U93">
        <v>0.82057999999999998</v>
      </c>
      <c r="V93">
        <v>0.85623000000000005</v>
      </c>
      <c r="W93">
        <v>0.92301</v>
      </c>
      <c r="X93">
        <v>0.96797</v>
      </c>
      <c r="Y93">
        <v>1.09704</v>
      </c>
      <c r="Z93">
        <v>1.0508999999999999</v>
      </c>
      <c r="AA93">
        <v>1.09842</v>
      </c>
      <c r="AB93">
        <v>1.1210899999999999</v>
      </c>
      <c r="AC93">
        <v>1.23308</v>
      </c>
      <c r="AD93">
        <v>1.2669999999999999</v>
      </c>
      <c r="AE93">
        <v>1.14249</v>
      </c>
      <c r="AF93">
        <v>1.29064</v>
      </c>
      <c r="AG93">
        <v>1.3438300000000001</v>
      </c>
      <c r="AH93">
        <v>1.42265</v>
      </c>
      <c r="AI93">
        <v>1.42004</v>
      </c>
      <c r="AJ93">
        <v>1.43438</v>
      </c>
      <c r="AK93">
        <v>1.30802</v>
      </c>
      <c r="AL93">
        <v>1.51264</v>
      </c>
      <c r="AM93">
        <v>1.6602399999999999</v>
      </c>
      <c r="AN93">
        <v>1.4966999999999999</v>
      </c>
      <c r="AO93">
        <v>1.7196400000000001</v>
      </c>
      <c r="AP93">
        <v>1.81307</v>
      </c>
      <c r="AQ93">
        <v>1.64018</v>
      </c>
      <c r="AR93">
        <v>1.86053</v>
      </c>
      <c r="AS93">
        <v>1.8985000000000001</v>
      </c>
      <c r="AT93">
        <v>1.9376899999999999</v>
      </c>
      <c r="AU93">
        <v>1.89578</v>
      </c>
      <c r="AV93">
        <v>1.84436</v>
      </c>
      <c r="AW93">
        <v>2.31352</v>
      </c>
      <c r="AX93">
        <v>2.3287</v>
      </c>
      <c r="AY93">
        <v>2.3570500000000001</v>
      </c>
      <c r="AZ93">
        <v>2.3743599999999998</v>
      </c>
      <c r="BA93">
        <v>2.3965999999999998</v>
      </c>
      <c r="BB93">
        <v>2.43459</v>
      </c>
      <c r="BC93">
        <v>2.46225</v>
      </c>
      <c r="BD93">
        <v>2.5033699999999999</v>
      </c>
      <c r="BE93">
        <v>2.3990999999999998</v>
      </c>
      <c r="BF93">
        <v>2.5889199999999999</v>
      </c>
      <c r="BG93">
        <v>2.5828199999999999</v>
      </c>
      <c r="BH93">
        <v>2.5733799999999998</v>
      </c>
      <c r="BI93">
        <v>2.5694300000000001</v>
      </c>
      <c r="BJ93">
        <v>2.5574400000000002</v>
      </c>
      <c r="BK93">
        <v>2.5640499999999999</v>
      </c>
      <c r="BL93">
        <v>2.5528400000000002</v>
      </c>
      <c r="BM93">
        <v>2.5425200000000001</v>
      </c>
      <c r="BN93">
        <v>2.54203</v>
      </c>
      <c r="BO93">
        <v>2.48332</v>
      </c>
      <c r="BP93">
        <v>2.5315599999999998</v>
      </c>
      <c r="BQ93">
        <v>2.5315799999999999</v>
      </c>
      <c r="BR93">
        <v>2.5316000000000001</v>
      </c>
      <c r="BS93">
        <v>2.5316200000000002</v>
      </c>
      <c r="BT93">
        <v>2.52664</v>
      </c>
      <c r="BW93">
        <v>2.5216799999999999</v>
      </c>
      <c r="BX93">
        <v>2.5227400000000002</v>
      </c>
      <c r="BY93">
        <v>2.5194200000000002</v>
      </c>
      <c r="BZ93">
        <v>2.5117400000000001</v>
      </c>
      <c r="CA93">
        <v>2.5117500000000001</v>
      </c>
      <c r="CB93">
        <v>2.5117699999999998</v>
      </c>
      <c r="CC93">
        <v>2.5128300000000001</v>
      </c>
      <c r="CD93">
        <v>2.5128400000000002</v>
      </c>
      <c r="CE93">
        <v>2.5021300000000002</v>
      </c>
      <c r="CF93">
        <v>2.5021499999999999</v>
      </c>
      <c r="CG93">
        <v>2.5014799999999999</v>
      </c>
      <c r="CH93">
        <v>2.5015000000000001</v>
      </c>
      <c r="CI93">
        <v>2.4988600000000001</v>
      </c>
      <c r="CJ93">
        <v>2.4929299999999999</v>
      </c>
      <c r="CK93">
        <v>2.4918999999999998</v>
      </c>
      <c r="CL93">
        <v>2.4919099999999998</v>
      </c>
      <c r="CM93">
        <v>2.49193</v>
      </c>
      <c r="CN93">
        <v>2.49194</v>
      </c>
      <c r="CO93">
        <v>2.4894500000000002</v>
      </c>
      <c r="CP93">
        <v>2.4944500000000001</v>
      </c>
      <c r="CQ93">
        <v>2.48197</v>
      </c>
      <c r="CS93">
        <v>2.4894599999999998</v>
      </c>
      <c r="CT93">
        <v>2.4894699999999998</v>
      </c>
      <c r="CU93">
        <v>2.4894799999999999</v>
      </c>
      <c r="CV93">
        <v>2.48949</v>
      </c>
      <c r="CW93">
        <v>2.48461</v>
      </c>
      <c r="CX93">
        <v>2.4846200000000001</v>
      </c>
      <c r="CY93">
        <v>2.4821200000000001</v>
      </c>
      <c r="CZ93">
        <v>2.47715</v>
      </c>
      <c r="DA93">
        <v>2.47465</v>
      </c>
      <c r="DB93">
        <v>2.4746600000000001</v>
      </c>
    </row>
    <row r="94" spans="1:107" x14ac:dyDescent="0.25">
      <c r="A94">
        <f t="shared" si="1"/>
        <v>5</v>
      </c>
      <c r="B94" s="2">
        <v>42138</v>
      </c>
      <c r="E94">
        <v>0.47241</v>
      </c>
      <c r="F94">
        <v>0.68423999999999996</v>
      </c>
      <c r="G94">
        <v>0.71716000000000002</v>
      </c>
      <c r="H94">
        <v>0.74712000000000001</v>
      </c>
      <c r="I94">
        <v>0.71633000000000002</v>
      </c>
      <c r="J94">
        <v>0.73351</v>
      </c>
      <c r="K94">
        <v>0.77036000000000004</v>
      </c>
      <c r="L94">
        <v>0.75609000000000004</v>
      </c>
      <c r="M94">
        <v>0.76419999999999999</v>
      </c>
      <c r="N94">
        <v>0.70225000000000004</v>
      </c>
      <c r="O94">
        <v>0.84450000000000003</v>
      </c>
      <c r="P94">
        <v>0.80567</v>
      </c>
      <c r="Q94">
        <v>0.73819000000000001</v>
      </c>
      <c r="R94">
        <v>0.77688999999999997</v>
      </c>
      <c r="S94">
        <v>0.84404000000000001</v>
      </c>
      <c r="T94">
        <v>0.88568999999999998</v>
      </c>
      <c r="U94">
        <v>0.79956000000000005</v>
      </c>
      <c r="V94">
        <v>0.83365</v>
      </c>
      <c r="W94">
        <v>0.90014000000000005</v>
      </c>
      <c r="X94">
        <v>0.95148999999999995</v>
      </c>
      <c r="Y94">
        <v>1.0718700000000001</v>
      </c>
      <c r="Z94">
        <v>1.02294</v>
      </c>
      <c r="AA94">
        <v>1.0707</v>
      </c>
      <c r="AB94">
        <v>1.08839</v>
      </c>
      <c r="AC94">
        <v>1.2046600000000001</v>
      </c>
      <c r="AD94">
        <v>1.22712</v>
      </c>
      <c r="AE94">
        <v>1.11229</v>
      </c>
      <c r="AF94">
        <v>1.2604900000000001</v>
      </c>
      <c r="AG94">
        <v>1.31301</v>
      </c>
      <c r="AH94">
        <v>1.3969499999999999</v>
      </c>
      <c r="AI94">
        <v>1.3946499999999999</v>
      </c>
      <c r="AJ94">
        <v>1.4090100000000001</v>
      </c>
      <c r="AK94">
        <v>1.2706</v>
      </c>
      <c r="AL94">
        <v>1.4861599999999999</v>
      </c>
      <c r="AM94">
        <v>1.64</v>
      </c>
      <c r="AN94">
        <v>1.4688699999999999</v>
      </c>
      <c r="AO94">
        <v>1.6947700000000001</v>
      </c>
      <c r="AP94">
        <v>1.792</v>
      </c>
      <c r="AQ94">
        <v>1.6337600000000001</v>
      </c>
      <c r="AR94">
        <v>1.8394600000000001</v>
      </c>
      <c r="AS94">
        <v>1.8796299999999999</v>
      </c>
      <c r="AT94">
        <v>1.9184399999999999</v>
      </c>
      <c r="AU94">
        <v>1.8763700000000001</v>
      </c>
      <c r="AV94">
        <v>1.82759</v>
      </c>
      <c r="AW94">
        <v>2.30159</v>
      </c>
      <c r="AX94">
        <v>2.3150599999999999</v>
      </c>
      <c r="AY94">
        <v>2.34226</v>
      </c>
      <c r="AZ94">
        <v>2.3517299999999999</v>
      </c>
      <c r="BA94">
        <v>2.3799000000000001</v>
      </c>
      <c r="BB94">
        <v>2.4210099999999999</v>
      </c>
      <c r="BC94">
        <v>2.4525000000000001</v>
      </c>
      <c r="BD94">
        <v>2.4929800000000002</v>
      </c>
      <c r="BE94">
        <v>2.38741</v>
      </c>
      <c r="BF94">
        <v>2.5827</v>
      </c>
      <c r="BG94">
        <v>2.5814699999999999</v>
      </c>
      <c r="BH94">
        <v>2.5590600000000001</v>
      </c>
      <c r="BI94">
        <v>2.5602</v>
      </c>
      <c r="BJ94">
        <v>2.53464</v>
      </c>
      <c r="BK94">
        <v>2.5633400000000002</v>
      </c>
      <c r="BL94">
        <v>2.53816</v>
      </c>
      <c r="BM94">
        <v>2.5413999999999999</v>
      </c>
      <c r="BN94">
        <v>2.5484200000000001</v>
      </c>
      <c r="BO94">
        <v>2.4771000000000001</v>
      </c>
      <c r="BP94">
        <v>2.5316999999999998</v>
      </c>
      <c r="BQ94">
        <v>2.5297200000000002</v>
      </c>
      <c r="BR94">
        <v>2.5214799999999999</v>
      </c>
      <c r="BS94">
        <v>2.5215000000000001</v>
      </c>
      <c r="BT94">
        <v>2.5205199999999999</v>
      </c>
      <c r="BW94">
        <v>2.5115599999999998</v>
      </c>
      <c r="BX94">
        <v>2.51519</v>
      </c>
      <c r="BY94">
        <v>2.5066000000000002</v>
      </c>
      <c r="BZ94">
        <v>2.49857</v>
      </c>
      <c r="CA94">
        <v>2.5036299999999998</v>
      </c>
      <c r="CB94">
        <v>2.4986000000000002</v>
      </c>
      <c r="CC94">
        <v>2.5052699999999999</v>
      </c>
      <c r="CD94">
        <v>2.50529</v>
      </c>
      <c r="CE94">
        <v>2.4931899999999998</v>
      </c>
      <c r="CF94">
        <v>2.4931999999999999</v>
      </c>
      <c r="CG94">
        <v>2.4966900000000001</v>
      </c>
      <c r="CH94">
        <v>2.4899</v>
      </c>
      <c r="CI94">
        <v>2.4887000000000001</v>
      </c>
      <c r="CJ94">
        <v>2.4873799999999999</v>
      </c>
      <c r="CK94">
        <v>2.49078</v>
      </c>
      <c r="CL94">
        <v>2.4887999999999999</v>
      </c>
      <c r="CM94">
        <v>2.4908100000000002</v>
      </c>
      <c r="CN94">
        <v>2.4838499999999999</v>
      </c>
      <c r="CO94">
        <v>2.4833599999999998</v>
      </c>
      <c r="CP94">
        <v>2.4863400000000002</v>
      </c>
      <c r="CQ94">
        <v>2.4738899999999999</v>
      </c>
      <c r="CS94">
        <v>2.4793599999999998</v>
      </c>
      <c r="CT94">
        <v>2.4793699999999999</v>
      </c>
      <c r="CU94">
        <v>2.4927000000000001</v>
      </c>
      <c r="CV94">
        <v>2.47939</v>
      </c>
      <c r="CW94">
        <v>2.4877199999999999</v>
      </c>
      <c r="CX94">
        <v>2.48773</v>
      </c>
      <c r="CY94">
        <v>2.4877400000000001</v>
      </c>
      <c r="CZ94">
        <v>2.47045</v>
      </c>
      <c r="DA94">
        <v>2.4659399999999998</v>
      </c>
      <c r="DB94">
        <v>2.4659499999999999</v>
      </c>
    </row>
    <row r="95" spans="1:107" x14ac:dyDescent="0.25">
      <c r="A95">
        <f t="shared" si="1"/>
        <v>6</v>
      </c>
      <c r="B95" s="2">
        <v>42139</v>
      </c>
      <c r="E95">
        <v>0.45599000000000001</v>
      </c>
      <c r="F95">
        <v>0.68386999999999998</v>
      </c>
      <c r="G95">
        <v>0.71177999999999997</v>
      </c>
      <c r="H95">
        <v>0.73721999999999999</v>
      </c>
      <c r="I95">
        <v>0.67581999999999998</v>
      </c>
      <c r="J95">
        <v>0.73345000000000005</v>
      </c>
      <c r="K95">
        <v>0.76212000000000002</v>
      </c>
      <c r="L95">
        <v>0.72719</v>
      </c>
      <c r="M95">
        <v>0.74443000000000004</v>
      </c>
      <c r="N95">
        <v>0.67967999999999995</v>
      </c>
      <c r="O95">
        <v>0.83277000000000001</v>
      </c>
      <c r="P95">
        <v>0.79168000000000005</v>
      </c>
      <c r="Q95">
        <v>0.71667000000000003</v>
      </c>
      <c r="R95">
        <v>0.75417999999999996</v>
      </c>
      <c r="S95">
        <v>0.81757000000000002</v>
      </c>
      <c r="T95">
        <v>0.84828999999999999</v>
      </c>
      <c r="U95">
        <v>0.7641</v>
      </c>
      <c r="V95">
        <v>0.80625000000000002</v>
      </c>
      <c r="W95">
        <v>0.87363000000000002</v>
      </c>
      <c r="X95">
        <v>0.91856000000000004</v>
      </c>
      <c r="Y95">
        <v>0.99851000000000001</v>
      </c>
      <c r="Z95">
        <v>0.96992</v>
      </c>
      <c r="AA95">
        <v>1.03071</v>
      </c>
      <c r="AB95">
        <v>1.0309600000000001</v>
      </c>
      <c r="AC95">
        <v>1.1316900000000001</v>
      </c>
      <c r="AD95">
        <v>1.16608</v>
      </c>
      <c r="AE95">
        <v>1.04512</v>
      </c>
      <c r="AF95">
        <v>1.1910099999999999</v>
      </c>
      <c r="AG95">
        <v>1.24441</v>
      </c>
      <c r="AH95">
        <v>1.34097</v>
      </c>
      <c r="AI95">
        <v>1.31965</v>
      </c>
      <c r="AJ95">
        <v>1.33528</v>
      </c>
      <c r="AK95">
        <v>1.2031000000000001</v>
      </c>
      <c r="AL95">
        <v>1.4311499999999999</v>
      </c>
      <c r="AM95">
        <v>1.55063</v>
      </c>
      <c r="AN95">
        <v>1.3790100000000001</v>
      </c>
      <c r="AO95">
        <v>1.60476</v>
      </c>
      <c r="AP95">
        <v>1.70387</v>
      </c>
      <c r="AQ95">
        <v>1.5382800000000001</v>
      </c>
      <c r="AR95">
        <v>1.75132</v>
      </c>
      <c r="AS95">
        <v>1.7884899999999999</v>
      </c>
      <c r="AT95">
        <v>1.83256</v>
      </c>
      <c r="AU95">
        <v>1.77379</v>
      </c>
      <c r="AV95">
        <v>1.7370699999999999</v>
      </c>
      <c r="AW95">
        <v>2.2134</v>
      </c>
      <c r="AX95">
        <v>2.2291500000000002</v>
      </c>
      <c r="AY95">
        <v>2.2555499999999999</v>
      </c>
      <c r="AZ95">
        <v>2.2751999999999999</v>
      </c>
      <c r="BA95">
        <v>2.2990900000000001</v>
      </c>
      <c r="BB95">
        <v>2.3431500000000001</v>
      </c>
      <c r="BC95">
        <v>2.36843</v>
      </c>
      <c r="BD95">
        <v>2.41547</v>
      </c>
      <c r="BE95">
        <v>2.3141099999999999</v>
      </c>
      <c r="BF95">
        <v>2.5175800000000002</v>
      </c>
      <c r="BG95">
        <v>2.4977399999999998</v>
      </c>
      <c r="BH95">
        <v>2.48278</v>
      </c>
      <c r="BI95">
        <v>2.4623300000000001</v>
      </c>
      <c r="BJ95">
        <v>2.4523600000000001</v>
      </c>
      <c r="BK95">
        <v>2.4678599999999999</v>
      </c>
      <c r="BL95">
        <v>2.4578899999999999</v>
      </c>
      <c r="BM95">
        <v>2.4529200000000002</v>
      </c>
      <c r="BN95">
        <v>2.4579300000000002</v>
      </c>
      <c r="BO95">
        <v>2.38856</v>
      </c>
      <c r="BP95">
        <v>2.4638100000000001</v>
      </c>
      <c r="BQ95">
        <v>2.4638300000000002</v>
      </c>
      <c r="BR95">
        <v>2.45886</v>
      </c>
      <c r="BS95">
        <v>2.4588800000000002</v>
      </c>
      <c r="BT95">
        <v>2.4539</v>
      </c>
      <c r="BW95">
        <v>2.44394</v>
      </c>
      <c r="BX95">
        <v>2.4353500000000001</v>
      </c>
      <c r="BY95">
        <v>2.4320300000000001</v>
      </c>
      <c r="BZ95">
        <v>2.42401</v>
      </c>
      <c r="CA95">
        <v>2.4240200000000001</v>
      </c>
      <c r="CB95">
        <v>2.4240400000000002</v>
      </c>
      <c r="CC95">
        <v>2.42543</v>
      </c>
      <c r="CD95">
        <v>2.42544</v>
      </c>
      <c r="CE95">
        <v>2.4115600000000001</v>
      </c>
      <c r="CF95">
        <v>2.4115700000000002</v>
      </c>
      <c r="CG95">
        <v>2.4136799999999998</v>
      </c>
      <c r="CH95">
        <v>2.4082699999999999</v>
      </c>
      <c r="CI95">
        <v>2.40829</v>
      </c>
      <c r="CJ95">
        <v>2.4088699999999998</v>
      </c>
      <c r="CK95">
        <v>2.40917</v>
      </c>
      <c r="CL95">
        <v>2.4091800000000001</v>
      </c>
      <c r="CM95">
        <v>2.4091900000000002</v>
      </c>
      <c r="CN95">
        <v>2.4091999999999998</v>
      </c>
      <c r="CO95">
        <v>2.40672</v>
      </c>
      <c r="CP95">
        <v>2.40673</v>
      </c>
      <c r="CQ95">
        <v>2.4042300000000001</v>
      </c>
      <c r="CS95">
        <v>2.4017499999999998</v>
      </c>
      <c r="CT95">
        <v>2.4017599999999999</v>
      </c>
      <c r="CU95">
        <v>2.4124099999999999</v>
      </c>
      <c r="CV95">
        <v>2.40178</v>
      </c>
      <c r="CW95">
        <v>2.4074300000000002</v>
      </c>
      <c r="CX95">
        <v>2.4074399999999998</v>
      </c>
      <c r="CY95">
        <v>2.4074499999999999</v>
      </c>
      <c r="CZ95">
        <v>2.3908100000000001</v>
      </c>
      <c r="DA95">
        <v>2.40246</v>
      </c>
      <c r="DB95">
        <v>2.4024700000000001</v>
      </c>
      <c r="DC95">
        <v>2.2948499999999998</v>
      </c>
    </row>
    <row r="96" spans="1:107" x14ac:dyDescent="0.25">
      <c r="A96">
        <f t="shared" si="1"/>
        <v>3</v>
      </c>
      <c r="B96" s="2">
        <v>42143</v>
      </c>
      <c r="E96">
        <v>0.55606</v>
      </c>
      <c r="F96">
        <v>0.69345999999999997</v>
      </c>
      <c r="G96">
        <v>0.73085999999999995</v>
      </c>
      <c r="H96">
        <v>0.72282999999999997</v>
      </c>
      <c r="I96">
        <v>0.68530000000000002</v>
      </c>
      <c r="J96">
        <v>0.71638000000000002</v>
      </c>
      <c r="K96">
        <v>0.78047999999999995</v>
      </c>
      <c r="L96">
        <v>0.77307999999999999</v>
      </c>
      <c r="M96">
        <v>0.78295999999999999</v>
      </c>
      <c r="N96">
        <v>0.72841</v>
      </c>
      <c r="O96">
        <v>0.8599</v>
      </c>
      <c r="P96">
        <v>0.84201999999999999</v>
      </c>
      <c r="Q96">
        <v>0.76388999999999996</v>
      </c>
      <c r="R96">
        <v>0.80184</v>
      </c>
      <c r="S96">
        <v>0.84958</v>
      </c>
      <c r="T96">
        <v>0.89903999999999995</v>
      </c>
      <c r="U96">
        <v>0.82143999999999995</v>
      </c>
      <c r="V96">
        <v>0.85907999999999995</v>
      </c>
      <c r="W96">
        <v>0.92635000000000001</v>
      </c>
      <c r="X96">
        <v>0.97577999999999998</v>
      </c>
      <c r="Y96">
        <v>1.0993999999999999</v>
      </c>
      <c r="Z96">
        <v>1.04843</v>
      </c>
      <c r="AA96">
        <v>1.09894</v>
      </c>
      <c r="AB96">
        <v>1.11636</v>
      </c>
      <c r="AC96">
        <v>1.2330300000000001</v>
      </c>
      <c r="AD96">
        <v>1.2666500000000001</v>
      </c>
      <c r="AE96">
        <v>1.14459</v>
      </c>
      <c r="AF96">
        <v>1.3136099999999999</v>
      </c>
      <c r="AG96">
        <v>1.3445400000000001</v>
      </c>
      <c r="AH96">
        <v>1.43485</v>
      </c>
      <c r="AI96">
        <v>1.42875</v>
      </c>
      <c r="AJ96">
        <v>1.44299</v>
      </c>
      <c r="AK96">
        <v>1.3056700000000001</v>
      </c>
      <c r="AL96">
        <v>1.5284800000000001</v>
      </c>
      <c r="AM96">
        <v>1.6561399999999999</v>
      </c>
      <c r="AN96">
        <v>1.4807699999999999</v>
      </c>
      <c r="AO96">
        <v>1.7168300000000001</v>
      </c>
      <c r="AP96">
        <v>1.8157099999999999</v>
      </c>
      <c r="AQ96">
        <v>1.6542600000000001</v>
      </c>
      <c r="AR96">
        <v>1.86311</v>
      </c>
      <c r="AS96">
        <v>1.90463</v>
      </c>
      <c r="AT96">
        <v>1.9403900000000001</v>
      </c>
      <c r="AU96">
        <v>1.9259299999999999</v>
      </c>
      <c r="AV96">
        <v>1.85632</v>
      </c>
      <c r="AW96">
        <v>2.3273100000000002</v>
      </c>
      <c r="AX96">
        <v>2.3382499999999999</v>
      </c>
      <c r="AY96">
        <v>2.36382</v>
      </c>
      <c r="AZ96">
        <v>2.37826</v>
      </c>
      <c r="BA96">
        <v>2.4066800000000002</v>
      </c>
      <c r="BB96">
        <v>2.4396399999999998</v>
      </c>
      <c r="BC96">
        <v>2.4714</v>
      </c>
      <c r="BD96">
        <v>2.5101800000000001</v>
      </c>
      <c r="BE96">
        <v>2.4103500000000002</v>
      </c>
      <c r="BF96">
        <v>2.6088800000000001</v>
      </c>
      <c r="BG96">
        <v>2.59544</v>
      </c>
      <c r="BH96">
        <v>2.58047</v>
      </c>
      <c r="BI96">
        <v>2.5609799999999998</v>
      </c>
      <c r="BJ96">
        <v>2.5510000000000002</v>
      </c>
      <c r="BK96">
        <v>2.5649999999999999</v>
      </c>
      <c r="BL96">
        <v>2.5550199999999998</v>
      </c>
      <c r="BM96">
        <v>2.5500400000000001</v>
      </c>
      <c r="BN96">
        <v>2.55504</v>
      </c>
      <c r="BO96">
        <v>2.4891299999999998</v>
      </c>
      <c r="BP96">
        <v>2.5450499999999998</v>
      </c>
      <c r="BQ96">
        <v>2.5450599999999999</v>
      </c>
      <c r="BR96">
        <v>2.5562</v>
      </c>
      <c r="BS96">
        <v>2.5562100000000001</v>
      </c>
      <c r="BT96">
        <v>2.5512199999999998</v>
      </c>
      <c r="BW96">
        <v>2.5412400000000002</v>
      </c>
      <c r="BX96">
        <v>2.53322</v>
      </c>
      <c r="BY96">
        <v>2.5299</v>
      </c>
      <c r="BZ96">
        <v>2.5265599999999999</v>
      </c>
      <c r="CA96">
        <v>2.52657</v>
      </c>
      <c r="CB96">
        <v>2.52658</v>
      </c>
      <c r="CC96">
        <v>2.5201799999999999</v>
      </c>
      <c r="CD96">
        <v>2.5201899999999999</v>
      </c>
      <c r="CE96">
        <v>2.5085199999999999</v>
      </c>
      <c r="CF96">
        <v>2.5085299999999999</v>
      </c>
      <c r="CG96">
        <v>2.50854</v>
      </c>
      <c r="CH96">
        <v>2.5052099999999999</v>
      </c>
      <c r="CI96">
        <v>2.5062199999999999</v>
      </c>
      <c r="CJ96">
        <v>2.50665</v>
      </c>
      <c r="CK96">
        <v>2.5083700000000002</v>
      </c>
      <c r="CL96">
        <v>2.5083799999999998</v>
      </c>
      <c r="CM96">
        <v>2.5083899999999999</v>
      </c>
      <c r="CN96">
        <v>2.5083899999999999</v>
      </c>
      <c r="CO96">
        <v>2.5059</v>
      </c>
      <c r="CP96">
        <v>2.5059</v>
      </c>
      <c r="CQ96">
        <v>2.5034100000000001</v>
      </c>
      <c r="CS96">
        <v>2.5009100000000002</v>
      </c>
      <c r="CT96">
        <v>2.50929</v>
      </c>
      <c r="CU96">
        <v>2.50929</v>
      </c>
      <c r="CV96">
        <v>2.5009299999999999</v>
      </c>
      <c r="CW96">
        <v>2.4954100000000001</v>
      </c>
      <c r="CX96">
        <v>2.4954200000000002</v>
      </c>
      <c r="CY96">
        <v>2.4929199999999998</v>
      </c>
      <c r="CZ96">
        <v>2.48793</v>
      </c>
      <c r="DA96">
        <v>2.4753400000000001</v>
      </c>
      <c r="DB96">
        <v>2.4753500000000002</v>
      </c>
      <c r="DC96">
        <v>2.3854600000000001</v>
      </c>
    </row>
    <row r="97" spans="1:107" x14ac:dyDescent="0.25">
      <c r="A97">
        <f t="shared" si="1"/>
        <v>4</v>
      </c>
      <c r="B97" s="2">
        <v>42144</v>
      </c>
      <c r="E97">
        <v>0.47932000000000002</v>
      </c>
      <c r="F97">
        <v>0.67942999999999998</v>
      </c>
      <c r="G97">
        <v>0.71231</v>
      </c>
      <c r="H97">
        <v>0.73379000000000005</v>
      </c>
      <c r="I97">
        <v>0.77800999999999998</v>
      </c>
      <c r="J97">
        <v>0.71126</v>
      </c>
      <c r="K97">
        <v>0.77464</v>
      </c>
      <c r="L97">
        <v>0.76249999999999996</v>
      </c>
      <c r="M97">
        <v>0.76968999999999999</v>
      </c>
      <c r="N97">
        <v>0.71301000000000003</v>
      </c>
      <c r="O97">
        <v>0.85306999999999999</v>
      </c>
      <c r="P97">
        <v>0.80808999999999997</v>
      </c>
      <c r="Q97">
        <v>0.74511000000000005</v>
      </c>
      <c r="R97">
        <v>0.78334999999999999</v>
      </c>
      <c r="S97">
        <v>0.83198000000000005</v>
      </c>
      <c r="T97">
        <v>0.86148000000000002</v>
      </c>
      <c r="U97">
        <v>0.79600000000000004</v>
      </c>
      <c r="V97">
        <v>0.83301999999999998</v>
      </c>
      <c r="W97">
        <v>0.90168000000000004</v>
      </c>
      <c r="X97">
        <v>0.94471000000000005</v>
      </c>
      <c r="Y97">
        <v>1.0737300000000001</v>
      </c>
      <c r="Z97">
        <v>1.02146</v>
      </c>
      <c r="AA97">
        <v>1.0821499999999999</v>
      </c>
      <c r="AB97">
        <v>1.0974999999999999</v>
      </c>
      <c r="AC97">
        <v>1.20475</v>
      </c>
      <c r="AD97">
        <v>1.2301299999999999</v>
      </c>
      <c r="AE97">
        <v>1.1143400000000001</v>
      </c>
      <c r="AF97">
        <v>1.2649900000000001</v>
      </c>
      <c r="AG97">
        <v>1.30748</v>
      </c>
      <c r="AH97">
        <v>1.40944</v>
      </c>
      <c r="AI97">
        <v>1.4042600000000001</v>
      </c>
      <c r="AJ97">
        <v>1.41761</v>
      </c>
      <c r="AK97">
        <v>1.2925899999999999</v>
      </c>
      <c r="AL97">
        <v>1.5032000000000001</v>
      </c>
      <c r="AM97">
        <v>1.62645</v>
      </c>
      <c r="AN97">
        <v>1.46279</v>
      </c>
      <c r="AO97">
        <v>1.6916899999999999</v>
      </c>
      <c r="AP97">
        <v>1.7890200000000001</v>
      </c>
      <c r="AQ97">
        <v>1.6268800000000001</v>
      </c>
      <c r="AR97">
        <v>1.8344199999999999</v>
      </c>
      <c r="AS97">
        <v>1.8762399999999999</v>
      </c>
      <c r="AT97">
        <v>1.9091400000000001</v>
      </c>
      <c r="AU97">
        <v>1.8974200000000001</v>
      </c>
      <c r="AV97">
        <v>1.8285499999999999</v>
      </c>
      <c r="AW97">
        <v>2.3004099999999998</v>
      </c>
      <c r="AX97">
        <v>2.3121</v>
      </c>
      <c r="AY97">
        <v>2.3283800000000001</v>
      </c>
      <c r="AZ97">
        <v>2.3542900000000002</v>
      </c>
      <c r="BA97">
        <v>2.3791600000000002</v>
      </c>
      <c r="BB97">
        <v>2.4122400000000002</v>
      </c>
      <c r="BC97">
        <v>2.4418899999999999</v>
      </c>
      <c r="BD97">
        <v>2.4826299999999999</v>
      </c>
      <c r="BE97">
        <v>2.3901500000000002</v>
      </c>
      <c r="BF97">
        <v>2.5822699999999998</v>
      </c>
      <c r="BG97">
        <v>2.5670899999999999</v>
      </c>
      <c r="BH97">
        <v>2.54928</v>
      </c>
      <c r="BI97">
        <v>2.5416300000000001</v>
      </c>
      <c r="BJ97">
        <v>2.5230199999999998</v>
      </c>
      <c r="BK97">
        <v>2.5354899999999998</v>
      </c>
      <c r="BL97">
        <v>2.50806</v>
      </c>
      <c r="BM97">
        <v>2.5205600000000001</v>
      </c>
      <c r="BN97">
        <v>2.5399600000000002</v>
      </c>
      <c r="BO97">
        <v>2.4628100000000002</v>
      </c>
      <c r="BP97">
        <v>2.5155799999999999</v>
      </c>
      <c r="BQ97">
        <v>2.4981399999999998</v>
      </c>
      <c r="BR97">
        <v>2.5300199999999999</v>
      </c>
      <c r="BS97">
        <v>2.5300400000000001</v>
      </c>
      <c r="BT97">
        <v>2.5250499999999998</v>
      </c>
      <c r="BW97">
        <v>2.5015800000000001</v>
      </c>
      <c r="BX97">
        <v>2.50414</v>
      </c>
      <c r="BY97">
        <v>2.4966200000000001</v>
      </c>
      <c r="BZ97">
        <v>2.4891800000000002</v>
      </c>
      <c r="CA97">
        <v>2.4891899999999998</v>
      </c>
      <c r="CB97">
        <v>2.4891999999999999</v>
      </c>
      <c r="CC97">
        <v>2.49173</v>
      </c>
      <c r="CD97">
        <v>2.4917500000000001</v>
      </c>
      <c r="CE97">
        <v>2.4868299999999999</v>
      </c>
      <c r="CF97">
        <v>2.48685</v>
      </c>
      <c r="CG97">
        <v>2.48828</v>
      </c>
      <c r="CH97">
        <v>2.4818699999999998</v>
      </c>
      <c r="CI97">
        <v>2.4816400000000001</v>
      </c>
      <c r="CJ97">
        <v>2.47689</v>
      </c>
      <c r="CK97">
        <v>2.4734099999999999</v>
      </c>
      <c r="CL97">
        <v>2.47342</v>
      </c>
      <c r="CM97">
        <v>2.47343</v>
      </c>
      <c r="CN97">
        <v>2.4734400000000001</v>
      </c>
      <c r="CO97">
        <v>2.47533</v>
      </c>
      <c r="CP97">
        <v>2.4743300000000001</v>
      </c>
      <c r="CQ97">
        <v>2.4718399999999998</v>
      </c>
      <c r="CS97">
        <v>2.4693499999999999</v>
      </c>
      <c r="CT97">
        <v>2.46936</v>
      </c>
      <c r="CU97">
        <v>2.4693700000000001</v>
      </c>
      <c r="CV97">
        <v>2.4693800000000001</v>
      </c>
      <c r="CW97">
        <v>2.4754999999999998</v>
      </c>
      <c r="CX97">
        <v>2.4755099999999999</v>
      </c>
      <c r="CY97">
        <v>2.4755099999999999</v>
      </c>
      <c r="CZ97">
        <v>2.47052</v>
      </c>
      <c r="DA97">
        <v>2.4599000000000002</v>
      </c>
      <c r="DB97">
        <v>2.4599099999999998</v>
      </c>
      <c r="DC97">
        <v>2.3645700000000001</v>
      </c>
    </row>
    <row r="98" spans="1:107" x14ac:dyDescent="0.25">
      <c r="A98">
        <f t="shared" si="1"/>
        <v>5</v>
      </c>
      <c r="B98" s="2">
        <v>42145</v>
      </c>
      <c r="E98">
        <v>0.41214000000000001</v>
      </c>
      <c r="F98">
        <v>0.67434000000000005</v>
      </c>
      <c r="G98">
        <v>0.70718999999999999</v>
      </c>
      <c r="H98">
        <v>0.72445000000000004</v>
      </c>
      <c r="I98">
        <v>0.70760000000000001</v>
      </c>
      <c r="J98">
        <v>0.71121000000000001</v>
      </c>
      <c r="K98">
        <v>0.76929999999999998</v>
      </c>
      <c r="L98">
        <v>0.74772000000000005</v>
      </c>
      <c r="M98">
        <v>0.76275000000000004</v>
      </c>
      <c r="N98">
        <v>0.70430000000000004</v>
      </c>
      <c r="O98">
        <v>0.84750000000000003</v>
      </c>
      <c r="P98">
        <v>0.80308999999999997</v>
      </c>
      <c r="Q98">
        <v>0.73621000000000003</v>
      </c>
      <c r="R98">
        <v>0.77415</v>
      </c>
      <c r="S98">
        <v>0.82328000000000001</v>
      </c>
      <c r="T98">
        <v>0.86433000000000004</v>
      </c>
      <c r="U98">
        <v>0.77900999999999998</v>
      </c>
      <c r="V98">
        <v>0.81569999999999998</v>
      </c>
      <c r="W98">
        <v>0.88287000000000004</v>
      </c>
      <c r="X98">
        <v>0.92769999999999997</v>
      </c>
      <c r="Y98">
        <v>1.03949</v>
      </c>
      <c r="Z98">
        <v>0.98338000000000003</v>
      </c>
      <c r="AA98">
        <v>1.03443</v>
      </c>
      <c r="AB98">
        <v>1.0602199999999999</v>
      </c>
      <c r="AC98">
        <v>1.1700999999999999</v>
      </c>
      <c r="AD98">
        <v>1.2044999999999999</v>
      </c>
      <c r="AE98">
        <v>1.08057</v>
      </c>
      <c r="AF98">
        <v>1.25146</v>
      </c>
      <c r="AG98">
        <v>1.28301</v>
      </c>
      <c r="AH98">
        <v>1.3701000000000001</v>
      </c>
      <c r="AI98">
        <v>1.3656600000000001</v>
      </c>
      <c r="AJ98">
        <v>1.3778600000000001</v>
      </c>
      <c r="AK98">
        <v>1.2527999999999999</v>
      </c>
      <c r="AL98">
        <v>1.46347</v>
      </c>
      <c r="AM98">
        <v>1.57473</v>
      </c>
      <c r="AN98">
        <v>1.3994899999999999</v>
      </c>
      <c r="AO98">
        <v>1.6420300000000001</v>
      </c>
      <c r="AP98">
        <v>1.73658</v>
      </c>
      <c r="AQ98">
        <v>1.5645500000000001</v>
      </c>
      <c r="AR98">
        <v>1.7819799999999999</v>
      </c>
      <c r="AS98">
        <v>1.82498</v>
      </c>
      <c r="AT98">
        <v>1.85883</v>
      </c>
      <c r="AU98">
        <v>1.8550800000000001</v>
      </c>
      <c r="AV98">
        <v>1.7756799999999999</v>
      </c>
      <c r="AW98">
        <v>2.2432400000000001</v>
      </c>
      <c r="AX98">
        <v>2.2563800000000001</v>
      </c>
      <c r="AY98">
        <v>2.2799399999999999</v>
      </c>
      <c r="AZ98">
        <v>2.3026399999999998</v>
      </c>
      <c r="BA98">
        <v>2.3241000000000001</v>
      </c>
      <c r="BB98">
        <v>2.35907</v>
      </c>
      <c r="BC98">
        <v>2.3888699999999998</v>
      </c>
      <c r="BD98">
        <v>2.4284300000000001</v>
      </c>
      <c r="BE98">
        <v>2.3321399999999999</v>
      </c>
      <c r="BF98">
        <v>2.5186299999999999</v>
      </c>
      <c r="BG98">
        <v>2.5123000000000002</v>
      </c>
      <c r="BH98">
        <v>2.49464</v>
      </c>
      <c r="BI98">
        <v>2.4881500000000001</v>
      </c>
      <c r="BJ98">
        <v>2.46272</v>
      </c>
      <c r="BK98">
        <v>2.4942600000000001</v>
      </c>
      <c r="BL98">
        <v>2.4682200000000001</v>
      </c>
      <c r="BM98">
        <v>2.46326</v>
      </c>
      <c r="BN98">
        <v>2.4783300000000001</v>
      </c>
      <c r="BO98">
        <v>2.4023400000000001</v>
      </c>
      <c r="BP98">
        <v>2.4743499999999998</v>
      </c>
      <c r="BQ98">
        <v>2.4743599999999999</v>
      </c>
      <c r="BR98">
        <v>2.4693900000000002</v>
      </c>
      <c r="BS98">
        <v>2.4693999999999998</v>
      </c>
      <c r="BT98">
        <v>2.4519199999999999</v>
      </c>
      <c r="BW98">
        <v>2.4419499999999998</v>
      </c>
      <c r="BX98">
        <v>2.44495</v>
      </c>
      <c r="BY98">
        <v>2.4369900000000002</v>
      </c>
      <c r="BZ98">
        <v>2.4319999999999999</v>
      </c>
      <c r="CA98">
        <v>2.43201</v>
      </c>
      <c r="CB98">
        <v>2.4320200000000001</v>
      </c>
      <c r="CC98">
        <v>2.4350200000000002</v>
      </c>
      <c r="CD98">
        <v>2.4350299999999998</v>
      </c>
      <c r="CE98">
        <v>2.4255300000000002</v>
      </c>
      <c r="CF98">
        <v>2.4255399999999998</v>
      </c>
      <c r="CG98">
        <v>2.4241000000000001</v>
      </c>
      <c r="CH98">
        <v>2.4205700000000001</v>
      </c>
      <c r="CI98">
        <v>2.4191199999999999</v>
      </c>
      <c r="CJ98">
        <v>2.4171200000000002</v>
      </c>
      <c r="CK98">
        <v>2.4171299999999998</v>
      </c>
      <c r="CL98">
        <v>2.4171399999999998</v>
      </c>
      <c r="CM98">
        <v>2.4171499999999999</v>
      </c>
      <c r="CN98">
        <v>2.41716</v>
      </c>
      <c r="CO98">
        <v>2.4146700000000001</v>
      </c>
      <c r="CP98">
        <v>2.4146800000000002</v>
      </c>
      <c r="CQ98">
        <v>2.4121899999999998</v>
      </c>
      <c r="CS98">
        <v>2.4097</v>
      </c>
      <c r="CT98">
        <v>2.40971</v>
      </c>
      <c r="CU98">
        <v>2.4097200000000001</v>
      </c>
      <c r="CV98">
        <v>2.4097200000000001</v>
      </c>
      <c r="CW98">
        <v>2.4171900000000002</v>
      </c>
      <c r="CX98">
        <v>2.4171999999999998</v>
      </c>
      <c r="CY98">
        <v>2.4047299999999998</v>
      </c>
      <c r="CZ98">
        <v>2.40076</v>
      </c>
      <c r="DA98">
        <v>2.39825</v>
      </c>
      <c r="DB98">
        <v>2.3982600000000001</v>
      </c>
      <c r="DC98">
        <v>2.3042899999999999</v>
      </c>
    </row>
    <row r="99" spans="1:107" x14ac:dyDescent="0.25">
      <c r="A99">
        <f t="shared" si="1"/>
        <v>6</v>
      </c>
      <c r="B99" s="2">
        <v>42146</v>
      </c>
      <c r="E99">
        <v>0.36127999999999999</v>
      </c>
      <c r="F99">
        <v>0.65498000000000001</v>
      </c>
      <c r="G99">
        <v>0.64222000000000001</v>
      </c>
      <c r="H99">
        <v>0.71014999999999995</v>
      </c>
      <c r="I99">
        <v>0.67508000000000001</v>
      </c>
      <c r="J99">
        <v>0.71116999999999997</v>
      </c>
      <c r="K99">
        <v>0.77405999999999997</v>
      </c>
      <c r="L99">
        <v>0.76500999999999997</v>
      </c>
      <c r="M99">
        <v>0.78054000000000001</v>
      </c>
      <c r="N99">
        <v>0.71736999999999995</v>
      </c>
      <c r="O99">
        <v>0.85499999999999998</v>
      </c>
      <c r="P99">
        <v>0.81001999999999996</v>
      </c>
      <c r="Q99">
        <v>0.74777000000000005</v>
      </c>
      <c r="R99">
        <v>0.78561999999999999</v>
      </c>
      <c r="S99">
        <v>0.85262000000000004</v>
      </c>
      <c r="T99">
        <v>0.8629</v>
      </c>
      <c r="U99">
        <v>0.79081999999999997</v>
      </c>
      <c r="V99">
        <v>0.82738</v>
      </c>
      <c r="W99">
        <v>0.89393999999999996</v>
      </c>
      <c r="X99">
        <v>0.93893000000000004</v>
      </c>
      <c r="Y99">
        <v>1.0573399999999999</v>
      </c>
      <c r="Z99">
        <v>1.00491</v>
      </c>
      <c r="AA99">
        <v>1.0567899999999999</v>
      </c>
      <c r="AB99">
        <v>1.08918</v>
      </c>
      <c r="AC99">
        <v>1.1908799999999999</v>
      </c>
      <c r="AD99">
        <v>1.2131799999999999</v>
      </c>
      <c r="AE99">
        <v>1.1020099999999999</v>
      </c>
      <c r="AF99">
        <v>1.2524999999999999</v>
      </c>
      <c r="AG99">
        <v>1.29758</v>
      </c>
      <c r="AH99">
        <v>1.39453</v>
      </c>
      <c r="AI99">
        <v>1.3911</v>
      </c>
      <c r="AJ99">
        <v>1.40134</v>
      </c>
      <c r="AK99">
        <v>1.2754399999999999</v>
      </c>
      <c r="AL99">
        <v>1.4916100000000001</v>
      </c>
      <c r="AM99">
        <v>1.60293</v>
      </c>
      <c r="AN99">
        <v>1.4261699999999999</v>
      </c>
      <c r="AO99">
        <v>1.6635899999999999</v>
      </c>
      <c r="AP99">
        <v>1.7618799999999999</v>
      </c>
      <c r="AQ99">
        <v>1.5889899999999999</v>
      </c>
      <c r="AR99">
        <v>1.8120400000000001</v>
      </c>
      <c r="AS99">
        <v>1.8502000000000001</v>
      </c>
      <c r="AT99">
        <v>1.8936299999999999</v>
      </c>
      <c r="AU99">
        <v>1.85287</v>
      </c>
      <c r="AV99">
        <v>1.79586</v>
      </c>
      <c r="AW99">
        <v>2.26065</v>
      </c>
      <c r="AX99">
        <v>2.25475</v>
      </c>
      <c r="AY99">
        <v>2.29874</v>
      </c>
      <c r="AZ99">
        <v>2.3214999999999999</v>
      </c>
      <c r="BA99">
        <v>2.3345500000000001</v>
      </c>
      <c r="BB99">
        <v>2.3799000000000001</v>
      </c>
      <c r="BC99">
        <v>2.3993099999999998</v>
      </c>
      <c r="BD99">
        <v>2.4389599999999998</v>
      </c>
      <c r="BE99">
        <v>2.3393199999999998</v>
      </c>
      <c r="BF99">
        <v>2.5255899999999998</v>
      </c>
      <c r="BG99">
        <v>2.5169199999999998</v>
      </c>
      <c r="BH99">
        <v>2.4962399999999998</v>
      </c>
      <c r="BI99">
        <v>2.4879199999999999</v>
      </c>
      <c r="BJ99">
        <v>2.4779499999999999</v>
      </c>
      <c r="BK99">
        <v>2.49722</v>
      </c>
      <c r="BL99">
        <v>2.4556800000000001</v>
      </c>
      <c r="BM99">
        <v>2.46719</v>
      </c>
      <c r="BN99">
        <v>2.4822899999999999</v>
      </c>
      <c r="BO99">
        <v>2.4011300000000002</v>
      </c>
      <c r="BP99">
        <v>2.4622199999999999</v>
      </c>
      <c r="BQ99">
        <v>2.46224</v>
      </c>
      <c r="BR99">
        <v>2.47235</v>
      </c>
      <c r="BS99">
        <v>2.4723600000000001</v>
      </c>
      <c r="BT99">
        <v>2.45688</v>
      </c>
      <c r="BW99">
        <v>2.44692</v>
      </c>
      <c r="BX99">
        <v>2.4489000000000001</v>
      </c>
      <c r="BY99">
        <v>2.4419499999999998</v>
      </c>
      <c r="BZ99">
        <v>2.4346000000000001</v>
      </c>
      <c r="CA99">
        <v>2.4346199999999998</v>
      </c>
      <c r="CB99">
        <v>2.4346299999999998</v>
      </c>
      <c r="CC99">
        <v>2.4389699999999999</v>
      </c>
      <c r="CD99">
        <v>2.4389799999999999</v>
      </c>
      <c r="CE99">
        <v>2.4314499999999999</v>
      </c>
      <c r="CF99">
        <v>2.43146</v>
      </c>
      <c r="CG99">
        <v>2.4316900000000001</v>
      </c>
      <c r="CH99">
        <v>2.4249800000000001</v>
      </c>
      <c r="CI99">
        <v>2.42238</v>
      </c>
      <c r="CJ99">
        <v>2.4224000000000001</v>
      </c>
      <c r="CK99">
        <v>2.4220999999999999</v>
      </c>
      <c r="CL99">
        <v>2.42211</v>
      </c>
      <c r="CM99">
        <v>2.4221200000000001</v>
      </c>
      <c r="CN99">
        <v>2.4221300000000001</v>
      </c>
      <c r="CO99">
        <v>2.4210500000000001</v>
      </c>
      <c r="CP99">
        <v>2.4196499999999999</v>
      </c>
      <c r="CQ99">
        <v>2.4111600000000002</v>
      </c>
      <c r="CS99">
        <v>2.41466</v>
      </c>
      <c r="CT99">
        <v>2.40368</v>
      </c>
      <c r="CU99">
        <v>2.4036900000000001</v>
      </c>
      <c r="CV99">
        <v>2.4037000000000002</v>
      </c>
      <c r="CW99">
        <v>2.4221200000000001</v>
      </c>
      <c r="CX99">
        <v>2.4221300000000001</v>
      </c>
      <c r="CY99">
        <v>2.4221400000000002</v>
      </c>
      <c r="CZ99">
        <v>2.3937300000000001</v>
      </c>
      <c r="DA99">
        <v>2.4022199999999998</v>
      </c>
      <c r="DB99">
        <v>2.4022199999999998</v>
      </c>
      <c r="DC99">
        <v>2.3072400000000002</v>
      </c>
    </row>
    <row r="100" spans="1:107" x14ac:dyDescent="0.25">
      <c r="A100">
        <f t="shared" si="1"/>
        <v>2</v>
      </c>
      <c r="B100" s="2">
        <v>42149</v>
      </c>
      <c r="E100">
        <v>0.44259999999999999</v>
      </c>
      <c r="F100">
        <v>0.66796999999999995</v>
      </c>
      <c r="G100">
        <v>0.72021000000000002</v>
      </c>
      <c r="H100">
        <v>0.73680999999999996</v>
      </c>
      <c r="I100">
        <v>0.76856999999999998</v>
      </c>
      <c r="J100">
        <v>0.71721000000000001</v>
      </c>
      <c r="K100">
        <v>0.77610999999999997</v>
      </c>
      <c r="L100">
        <v>0.75795999999999997</v>
      </c>
      <c r="M100">
        <v>0.77693000000000001</v>
      </c>
      <c r="N100">
        <v>0.71679000000000004</v>
      </c>
      <c r="O100">
        <v>0.85616999999999999</v>
      </c>
      <c r="P100">
        <v>0.81210000000000004</v>
      </c>
      <c r="Q100">
        <v>0.74478999999999995</v>
      </c>
      <c r="R100">
        <v>0.78215999999999997</v>
      </c>
      <c r="S100">
        <v>0.82987999999999995</v>
      </c>
      <c r="T100">
        <v>0.87239</v>
      </c>
      <c r="U100">
        <v>0.78866000000000003</v>
      </c>
      <c r="V100">
        <v>0.8246</v>
      </c>
      <c r="W100">
        <v>0.89029000000000003</v>
      </c>
      <c r="X100">
        <v>0.94069999999999998</v>
      </c>
      <c r="Y100">
        <v>1.0596300000000001</v>
      </c>
      <c r="Z100">
        <v>1.00804</v>
      </c>
      <c r="AA100">
        <v>1.0592999999999999</v>
      </c>
      <c r="AB100">
        <v>1.0906899999999999</v>
      </c>
      <c r="AC100">
        <v>1.19502</v>
      </c>
      <c r="AD100">
        <v>1.23298</v>
      </c>
      <c r="AE100">
        <v>1.1069</v>
      </c>
      <c r="AF100">
        <v>1.2770999999999999</v>
      </c>
      <c r="AG100">
        <v>1.3005899999999999</v>
      </c>
      <c r="AH100">
        <v>1.3995200000000001</v>
      </c>
      <c r="AI100">
        <v>1.3963399999999999</v>
      </c>
      <c r="AJ100">
        <v>1.4058600000000001</v>
      </c>
      <c r="AK100">
        <v>1.27908</v>
      </c>
      <c r="AL100">
        <v>1.4955000000000001</v>
      </c>
      <c r="AM100">
        <v>1.6147199999999999</v>
      </c>
      <c r="AN100">
        <v>1.43696</v>
      </c>
      <c r="AO100">
        <v>1.6686000000000001</v>
      </c>
      <c r="AP100">
        <v>1.77067</v>
      </c>
      <c r="AQ100">
        <v>1.6013999999999999</v>
      </c>
      <c r="AR100">
        <v>1.81806</v>
      </c>
      <c r="AS100">
        <v>1.86605</v>
      </c>
      <c r="AT100">
        <v>1.9009</v>
      </c>
      <c r="AU100">
        <v>1.8929100000000001</v>
      </c>
      <c r="AV100">
        <v>1.8094600000000001</v>
      </c>
      <c r="AW100">
        <v>2.27616</v>
      </c>
      <c r="AX100">
        <v>2.2827500000000001</v>
      </c>
      <c r="AY100">
        <v>2.3212199999999998</v>
      </c>
      <c r="AZ100">
        <v>2.3324699999999998</v>
      </c>
      <c r="BA100">
        <v>2.34849</v>
      </c>
      <c r="BB100">
        <v>2.3892199999999999</v>
      </c>
      <c r="BC100">
        <v>2.41127</v>
      </c>
      <c r="BD100">
        <v>2.44529</v>
      </c>
      <c r="BE100">
        <v>2.3472400000000002</v>
      </c>
      <c r="BF100">
        <v>2.53308</v>
      </c>
      <c r="BG100">
        <v>2.5250599999999999</v>
      </c>
      <c r="BH100">
        <v>2.5023499999999999</v>
      </c>
      <c r="BI100">
        <v>2.4950199999999998</v>
      </c>
      <c r="BJ100">
        <v>2.4770500000000002</v>
      </c>
      <c r="BK100">
        <v>2.5066700000000002</v>
      </c>
      <c r="BL100">
        <v>2.4805600000000001</v>
      </c>
      <c r="BM100">
        <v>2.47559</v>
      </c>
      <c r="BN100">
        <v>2.4917099999999999</v>
      </c>
      <c r="BO100">
        <v>2.4088599999999998</v>
      </c>
      <c r="BP100">
        <v>2.48672</v>
      </c>
      <c r="BQ100">
        <v>2.4867300000000001</v>
      </c>
      <c r="BR100">
        <v>2.4817399999999998</v>
      </c>
      <c r="BS100">
        <v>2.4817499999999999</v>
      </c>
      <c r="BT100">
        <v>2.4767600000000001</v>
      </c>
      <c r="BW100">
        <v>2.45628</v>
      </c>
      <c r="BX100">
        <v>2.4579200000000001</v>
      </c>
      <c r="BY100">
        <v>2.4513099999999999</v>
      </c>
      <c r="BZ100">
        <v>2.44631</v>
      </c>
      <c r="CA100">
        <v>2.4463200000000001</v>
      </c>
      <c r="CB100">
        <v>2.4463200000000001</v>
      </c>
      <c r="CC100">
        <v>2.4479600000000001</v>
      </c>
      <c r="CD100">
        <v>2.4479700000000002</v>
      </c>
      <c r="CE100">
        <v>2.4352399999999998</v>
      </c>
      <c r="CF100">
        <v>2.4352499999999999</v>
      </c>
      <c r="CG100">
        <v>2.43933</v>
      </c>
      <c r="CH100">
        <v>2.4319299999999999</v>
      </c>
      <c r="CI100">
        <v>2.43188</v>
      </c>
      <c r="CJ100">
        <v>2.4313500000000001</v>
      </c>
      <c r="CK100">
        <v>2.4314</v>
      </c>
      <c r="CL100">
        <v>2.4314</v>
      </c>
      <c r="CM100">
        <v>2.4314100000000001</v>
      </c>
      <c r="CN100">
        <v>2.4314100000000001</v>
      </c>
      <c r="CO100">
        <v>2.4289200000000002</v>
      </c>
      <c r="CP100">
        <v>2.4289200000000002</v>
      </c>
      <c r="CQ100">
        <v>2.4264299999999999</v>
      </c>
      <c r="CS100">
        <v>2.4239299999999999</v>
      </c>
      <c r="CT100">
        <v>2.42394</v>
      </c>
      <c r="CU100">
        <v>2.42394</v>
      </c>
      <c r="CV100">
        <v>2.42395</v>
      </c>
      <c r="CW100">
        <v>2.43085</v>
      </c>
      <c r="CX100">
        <v>2.43085</v>
      </c>
      <c r="CY100">
        <v>2.43086</v>
      </c>
      <c r="CZ100">
        <v>2.4144600000000001</v>
      </c>
      <c r="DA100">
        <v>2.4119600000000001</v>
      </c>
      <c r="DB100">
        <v>2.4119600000000001</v>
      </c>
      <c r="DC100">
        <v>2.3164600000000002</v>
      </c>
    </row>
    <row r="101" spans="1:107" x14ac:dyDescent="0.25">
      <c r="A101">
        <f t="shared" si="1"/>
        <v>3</v>
      </c>
      <c r="B101" s="2">
        <v>42150</v>
      </c>
      <c r="E101">
        <v>0.40110000000000001</v>
      </c>
      <c r="F101">
        <v>0.66291</v>
      </c>
      <c r="G101">
        <v>0.71338999999999997</v>
      </c>
      <c r="H101">
        <v>0.71767000000000003</v>
      </c>
      <c r="I101">
        <v>0.69601000000000002</v>
      </c>
      <c r="J101">
        <v>0.71123999999999998</v>
      </c>
      <c r="K101">
        <v>0.76500000000000001</v>
      </c>
      <c r="L101">
        <v>0.74007000000000001</v>
      </c>
      <c r="M101">
        <v>0.76002999999999998</v>
      </c>
      <c r="N101">
        <v>0.68979999999999997</v>
      </c>
      <c r="O101">
        <v>0.84253</v>
      </c>
      <c r="P101">
        <v>0.79669999999999996</v>
      </c>
      <c r="Q101">
        <v>0.71533999999999998</v>
      </c>
      <c r="R101">
        <v>0.75339</v>
      </c>
      <c r="S101">
        <v>0.81993000000000005</v>
      </c>
      <c r="T101">
        <v>0.82994999999999997</v>
      </c>
      <c r="U101">
        <v>0.75265000000000004</v>
      </c>
      <c r="V101">
        <v>0.79030999999999996</v>
      </c>
      <c r="W101">
        <v>0.85865999999999998</v>
      </c>
      <c r="X101">
        <v>0.90068000000000004</v>
      </c>
      <c r="Y101">
        <v>1.0044500000000001</v>
      </c>
      <c r="Z101">
        <v>0.94371000000000005</v>
      </c>
      <c r="AA101">
        <v>0.99382000000000004</v>
      </c>
      <c r="AB101">
        <v>1.0315300000000001</v>
      </c>
      <c r="AC101">
        <v>1.13062</v>
      </c>
      <c r="AD101">
        <v>1.1690700000000001</v>
      </c>
      <c r="AE101">
        <v>1.04312</v>
      </c>
      <c r="AF101">
        <v>1.2109399999999999</v>
      </c>
      <c r="AG101">
        <v>1.23549</v>
      </c>
      <c r="AH101">
        <v>1.3282</v>
      </c>
      <c r="AI101">
        <v>1.3249299999999999</v>
      </c>
      <c r="AJ101">
        <v>1.3385400000000001</v>
      </c>
      <c r="AK101">
        <v>1.19737</v>
      </c>
      <c r="AL101">
        <v>1.42597</v>
      </c>
      <c r="AM101">
        <v>1.53023</v>
      </c>
      <c r="AN101">
        <v>1.3457699999999999</v>
      </c>
      <c r="AO101">
        <v>1.5894600000000001</v>
      </c>
      <c r="AP101">
        <v>1.6813400000000001</v>
      </c>
      <c r="AQ101">
        <v>1.5109300000000001</v>
      </c>
      <c r="AR101">
        <v>1.7287300000000001</v>
      </c>
      <c r="AS101">
        <v>1.77844</v>
      </c>
      <c r="AT101">
        <v>1.8207500000000001</v>
      </c>
      <c r="AU101">
        <v>1.80454</v>
      </c>
      <c r="AV101">
        <v>1.7250399999999999</v>
      </c>
      <c r="AW101">
        <v>2.1961400000000002</v>
      </c>
      <c r="AX101">
        <v>2.2015199999999999</v>
      </c>
      <c r="AY101">
        <v>2.2351399999999999</v>
      </c>
      <c r="AZ101">
        <v>2.26125</v>
      </c>
      <c r="BA101">
        <v>2.2675299999999998</v>
      </c>
      <c r="BB101">
        <v>2.3113299999999999</v>
      </c>
      <c r="BC101">
        <v>2.3330600000000001</v>
      </c>
      <c r="BD101">
        <v>2.36605</v>
      </c>
      <c r="BE101">
        <v>2.2688199999999998</v>
      </c>
      <c r="BF101">
        <v>2.4554800000000001</v>
      </c>
      <c r="BG101">
        <v>2.4413499999999999</v>
      </c>
      <c r="BH101">
        <v>2.42475</v>
      </c>
      <c r="BI101">
        <v>2.4160900000000001</v>
      </c>
      <c r="BJ101">
        <v>2.40611</v>
      </c>
      <c r="BK101">
        <v>2.4255399999999998</v>
      </c>
      <c r="BL101">
        <v>2.3828200000000002</v>
      </c>
      <c r="BM101">
        <v>2.3943099999999999</v>
      </c>
      <c r="BN101">
        <v>2.4105799999999999</v>
      </c>
      <c r="BO101">
        <v>2.3290299999999999</v>
      </c>
      <c r="BP101">
        <v>2.3893200000000001</v>
      </c>
      <c r="BQ101">
        <v>2.3893300000000002</v>
      </c>
      <c r="BR101">
        <v>2.4006099999999999</v>
      </c>
      <c r="BS101">
        <v>2.40062</v>
      </c>
      <c r="BT101">
        <v>2.3956300000000001</v>
      </c>
      <c r="BW101">
        <v>2.3751500000000001</v>
      </c>
      <c r="BX101">
        <v>2.3767399999999999</v>
      </c>
      <c r="BY101">
        <v>2.37018</v>
      </c>
      <c r="BZ101">
        <v>2.3624399999999999</v>
      </c>
      <c r="CA101">
        <v>2.3624399999999999</v>
      </c>
      <c r="CB101">
        <v>2.3624499999999999</v>
      </c>
      <c r="CC101">
        <v>2.3643299999999998</v>
      </c>
      <c r="CD101">
        <v>2.3643399999999999</v>
      </c>
      <c r="CE101">
        <v>2.3584800000000001</v>
      </c>
      <c r="CF101">
        <v>2.3584900000000002</v>
      </c>
      <c r="CG101">
        <v>2.3594900000000001</v>
      </c>
      <c r="CH101">
        <v>2.3519899999999998</v>
      </c>
      <c r="CI101">
        <v>2.3501599999999998</v>
      </c>
      <c r="CJ101">
        <v>2.3494899999999999</v>
      </c>
      <c r="CK101">
        <v>2.34802</v>
      </c>
      <c r="CL101">
        <v>2.3480300000000001</v>
      </c>
      <c r="CM101">
        <v>2.3480300000000001</v>
      </c>
      <c r="CN101">
        <v>2.3480400000000001</v>
      </c>
      <c r="CO101">
        <v>2.3468</v>
      </c>
      <c r="CP101">
        <v>2.3477899999999998</v>
      </c>
      <c r="CQ101">
        <v>2.3393199999999998</v>
      </c>
      <c r="CS101">
        <v>2.3428</v>
      </c>
      <c r="CT101">
        <v>2.3318300000000001</v>
      </c>
      <c r="CU101">
        <v>2.3318300000000001</v>
      </c>
      <c r="CV101">
        <v>2.3318400000000001</v>
      </c>
      <c r="CW101">
        <v>2.3495599999999999</v>
      </c>
      <c r="CX101">
        <v>2.3495699999999999</v>
      </c>
      <c r="CY101">
        <v>2.3495699999999999</v>
      </c>
      <c r="CZ101">
        <v>2.3333300000000001</v>
      </c>
      <c r="DA101">
        <v>2.3308200000000001</v>
      </c>
      <c r="DB101">
        <v>2.3445800000000001</v>
      </c>
      <c r="DC101">
        <v>2.2358600000000002</v>
      </c>
    </row>
    <row r="102" spans="1:107" x14ac:dyDescent="0.25">
      <c r="A102">
        <f t="shared" si="1"/>
        <v>4</v>
      </c>
      <c r="B102" s="2">
        <v>42151</v>
      </c>
      <c r="E102">
        <v>0.35726000000000002</v>
      </c>
      <c r="F102">
        <v>0.65797000000000005</v>
      </c>
      <c r="G102">
        <v>0.71692999999999996</v>
      </c>
      <c r="H102">
        <v>0.72402999999999995</v>
      </c>
      <c r="I102">
        <v>0.65810999999999997</v>
      </c>
      <c r="J102">
        <v>0.70603000000000005</v>
      </c>
      <c r="K102">
        <v>0.75702000000000003</v>
      </c>
      <c r="L102">
        <v>0.72972000000000004</v>
      </c>
      <c r="M102">
        <v>0.74780000000000002</v>
      </c>
      <c r="N102">
        <v>0.67693000000000003</v>
      </c>
      <c r="O102">
        <v>0.83328000000000002</v>
      </c>
      <c r="P102">
        <v>0.78652999999999995</v>
      </c>
      <c r="Q102">
        <v>0.69684000000000001</v>
      </c>
      <c r="R102">
        <v>0.73502000000000001</v>
      </c>
      <c r="S102">
        <v>0.78332000000000002</v>
      </c>
      <c r="T102">
        <v>0.82516</v>
      </c>
      <c r="U102">
        <v>0.72765999999999997</v>
      </c>
      <c r="V102">
        <v>0.76456999999999997</v>
      </c>
      <c r="W102">
        <v>0.83433000000000002</v>
      </c>
      <c r="X102">
        <v>0.87565999999999999</v>
      </c>
      <c r="Y102">
        <v>0.97579000000000005</v>
      </c>
      <c r="Z102">
        <v>0.91612000000000005</v>
      </c>
      <c r="AA102">
        <v>0.96716999999999997</v>
      </c>
      <c r="AB102">
        <v>1.0049699999999999</v>
      </c>
      <c r="AC102">
        <v>1.10073</v>
      </c>
      <c r="AD102">
        <v>1.13791</v>
      </c>
      <c r="AE102">
        <v>1.01339</v>
      </c>
      <c r="AF102">
        <v>1.1603600000000001</v>
      </c>
      <c r="AG102">
        <v>1.2047300000000001</v>
      </c>
      <c r="AH102">
        <v>1.2965899999999999</v>
      </c>
      <c r="AI102">
        <v>1.29379</v>
      </c>
      <c r="AJ102">
        <v>1.30742</v>
      </c>
      <c r="AK102">
        <v>1.16631</v>
      </c>
      <c r="AL102">
        <v>1.39469</v>
      </c>
      <c r="AM102">
        <v>1.5037700000000001</v>
      </c>
      <c r="AN102">
        <v>1.3391</v>
      </c>
      <c r="AO102">
        <v>1.5579499999999999</v>
      </c>
      <c r="AP102">
        <v>1.6496</v>
      </c>
      <c r="AQ102">
        <v>1.48976</v>
      </c>
      <c r="AR102">
        <v>1.69702</v>
      </c>
      <c r="AS102">
        <v>1.7483500000000001</v>
      </c>
      <c r="AT102">
        <v>1.7884199999999999</v>
      </c>
      <c r="AU102">
        <v>1.7748600000000001</v>
      </c>
      <c r="AV102">
        <v>1.69285</v>
      </c>
      <c r="AW102">
        <v>2.16215</v>
      </c>
      <c r="AX102">
        <v>2.1684199999999998</v>
      </c>
      <c r="AY102">
        <v>2.20228</v>
      </c>
      <c r="AZ102">
        <v>2.2269600000000001</v>
      </c>
      <c r="BA102">
        <v>2.2357200000000002</v>
      </c>
      <c r="BB102">
        <v>2.2810199999999998</v>
      </c>
      <c r="BC102">
        <v>2.2984499999999999</v>
      </c>
      <c r="BD102">
        <v>2.3295400000000002</v>
      </c>
      <c r="BE102">
        <v>2.2311299999999998</v>
      </c>
      <c r="BF102">
        <v>2.4074900000000001</v>
      </c>
      <c r="BG102">
        <v>2.3975200000000001</v>
      </c>
      <c r="BH102">
        <v>2.3938799999999998</v>
      </c>
      <c r="BI102">
        <v>2.3792300000000002</v>
      </c>
      <c r="BJ102">
        <v>2.3706399999999999</v>
      </c>
      <c r="BK102">
        <v>2.3742700000000001</v>
      </c>
      <c r="BL102">
        <v>2.3676200000000001</v>
      </c>
      <c r="BM102">
        <v>2.3609900000000001</v>
      </c>
      <c r="BN102">
        <v>2.3559800000000002</v>
      </c>
      <c r="BO102">
        <v>2.2933699999999999</v>
      </c>
      <c r="BP102">
        <v>2.3576800000000002</v>
      </c>
      <c r="BQ102">
        <v>2.3576999999999999</v>
      </c>
      <c r="BR102">
        <v>2.35439</v>
      </c>
      <c r="BS102">
        <v>2.35907</v>
      </c>
      <c r="BT102">
        <v>2.34606</v>
      </c>
      <c r="BW102">
        <v>2.3361000000000001</v>
      </c>
      <c r="BX102">
        <v>2.3378100000000002</v>
      </c>
      <c r="BY102">
        <v>2.3311199999999999</v>
      </c>
      <c r="BZ102">
        <v>2.32517</v>
      </c>
      <c r="CA102">
        <v>2.3251900000000001</v>
      </c>
      <c r="CB102">
        <v>2.3252000000000002</v>
      </c>
      <c r="CC102">
        <v>2.3261799999999999</v>
      </c>
      <c r="CD102">
        <v>2.32619</v>
      </c>
      <c r="CE102">
        <v>2.3222999999999998</v>
      </c>
      <c r="CF102">
        <v>2.3223199999999999</v>
      </c>
      <c r="CG102">
        <v>2.3192499999999998</v>
      </c>
      <c r="CH102">
        <v>2.3162400000000001</v>
      </c>
      <c r="CI102">
        <v>2.31332</v>
      </c>
      <c r="CJ102">
        <v>2.31236</v>
      </c>
      <c r="CK102">
        <v>2.3143400000000001</v>
      </c>
      <c r="CL102">
        <v>2.3143500000000001</v>
      </c>
      <c r="CM102">
        <v>2.3143600000000002</v>
      </c>
      <c r="CN102">
        <v>2.3143699999999998</v>
      </c>
      <c r="CO102">
        <v>2.3143799999999999</v>
      </c>
      <c r="CP102">
        <v>2.3028400000000002</v>
      </c>
      <c r="CQ102">
        <v>2.3003499999999999</v>
      </c>
      <c r="CS102">
        <v>2.2928700000000002</v>
      </c>
      <c r="CT102">
        <v>2.30036</v>
      </c>
      <c r="CU102">
        <v>2.2928899999999999</v>
      </c>
      <c r="CV102">
        <v>2.2928899999999999</v>
      </c>
      <c r="CW102">
        <v>2.3139400000000001</v>
      </c>
      <c r="CX102">
        <v>2.3139500000000002</v>
      </c>
      <c r="CY102">
        <v>2.2979400000000001</v>
      </c>
      <c r="CZ102">
        <v>2.2829199999999998</v>
      </c>
      <c r="DA102">
        <v>2.2898900000000002</v>
      </c>
      <c r="DB102">
        <v>2.2898999999999998</v>
      </c>
      <c r="DC102">
        <v>2.2018</v>
      </c>
    </row>
    <row r="103" spans="1:107" x14ac:dyDescent="0.25">
      <c r="A103">
        <f t="shared" si="1"/>
        <v>5</v>
      </c>
      <c r="B103" s="2">
        <v>42152</v>
      </c>
      <c r="E103">
        <v>-5.0000000000000001E-3</v>
      </c>
      <c r="F103">
        <v>0.65759000000000001</v>
      </c>
      <c r="G103">
        <v>0.59031</v>
      </c>
      <c r="H103">
        <v>0.71347000000000005</v>
      </c>
      <c r="I103">
        <v>0.63821000000000006</v>
      </c>
      <c r="J103">
        <v>0.70598000000000005</v>
      </c>
      <c r="K103">
        <v>0.74909000000000003</v>
      </c>
      <c r="L103">
        <v>0.72204000000000002</v>
      </c>
      <c r="M103">
        <v>0.74283999999999994</v>
      </c>
      <c r="N103">
        <v>0.66535999999999995</v>
      </c>
      <c r="O103">
        <v>0.82735999999999998</v>
      </c>
      <c r="P103">
        <v>0.79398000000000002</v>
      </c>
      <c r="Q103">
        <v>0.68328</v>
      </c>
      <c r="R103">
        <v>0.72138999999999998</v>
      </c>
      <c r="S103">
        <v>0.78729000000000005</v>
      </c>
      <c r="T103">
        <v>0.81106999999999996</v>
      </c>
      <c r="U103">
        <v>0.71369000000000005</v>
      </c>
      <c r="V103">
        <v>0.75124999999999997</v>
      </c>
      <c r="W103">
        <v>0.82125999999999999</v>
      </c>
      <c r="X103">
        <v>0.86306000000000005</v>
      </c>
      <c r="Y103">
        <v>0.96075999999999995</v>
      </c>
      <c r="Z103">
        <v>0.90166999999999997</v>
      </c>
      <c r="AA103">
        <v>0.95147999999999999</v>
      </c>
      <c r="AB103">
        <v>0.98307999999999995</v>
      </c>
      <c r="AC103">
        <v>1.0846800000000001</v>
      </c>
      <c r="AD103">
        <v>1.1217200000000001</v>
      </c>
      <c r="AE103">
        <v>0.99521999999999999</v>
      </c>
      <c r="AF103">
        <v>1.1453100000000001</v>
      </c>
      <c r="AG103">
        <v>1.2029000000000001</v>
      </c>
      <c r="AH103">
        <v>1.2803</v>
      </c>
      <c r="AI103">
        <v>1.2768699999999999</v>
      </c>
      <c r="AJ103">
        <v>1.2896700000000001</v>
      </c>
      <c r="AK103">
        <v>1.1500699999999999</v>
      </c>
      <c r="AL103">
        <v>1.3769199999999999</v>
      </c>
      <c r="AM103">
        <v>1.48465</v>
      </c>
      <c r="AN103">
        <v>1.3089999999999999</v>
      </c>
      <c r="AO103">
        <v>1.5445899999999999</v>
      </c>
      <c r="AP103">
        <v>1.63764</v>
      </c>
      <c r="AQ103">
        <v>1.4678</v>
      </c>
      <c r="AR103">
        <v>1.68506</v>
      </c>
      <c r="AS103">
        <v>1.7330000000000001</v>
      </c>
      <c r="AT103">
        <v>1.7755700000000001</v>
      </c>
      <c r="AU103">
        <v>1.7628200000000001</v>
      </c>
      <c r="AV103">
        <v>1.68113</v>
      </c>
      <c r="AW103">
        <v>2.1551300000000002</v>
      </c>
      <c r="AX103">
        <v>2.15869</v>
      </c>
      <c r="AY103">
        <v>2.1974800000000001</v>
      </c>
      <c r="AZ103">
        <v>2.2302</v>
      </c>
      <c r="BA103">
        <v>2.2410899999999998</v>
      </c>
      <c r="BB103">
        <v>2.27481</v>
      </c>
      <c r="BC103">
        <v>2.29237</v>
      </c>
      <c r="BD103">
        <v>2.3281299999999998</v>
      </c>
      <c r="BE103">
        <v>2.2182900000000001</v>
      </c>
      <c r="BF103">
        <v>2.4018700000000002</v>
      </c>
      <c r="BG103">
        <v>2.3919100000000002</v>
      </c>
      <c r="BH103">
        <v>2.3869500000000001</v>
      </c>
      <c r="BI103">
        <v>2.3759199999999998</v>
      </c>
      <c r="BJ103">
        <v>2.3685700000000001</v>
      </c>
      <c r="BK103">
        <v>2.3673500000000001</v>
      </c>
      <c r="BL103">
        <v>2.3607</v>
      </c>
      <c r="BM103">
        <v>2.35406</v>
      </c>
      <c r="BN103">
        <v>2.34903</v>
      </c>
      <c r="BO103">
        <v>2.28918</v>
      </c>
      <c r="BP103">
        <v>2.3497599999999998</v>
      </c>
      <c r="BQ103">
        <v>2.34978</v>
      </c>
      <c r="BR103">
        <v>2.34646</v>
      </c>
      <c r="BS103">
        <v>2.3464800000000001</v>
      </c>
      <c r="BT103">
        <v>2.3376199999999998</v>
      </c>
      <c r="BW103">
        <v>2.3248500000000001</v>
      </c>
      <c r="BX103">
        <v>2.3276699999999999</v>
      </c>
      <c r="BY103">
        <v>2.3242699999999998</v>
      </c>
      <c r="BZ103">
        <v>2.3182299999999998</v>
      </c>
      <c r="CA103">
        <v>2.3182399999999999</v>
      </c>
      <c r="CB103">
        <v>2.3182499999999999</v>
      </c>
      <c r="CC103">
        <v>2.3193299999999999</v>
      </c>
      <c r="CD103">
        <v>2.31934</v>
      </c>
      <c r="CE103">
        <v>2.3152900000000001</v>
      </c>
      <c r="CF103">
        <v>2.3153000000000001</v>
      </c>
      <c r="CG103">
        <v>2.3119100000000001</v>
      </c>
      <c r="CH103">
        <v>2.3066800000000001</v>
      </c>
      <c r="CI103">
        <v>2.3069299999999999</v>
      </c>
      <c r="CJ103">
        <v>2.30776</v>
      </c>
      <c r="CK103">
        <v>2.3094199999999998</v>
      </c>
      <c r="CL103">
        <v>2.3094299999999999</v>
      </c>
      <c r="CM103">
        <v>2.3094399999999999</v>
      </c>
      <c r="CN103">
        <v>2.30945</v>
      </c>
      <c r="CO103">
        <v>2.30945</v>
      </c>
      <c r="CP103">
        <v>2.3044600000000002</v>
      </c>
      <c r="CQ103">
        <v>2.3044699999999998</v>
      </c>
      <c r="CS103">
        <v>2.2994699999999999</v>
      </c>
      <c r="CT103">
        <v>2.29948</v>
      </c>
      <c r="CU103">
        <v>2.29948</v>
      </c>
      <c r="CV103">
        <v>2.29949</v>
      </c>
      <c r="CW103">
        <v>2.2930100000000002</v>
      </c>
      <c r="CX103">
        <v>2.2930199999999998</v>
      </c>
      <c r="CY103">
        <v>2.2930199999999998</v>
      </c>
      <c r="CZ103">
        <v>2.2880600000000002</v>
      </c>
      <c r="DA103">
        <v>2.2854399999999999</v>
      </c>
      <c r="DB103">
        <v>2.2854399999999999</v>
      </c>
      <c r="DC103">
        <v>2.1929799999999999</v>
      </c>
    </row>
    <row r="104" spans="1:107" x14ac:dyDescent="0.25">
      <c r="A104">
        <f t="shared" si="1"/>
        <v>6</v>
      </c>
      <c r="B104" s="2">
        <v>42153</v>
      </c>
      <c r="E104">
        <v>0.11754000000000001</v>
      </c>
      <c r="F104">
        <v>0.65720999999999996</v>
      </c>
      <c r="G104">
        <v>0.67574000000000001</v>
      </c>
      <c r="H104">
        <v>0.68452000000000002</v>
      </c>
      <c r="I104">
        <v>0.60480999999999996</v>
      </c>
      <c r="J104">
        <v>0.70101999999999998</v>
      </c>
      <c r="K104">
        <v>0.70235000000000003</v>
      </c>
      <c r="L104">
        <v>0.69588000000000005</v>
      </c>
      <c r="M104">
        <v>0.72204999999999997</v>
      </c>
      <c r="N104">
        <v>0.62980999999999998</v>
      </c>
      <c r="O104">
        <v>0.79923</v>
      </c>
      <c r="P104">
        <v>0.76761999999999997</v>
      </c>
      <c r="Q104">
        <v>0.63244</v>
      </c>
      <c r="R104">
        <v>0.67032999999999998</v>
      </c>
      <c r="S104">
        <v>0.73609999999999998</v>
      </c>
      <c r="T104">
        <v>0.75875000000000004</v>
      </c>
      <c r="U104">
        <v>0.66205999999999998</v>
      </c>
      <c r="V104">
        <v>0.69957999999999998</v>
      </c>
      <c r="W104">
        <v>0.77122000000000002</v>
      </c>
      <c r="X104">
        <v>0.81077999999999995</v>
      </c>
      <c r="Y104">
        <v>0.88005</v>
      </c>
      <c r="Z104">
        <v>0.84033999999999998</v>
      </c>
      <c r="AA104">
        <v>0.89236000000000004</v>
      </c>
      <c r="AB104">
        <v>0.92913000000000001</v>
      </c>
      <c r="AC104">
        <v>1.02315</v>
      </c>
      <c r="AD104">
        <v>1.0497099999999999</v>
      </c>
      <c r="AE104">
        <v>0.93898999999999999</v>
      </c>
      <c r="AF104">
        <v>1.10348</v>
      </c>
      <c r="AG104">
        <v>1.1408400000000001</v>
      </c>
      <c r="AH104">
        <v>1.2219199999999999</v>
      </c>
      <c r="AI104">
        <v>1.21899</v>
      </c>
      <c r="AJ104">
        <v>1.2315700000000001</v>
      </c>
      <c r="AK104">
        <v>1.10077</v>
      </c>
      <c r="AL104">
        <v>1.3191299999999999</v>
      </c>
      <c r="AM104">
        <v>1.43771</v>
      </c>
      <c r="AN104">
        <v>1.25041</v>
      </c>
      <c r="AO104">
        <v>1.50274</v>
      </c>
      <c r="AP104">
        <v>1.5943099999999999</v>
      </c>
      <c r="AQ104">
        <v>1.4324399999999999</v>
      </c>
      <c r="AR104">
        <v>1.64523</v>
      </c>
      <c r="AS104">
        <v>1.68882</v>
      </c>
      <c r="AT104">
        <v>1.72251</v>
      </c>
      <c r="AU104">
        <v>1.7215199999999999</v>
      </c>
      <c r="AV104">
        <v>1.6389100000000001</v>
      </c>
      <c r="AW104">
        <v>2.1085099999999999</v>
      </c>
      <c r="AX104">
        <v>2.1222400000000001</v>
      </c>
      <c r="AY104">
        <v>2.1536</v>
      </c>
      <c r="AZ104">
        <v>2.1731400000000001</v>
      </c>
      <c r="BA104">
        <v>2.1894300000000002</v>
      </c>
      <c r="BB104">
        <v>2.2240799999999998</v>
      </c>
      <c r="BC104">
        <v>2.2494000000000001</v>
      </c>
      <c r="BD104">
        <v>2.2826399999999998</v>
      </c>
      <c r="BE104">
        <v>2.1884100000000002</v>
      </c>
      <c r="BF104">
        <v>2.3694299999999999</v>
      </c>
      <c r="BG104">
        <v>2.3544100000000001</v>
      </c>
      <c r="BH104">
        <v>2.3501799999999999</v>
      </c>
      <c r="BI104">
        <v>2.3395199999999998</v>
      </c>
      <c r="BJ104">
        <v>2.3323999999999998</v>
      </c>
      <c r="BK104">
        <v>2.3299599999999998</v>
      </c>
      <c r="BL104">
        <v>2.3190200000000001</v>
      </c>
      <c r="BM104">
        <v>2.3166699999999998</v>
      </c>
      <c r="BN104">
        <v>2.3111999999999999</v>
      </c>
      <c r="BO104">
        <v>2.24905</v>
      </c>
      <c r="BP104">
        <v>2.31237</v>
      </c>
      <c r="BQ104">
        <v>2.3123800000000001</v>
      </c>
      <c r="BR104">
        <v>2.3047499999999999</v>
      </c>
      <c r="BS104">
        <v>2.30477</v>
      </c>
      <c r="BT104">
        <v>2.2997899999999998</v>
      </c>
      <c r="BW104">
        <v>2.2880199999999999</v>
      </c>
      <c r="BX104">
        <v>2.2898299999999998</v>
      </c>
      <c r="BY104">
        <v>2.2875200000000002</v>
      </c>
      <c r="BZ104">
        <v>2.28139</v>
      </c>
      <c r="CA104">
        <v>2.2814000000000001</v>
      </c>
      <c r="CB104">
        <v>2.2814199999999998</v>
      </c>
      <c r="CC104">
        <v>2.2814299999999998</v>
      </c>
      <c r="CD104">
        <v>2.2814399999999999</v>
      </c>
      <c r="CE104">
        <v>2.27854</v>
      </c>
      <c r="CF104">
        <v>2.2785500000000001</v>
      </c>
      <c r="CG104">
        <v>2.2726000000000002</v>
      </c>
      <c r="CH104">
        <v>2.2692800000000002</v>
      </c>
      <c r="CI104">
        <v>2.2693300000000001</v>
      </c>
      <c r="CJ104">
        <v>2.27108</v>
      </c>
      <c r="CK104">
        <v>2.2726500000000001</v>
      </c>
      <c r="CL104">
        <v>2.2726600000000001</v>
      </c>
      <c r="CM104">
        <v>2.2726700000000002</v>
      </c>
      <c r="CN104">
        <v>2.2726799999999998</v>
      </c>
      <c r="CO104">
        <v>2.2726899999999999</v>
      </c>
      <c r="CP104">
        <v>2.2677</v>
      </c>
      <c r="CQ104">
        <v>2.2677100000000001</v>
      </c>
      <c r="CS104">
        <v>2.2627100000000002</v>
      </c>
      <c r="CT104">
        <v>2.2627199999999998</v>
      </c>
      <c r="CU104">
        <v>2.2627299999999999</v>
      </c>
      <c r="CV104">
        <v>2.2627299999999999</v>
      </c>
      <c r="CW104">
        <v>2.2699500000000001</v>
      </c>
      <c r="CX104">
        <v>2.2699500000000001</v>
      </c>
      <c r="CY104">
        <v>2.25685</v>
      </c>
      <c r="CZ104">
        <v>2.2518799999999999</v>
      </c>
      <c r="DA104">
        <v>2.2468699999999999</v>
      </c>
      <c r="DB104">
        <v>2.2468699999999999</v>
      </c>
      <c r="DC104">
        <v>2.15801</v>
      </c>
    </row>
    <row r="105" spans="1:107" x14ac:dyDescent="0.25">
      <c r="A105">
        <f t="shared" si="1"/>
        <v>2</v>
      </c>
      <c r="B105" s="2">
        <v>42156</v>
      </c>
      <c r="F105">
        <v>0.65283000000000002</v>
      </c>
      <c r="G105">
        <v>0.70409999999999995</v>
      </c>
      <c r="H105">
        <v>0.72014</v>
      </c>
      <c r="I105">
        <v>0.61697000000000002</v>
      </c>
      <c r="J105">
        <v>0.70613000000000004</v>
      </c>
      <c r="K105">
        <v>0.74209000000000003</v>
      </c>
      <c r="L105">
        <v>0.70745999999999998</v>
      </c>
      <c r="M105">
        <v>0.72321000000000002</v>
      </c>
      <c r="N105">
        <v>0.62916000000000005</v>
      </c>
      <c r="O105">
        <v>0.80447000000000002</v>
      </c>
      <c r="P105">
        <v>0.76615</v>
      </c>
      <c r="Q105">
        <v>0.63107000000000002</v>
      </c>
      <c r="R105">
        <v>0.66925999999999997</v>
      </c>
      <c r="S105">
        <v>0.73531000000000002</v>
      </c>
      <c r="T105">
        <v>0.75849999999999995</v>
      </c>
      <c r="U105">
        <v>0.66302000000000005</v>
      </c>
      <c r="V105">
        <v>0.69989999999999997</v>
      </c>
      <c r="W105">
        <v>0.76722000000000001</v>
      </c>
      <c r="X105">
        <v>0.81176000000000004</v>
      </c>
      <c r="Y105">
        <v>0.91398999999999997</v>
      </c>
      <c r="Z105">
        <v>0.85841000000000001</v>
      </c>
      <c r="AA105">
        <v>0.90944000000000003</v>
      </c>
      <c r="AB105">
        <v>0.94303999999999999</v>
      </c>
      <c r="AC105">
        <v>1.03925</v>
      </c>
      <c r="AD105">
        <v>1.07806</v>
      </c>
      <c r="AE105">
        <v>0.95996999999999999</v>
      </c>
      <c r="AF105">
        <v>1.10093</v>
      </c>
      <c r="AG105">
        <v>1.1490199999999999</v>
      </c>
      <c r="AH105">
        <v>1.23969</v>
      </c>
      <c r="AI105">
        <v>1.23627</v>
      </c>
      <c r="AJ105">
        <v>1.2511300000000001</v>
      </c>
      <c r="AK105">
        <v>1.1092500000000001</v>
      </c>
      <c r="AL105">
        <v>1.33857</v>
      </c>
      <c r="AM105">
        <v>1.4535800000000001</v>
      </c>
      <c r="AN105">
        <v>1.26359</v>
      </c>
      <c r="AO105">
        <v>1.5074399999999999</v>
      </c>
      <c r="AP105">
        <v>1.61338</v>
      </c>
      <c r="AQ105">
        <v>1.44198</v>
      </c>
      <c r="AR105">
        <v>1.6637999999999999</v>
      </c>
      <c r="AS105">
        <v>1.70791</v>
      </c>
      <c r="AT105">
        <v>1.7512799999999999</v>
      </c>
      <c r="AU105">
        <v>1.73776</v>
      </c>
      <c r="AV105">
        <v>1.6548700000000001</v>
      </c>
      <c r="AW105">
        <v>2.13062</v>
      </c>
      <c r="AX105">
        <v>2.1391800000000001</v>
      </c>
      <c r="AY105">
        <v>2.17401</v>
      </c>
      <c r="AZ105">
        <v>2.2004600000000001</v>
      </c>
      <c r="BA105">
        <v>2.2057600000000002</v>
      </c>
      <c r="BB105">
        <v>2.25759</v>
      </c>
      <c r="BC105">
        <v>2.2738200000000002</v>
      </c>
      <c r="BD105">
        <v>2.3154599999999999</v>
      </c>
      <c r="BE105">
        <v>2.2096399999999998</v>
      </c>
      <c r="BF105">
        <v>2.3879299999999999</v>
      </c>
      <c r="BG105">
        <v>2.3779599999999999</v>
      </c>
      <c r="BH105">
        <v>2.3746399999999999</v>
      </c>
      <c r="BI105">
        <v>2.3599800000000002</v>
      </c>
      <c r="BJ105">
        <v>2.3515100000000002</v>
      </c>
      <c r="BK105">
        <v>2.35501</v>
      </c>
      <c r="BL105">
        <v>2.3483499999999999</v>
      </c>
      <c r="BM105">
        <v>2.3416999999999999</v>
      </c>
      <c r="BN105">
        <v>2.3366099999999999</v>
      </c>
      <c r="BO105">
        <v>2.2730700000000001</v>
      </c>
      <c r="BP105">
        <v>2.33738</v>
      </c>
      <c r="BQ105">
        <v>2.3373900000000001</v>
      </c>
      <c r="BR105">
        <v>2.3340700000000001</v>
      </c>
      <c r="BS105">
        <v>2.3340800000000002</v>
      </c>
      <c r="BT105">
        <v>2.3251599999999999</v>
      </c>
      <c r="BW105">
        <v>2.3151799999999998</v>
      </c>
      <c r="BX105">
        <v>2.3151899999999999</v>
      </c>
      <c r="BY105">
        <v>2.3081299999999998</v>
      </c>
      <c r="BZ105">
        <v>2.3048099999999998</v>
      </c>
      <c r="CA105">
        <v>2.3048199999999999</v>
      </c>
      <c r="CB105">
        <v>2.3048299999999999</v>
      </c>
      <c r="CC105">
        <v>2.30484</v>
      </c>
      <c r="CD105">
        <v>2.30484</v>
      </c>
      <c r="CE105">
        <v>2.3035399999999999</v>
      </c>
      <c r="CF105">
        <v>2.30355</v>
      </c>
      <c r="CG105">
        <v>2.2990400000000002</v>
      </c>
      <c r="CH105">
        <v>2.2942</v>
      </c>
      <c r="CI105">
        <v>2.2940499999999999</v>
      </c>
      <c r="CJ105">
        <v>2.2940700000000001</v>
      </c>
      <c r="CK105">
        <v>2.2950599999999999</v>
      </c>
      <c r="CL105">
        <v>2.2950699999999999</v>
      </c>
      <c r="CM105">
        <v>2.29508</v>
      </c>
      <c r="CN105">
        <v>2.29508</v>
      </c>
      <c r="CO105">
        <v>2.2950900000000001</v>
      </c>
      <c r="CP105">
        <v>2.2818499999999999</v>
      </c>
      <c r="CQ105">
        <v>2.2900900000000002</v>
      </c>
      <c r="CS105">
        <v>2.2850799999999998</v>
      </c>
      <c r="CT105">
        <v>2.2718699999999998</v>
      </c>
      <c r="CU105">
        <v>2.2718699999999998</v>
      </c>
      <c r="CV105">
        <v>2.2718699999999998</v>
      </c>
      <c r="CW105">
        <v>2.2643800000000001</v>
      </c>
      <c r="CX105">
        <v>2.2643900000000001</v>
      </c>
      <c r="CY105">
        <v>2.2786200000000001</v>
      </c>
      <c r="CZ105">
        <v>2.2736499999999999</v>
      </c>
      <c r="DA105">
        <v>2.2719399999999998</v>
      </c>
      <c r="DB105">
        <v>2.2719399999999998</v>
      </c>
      <c r="DC105">
        <v>2.1794199999999999</v>
      </c>
    </row>
    <row r="106" spans="1:107" x14ac:dyDescent="0.25">
      <c r="A106">
        <f t="shared" si="1"/>
        <v>3</v>
      </c>
      <c r="B106" s="2">
        <v>42157</v>
      </c>
      <c r="F106">
        <v>0.65258000000000005</v>
      </c>
      <c r="G106">
        <v>0.69735000000000003</v>
      </c>
      <c r="H106">
        <v>0.72458</v>
      </c>
      <c r="I106">
        <v>0.64173000000000002</v>
      </c>
      <c r="J106">
        <v>0.70115000000000005</v>
      </c>
      <c r="K106">
        <v>0.74933000000000005</v>
      </c>
      <c r="L106">
        <v>0.72323999999999999</v>
      </c>
      <c r="M106">
        <v>0.73909999999999998</v>
      </c>
      <c r="N106">
        <v>0.65019000000000005</v>
      </c>
      <c r="O106">
        <v>0.81871000000000005</v>
      </c>
      <c r="P106">
        <v>0.78017999999999998</v>
      </c>
      <c r="Q106">
        <v>0.65773000000000004</v>
      </c>
      <c r="R106">
        <v>0.69501000000000002</v>
      </c>
      <c r="S106">
        <v>0.76292000000000004</v>
      </c>
      <c r="T106">
        <v>0.78554000000000002</v>
      </c>
      <c r="U106">
        <v>0.69462000000000002</v>
      </c>
      <c r="V106">
        <v>0.73067000000000004</v>
      </c>
      <c r="W106">
        <v>0.79869999999999997</v>
      </c>
      <c r="X106">
        <v>0.84170999999999996</v>
      </c>
      <c r="Y106">
        <v>0.96765999999999996</v>
      </c>
      <c r="Z106">
        <v>0.91600999999999999</v>
      </c>
      <c r="AA106">
        <v>0.96908000000000005</v>
      </c>
      <c r="AB106">
        <v>1.00698</v>
      </c>
      <c r="AC106">
        <v>1.10111</v>
      </c>
      <c r="AD106">
        <v>1.1314900000000001</v>
      </c>
      <c r="AE106">
        <v>1.0178400000000001</v>
      </c>
      <c r="AF106">
        <v>1.18218</v>
      </c>
      <c r="AG106">
        <v>1.2108699999999999</v>
      </c>
      <c r="AH106">
        <v>1.3021499999999999</v>
      </c>
      <c r="AI106">
        <v>1.2991999999999999</v>
      </c>
      <c r="AJ106">
        <v>1.3144</v>
      </c>
      <c r="AK106">
        <v>1.18204</v>
      </c>
      <c r="AL106">
        <v>1.40167</v>
      </c>
      <c r="AM106">
        <v>1.5267999999999999</v>
      </c>
      <c r="AN106">
        <v>1.33568</v>
      </c>
      <c r="AO106">
        <v>1.58066</v>
      </c>
      <c r="AP106">
        <v>1.6953400000000001</v>
      </c>
      <c r="AQ106">
        <v>1.5239499999999999</v>
      </c>
      <c r="AR106">
        <v>1.7462800000000001</v>
      </c>
      <c r="AS106">
        <v>1.7965199999999999</v>
      </c>
      <c r="AT106">
        <v>1.8369500000000001</v>
      </c>
      <c r="AU106">
        <v>1.82324</v>
      </c>
      <c r="AV106">
        <v>1.73908</v>
      </c>
      <c r="AW106">
        <v>2.2161200000000001</v>
      </c>
      <c r="AX106">
        <v>2.22052</v>
      </c>
      <c r="AY106">
        <v>2.2639900000000002</v>
      </c>
      <c r="AZ106">
        <v>2.27854</v>
      </c>
      <c r="BA106">
        <v>2.2991899999999998</v>
      </c>
      <c r="BB106">
        <v>2.3325200000000001</v>
      </c>
      <c r="BC106">
        <v>2.3524099999999999</v>
      </c>
      <c r="BD106">
        <v>2.3874399999999998</v>
      </c>
      <c r="BE106">
        <v>2.2871199999999998</v>
      </c>
      <c r="BF106">
        <v>2.4621200000000001</v>
      </c>
      <c r="BG106">
        <v>2.4467699999999999</v>
      </c>
      <c r="BH106">
        <v>2.4417900000000001</v>
      </c>
      <c r="BI106">
        <v>2.4321600000000001</v>
      </c>
      <c r="BJ106">
        <v>2.4199899999999999</v>
      </c>
      <c r="BK106">
        <v>2.42408</v>
      </c>
      <c r="BL106">
        <v>2.4119799999999998</v>
      </c>
      <c r="BM106">
        <v>2.4107699999999999</v>
      </c>
      <c r="BN106">
        <v>2.40523</v>
      </c>
      <c r="BO106">
        <v>2.3428100000000001</v>
      </c>
      <c r="BP106">
        <v>2.40612</v>
      </c>
      <c r="BQ106">
        <v>2.4061300000000001</v>
      </c>
      <c r="BR106">
        <v>2.4028100000000001</v>
      </c>
      <c r="BS106">
        <v>2.4028200000000002</v>
      </c>
      <c r="BT106">
        <v>2.3932899999999999</v>
      </c>
      <c r="BW106">
        <v>2.3833099999999998</v>
      </c>
      <c r="BX106">
        <v>2.3833199999999999</v>
      </c>
      <c r="BY106">
        <v>2.37629</v>
      </c>
      <c r="BZ106">
        <v>2.37296</v>
      </c>
      <c r="CA106">
        <v>2.37297</v>
      </c>
      <c r="CB106">
        <v>2.3729800000000001</v>
      </c>
      <c r="CC106">
        <v>2.3729900000000002</v>
      </c>
      <c r="CD106">
        <v>2.3729900000000002</v>
      </c>
      <c r="CE106">
        <v>2.3729300000000002</v>
      </c>
      <c r="CF106">
        <v>2.3729399999999998</v>
      </c>
      <c r="CG106">
        <v>2.3696100000000002</v>
      </c>
      <c r="CH106">
        <v>2.3629500000000001</v>
      </c>
      <c r="CI106">
        <v>2.3621799999999999</v>
      </c>
      <c r="CJ106">
        <v>2.3622200000000002</v>
      </c>
      <c r="CK106">
        <v>2.3622999999999998</v>
      </c>
      <c r="CL106">
        <v>2.3622999999999998</v>
      </c>
      <c r="CM106">
        <v>2.3623099999999999</v>
      </c>
      <c r="CN106">
        <v>2.3623099999999999</v>
      </c>
      <c r="CO106">
        <v>2.36232</v>
      </c>
      <c r="CP106">
        <v>2.35094</v>
      </c>
      <c r="CQ106">
        <v>2.3484400000000001</v>
      </c>
      <c r="CS106">
        <v>2.3523200000000002</v>
      </c>
      <c r="CT106">
        <v>2.3409599999999999</v>
      </c>
      <c r="CU106">
        <v>2.34097</v>
      </c>
      <c r="CV106">
        <v>2.34097</v>
      </c>
      <c r="CW106">
        <v>2.3480599999999998</v>
      </c>
      <c r="CX106">
        <v>2.3480699999999999</v>
      </c>
      <c r="CY106">
        <v>2.3473199999999999</v>
      </c>
      <c r="CZ106">
        <v>2.3309899999999999</v>
      </c>
      <c r="DA106">
        <v>2.34056</v>
      </c>
      <c r="DB106">
        <v>2.34056</v>
      </c>
      <c r="DC106">
        <v>2.24851</v>
      </c>
    </row>
    <row r="107" spans="1:107" x14ac:dyDescent="0.25">
      <c r="A107">
        <f t="shared" si="1"/>
        <v>4</v>
      </c>
      <c r="B107" s="2">
        <v>42158</v>
      </c>
      <c r="F107">
        <v>0.63722000000000001</v>
      </c>
      <c r="G107">
        <v>0.67032999999999998</v>
      </c>
      <c r="H107">
        <v>0.69194</v>
      </c>
      <c r="I107">
        <v>0.64373999999999998</v>
      </c>
      <c r="J107">
        <v>0.69586999999999999</v>
      </c>
      <c r="K107">
        <v>0.75063999999999997</v>
      </c>
      <c r="L107">
        <v>0.75061</v>
      </c>
      <c r="M107">
        <v>0.74075000000000002</v>
      </c>
      <c r="N107">
        <v>0.66418999999999995</v>
      </c>
      <c r="O107">
        <v>0.83614999999999995</v>
      </c>
      <c r="P107">
        <v>0.82179000000000002</v>
      </c>
      <c r="Q107">
        <v>0.69542999999999999</v>
      </c>
      <c r="R107">
        <v>0.71745999999999999</v>
      </c>
      <c r="S107">
        <v>0.78725000000000001</v>
      </c>
      <c r="T107">
        <v>0.81028</v>
      </c>
      <c r="U107">
        <v>0.72787999999999997</v>
      </c>
      <c r="V107">
        <v>0.76429000000000002</v>
      </c>
      <c r="W107">
        <v>0.82937000000000005</v>
      </c>
      <c r="X107">
        <v>0.87941999999999998</v>
      </c>
      <c r="Y107">
        <v>1.00624</v>
      </c>
      <c r="Z107">
        <v>0.95709</v>
      </c>
      <c r="AA107">
        <v>1.0086999999999999</v>
      </c>
      <c r="AB107">
        <v>1.04742</v>
      </c>
      <c r="AC107">
        <v>1.15093</v>
      </c>
      <c r="AD107">
        <v>1.19309</v>
      </c>
      <c r="AE107">
        <v>1.07128</v>
      </c>
      <c r="AF107">
        <v>1.23529</v>
      </c>
      <c r="AG107">
        <v>1.27484</v>
      </c>
      <c r="AH107">
        <v>1.3585499999999999</v>
      </c>
      <c r="AI107">
        <v>1.3543099999999999</v>
      </c>
      <c r="AJ107">
        <v>1.37293</v>
      </c>
      <c r="AK107">
        <v>1.2256800000000001</v>
      </c>
      <c r="AL107">
        <v>1.4611099999999999</v>
      </c>
      <c r="AM107">
        <v>1.5950500000000001</v>
      </c>
      <c r="AN107">
        <v>1.39839</v>
      </c>
      <c r="AO107">
        <v>1.6557599999999999</v>
      </c>
      <c r="AP107">
        <v>1.7662899999999999</v>
      </c>
      <c r="AQ107">
        <v>1.6006899999999999</v>
      </c>
      <c r="AR107">
        <v>1.81674</v>
      </c>
      <c r="AS107">
        <v>1.86961</v>
      </c>
      <c r="AT107">
        <v>1.91113</v>
      </c>
      <c r="AU107">
        <v>1.89896</v>
      </c>
      <c r="AV107">
        <v>1.81212</v>
      </c>
      <c r="AW107">
        <v>2.2890899999999998</v>
      </c>
      <c r="AX107">
        <v>2.2942</v>
      </c>
      <c r="AY107">
        <v>2.3330000000000002</v>
      </c>
      <c r="AZ107">
        <v>2.35005</v>
      </c>
      <c r="BA107">
        <v>2.3644799999999999</v>
      </c>
      <c r="BB107">
        <v>2.4069199999999999</v>
      </c>
      <c r="BC107">
        <v>2.4264100000000002</v>
      </c>
      <c r="BD107">
        <v>2.4595400000000001</v>
      </c>
      <c r="BE107">
        <v>2.3668800000000001</v>
      </c>
      <c r="BF107">
        <v>2.5357400000000001</v>
      </c>
      <c r="BG107">
        <v>2.51979</v>
      </c>
      <c r="BH107">
        <v>2.51126</v>
      </c>
      <c r="BI107">
        <v>2.50589</v>
      </c>
      <c r="BJ107">
        <v>2.4926400000000002</v>
      </c>
      <c r="BK107">
        <v>2.5064799999999998</v>
      </c>
      <c r="BL107">
        <v>2.4860500000000001</v>
      </c>
      <c r="BM107">
        <v>2.4860000000000002</v>
      </c>
      <c r="BN107">
        <v>2.4804400000000002</v>
      </c>
      <c r="BO107">
        <v>2.4200499999999998</v>
      </c>
      <c r="BP107">
        <v>2.48136</v>
      </c>
      <c r="BQ107">
        <v>2.4813800000000001</v>
      </c>
      <c r="BR107">
        <v>2.4845999999999999</v>
      </c>
      <c r="BS107">
        <v>2.48461</v>
      </c>
      <c r="BT107">
        <v>2.4685299999999999</v>
      </c>
      <c r="BW107">
        <v>2.4585599999999999</v>
      </c>
      <c r="BX107">
        <v>2.4615</v>
      </c>
      <c r="BY107">
        <v>2.4535900000000002</v>
      </c>
      <c r="BZ107">
        <v>2.44679</v>
      </c>
      <c r="CA107">
        <v>2.4468100000000002</v>
      </c>
      <c r="CB107">
        <v>2.4468200000000002</v>
      </c>
      <c r="CC107">
        <v>2.4468299999999998</v>
      </c>
      <c r="CD107">
        <v>2.4468399999999999</v>
      </c>
      <c r="CE107">
        <v>2.4453399999999998</v>
      </c>
      <c r="CF107">
        <v>2.4453499999999999</v>
      </c>
      <c r="CG107">
        <v>2.4426899999999998</v>
      </c>
      <c r="CH107">
        <v>2.44096</v>
      </c>
      <c r="CI107">
        <v>2.4363899999999998</v>
      </c>
      <c r="CJ107">
        <v>2.4342899999999998</v>
      </c>
      <c r="CK107">
        <v>2.4327399999999999</v>
      </c>
      <c r="CL107">
        <v>2.43275</v>
      </c>
      <c r="CM107">
        <v>2.43276</v>
      </c>
      <c r="CN107">
        <v>2.4327700000000001</v>
      </c>
      <c r="CO107">
        <v>2.4343400000000002</v>
      </c>
      <c r="CP107">
        <v>2.4252899999999999</v>
      </c>
      <c r="CQ107">
        <v>2.4228000000000001</v>
      </c>
      <c r="CS107">
        <v>2.4262999999999999</v>
      </c>
      <c r="CT107">
        <v>2.41533</v>
      </c>
      <c r="CU107">
        <v>2.41533</v>
      </c>
      <c r="CV107">
        <v>2.41534</v>
      </c>
      <c r="CW107">
        <v>2.4238200000000001</v>
      </c>
      <c r="CX107">
        <v>2.4238300000000002</v>
      </c>
      <c r="CY107">
        <v>2.4213200000000001</v>
      </c>
      <c r="CZ107">
        <v>2.40537</v>
      </c>
      <c r="DA107">
        <v>2.4154499999999999</v>
      </c>
      <c r="DB107">
        <v>2.4154499999999999</v>
      </c>
      <c r="DC107">
        <v>2.3195000000000001</v>
      </c>
    </row>
    <row r="108" spans="1:107" x14ac:dyDescent="0.25">
      <c r="A108">
        <f t="shared" si="1"/>
        <v>5</v>
      </c>
      <c r="B108" s="2">
        <v>42159</v>
      </c>
      <c r="F108">
        <v>0.62170000000000003</v>
      </c>
      <c r="G108">
        <v>0.65364999999999995</v>
      </c>
      <c r="H108">
        <v>0.67808000000000002</v>
      </c>
      <c r="I108">
        <v>0.60128999999999999</v>
      </c>
      <c r="J108">
        <v>0.67129000000000005</v>
      </c>
      <c r="K108">
        <v>0.70330999999999999</v>
      </c>
      <c r="L108">
        <v>0.71257000000000004</v>
      </c>
      <c r="M108">
        <v>0.71501999999999999</v>
      </c>
      <c r="N108">
        <v>0.63093999999999995</v>
      </c>
      <c r="O108">
        <v>0.79042000000000001</v>
      </c>
      <c r="P108">
        <v>0.7823</v>
      </c>
      <c r="Q108">
        <v>0.65841000000000005</v>
      </c>
      <c r="R108">
        <v>0.68084</v>
      </c>
      <c r="S108">
        <v>0.74990000000000001</v>
      </c>
      <c r="T108">
        <v>0.77354999999999996</v>
      </c>
      <c r="U108">
        <v>0.68623000000000001</v>
      </c>
      <c r="V108">
        <v>0.72219999999999995</v>
      </c>
      <c r="W108">
        <v>0.78879999999999995</v>
      </c>
      <c r="X108">
        <v>0.83840999999999999</v>
      </c>
      <c r="Y108">
        <v>0.95970999999999995</v>
      </c>
      <c r="Z108">
        <v>0.90886999999999996</v>
      </c>
      <c r="AA108">
        <v>0.95940000000000003</v>
      </c>
      <c r="AB108">
        <v>0.99766999999999995</v>
      </c>
      <c r="AC108">
        <v>1.0961799999999999</v>
      </c>
      <c r="AD108">
        <v>1.13811</v>
      </c>
      <c r="AE108">
        <v>1.0125299999999999</v>
      </c>
      <c r="AF108">
        <v>1.18127</v>
      </c>
      <c r="AG108">
        <v>1.2207600000000001</v>
      </c>
      <c r="AH108">
        <v>1.3068</v>
      </c>
      <c r="AI108">
        <v>1.30359</v>
      </c>
      <c r="AJ108">
        <v>1.3207500000000001</v>
      </c>
      <c r="AK108">
        <v>1.18557</v>
      </c>
      <c r="AL108">
        <v>1.40916</v>
      </c>
      <c r="AM108">
        <v>1.54175</v>
      </c>
      <c r="AN108">
        <v>1.357</v>
      </c>
      <c r="AO108">
        <v>1.6030500000000001</v>
      </c>
      <c r="AP108">
        <v>1.7142599999999999</v>
      </c>
      <c r="AQ108">
        <v>1.5490699999999999</v>
      </c>
      <c r="AR108">
        <v>1.76461</v>
      </c>
      <c r="AS108">
        <v>1.8169999999999999</v>
      </c>
      <c r="AT108">
        <v>1.85764</v>
      </c>
      <c r="AU108">
        <v>1.8450299999999999</v>
      </c>
      <c r="AV108">
        <v>1.75868</v>
      </c>
      <c r="AW108">
        <v>2.238</v>
      </c>
      <c r="AX108">
        <v>2.24356</v>
      </c>
      <c r="AY108">
        <v>2.2887200000000001</v>
      </c>
      <c r="AZ108">
        <v>2.29881</v>
      </c>
      <c r="BA108">
        <v>2.3193999999999999</v>
      </c>
      <c r="BB108">
        <v>2.3527499999999999</v>
      </c>
      <c r="BC108">
        <v>2.38036</v>
      </c>
      <c r="BD108">
        <v>2.4200200000000001</v>
      </c>
      <c r="BE108">
        <v>2.3247399999999998</v>
      </c>
      <c r="BF108">
        <v>2.4897800000000001</v>
      </c>
      <c r="BG108">
        <v>2.4751699999999999</v>
      </c>
      <c r="BH108">
        <v>2.4728500000000002</v>
      </c>
      <c r="BI108">
        <v>2.4575499999999999</v>
      </c>
      <c r="BJ108">
        <v>2.4496199999999999</v>
      </c>
      <c r="BK108">
        <v>2.45425</v>
      </c>
      <c r="BL108">
        <v>2.4476</v>
      </c>
      <c r="BM108">
        <v>2.4409700000000001</v>
      </c>
      <c r="BN108">
        <v>2.4349699999999999</v>
      </c>
      <c r="BO108">
        <v>2.3746900000000002</v>
      </c>
      <c r="BP108">
        <v>2.4369999999999998</v>
      </c>
      <c r="BQ108">
        <v>2.4370099999999999</v>
      </c>
      <c r="BR108">
        <v>2.4390200000000002</v>
      </c>
      <c r="BS108">
        <v>2.4390299999999998</v>
      </c>
      <c r="BT108">
        <v>2.4240599999999999</v>
      </c>
      <c r="BW108">
        <v>2.4140899999999998</v>
      </c>
      <c r="BX108">
        <v>2.41411</v>
      </c>
      <c r="BY108">
        <v>2.4064800000000002</v>
      </c>
      <c r="BZ108">
        <v>2.4031699999999998</v>
      </c>
      <c r="CA108">
        <v>2.4031799999999999</v>
      </c>
      <c r="CB108">
        <v>2.4031899999999999</v>
      </c>
      <c r="CC108">
        <v>2.4032</v>
      </c>
      <c r="CD108">
        <v>2.4032200000000001</v>
      </c>
      <c r="CE108">
        <v>2.4032300000000002</v>
      </c>
      <c r="CF108">
        <v>2.4032399999999998</v>
      </c>
      <c r="CG108">
        <v>2.3982299999999999</v>
      </c>
      <c r="CH108">
        <v>2.3939300000000001</v>
      </c>
      <c r="CI108">
        <v>2.3933200000000001</v>
      </c>
      <c r="CJ108">
        <v>2.3926699999999999</v>
      </c>
      <c r="CK108">
        <v>2.39235</v>
      </c>
      <c r="CL108">
        <v>2.39236</v>
      </c>
      <c r="CM108">
        <v>2.39236</v>
      </c>
      <c r="CN108">
        <v>2.3923700000000001</v>
      </c>
      <c r="CO108">
        <v>2.3923800000000002</v>
      </c>
      <c r="CP108">
        <v>2.3808199999999999</v>
      </c>
      <c r="CQ108">
        <v>2.3783300000000001</v>
      </c>
      <c r="CS108">
        <v>2.3708499999999999</v>
      </c>
      <c r="CT108">
        <v>2.37086</v>
      </c>
      <c r="CU108">
        <v>2.37087</v>
      </c>
      <c r="CV108">
        <v>2.3708800000000001</v>
      </c>
      <c r="CW108">
        <v>2.39344</v>
      </c>
      <c r="CX108">
        <v>2.3934500000000001</v>
      </c>
      <c r="CY108">
        <v>2.3771100000000001</v>
      </c>
      <c r="CZ108">
        <v>2.3609100000000001</v>
      </c>
      <c r="DA108">
        <v>2.37087</v>
      </c>
      <c r="DB108">
        <v>2.37087</v>
      </c>
      <c r="DC108">
        <v>2.27447</v>
      </c>
    </row>
    <row r="109" spans="1:107" x14ac:dyDescent="0.25">
      <c r="A109">
        <f t="shared" si="1"/>
        <v>6</v>
      </c>
      <c r="B109" s="2">
        <v>42160</v>
      </c>
      <c r="F109">
        <v>0.63070000000000004</v>
      </c>
      <c r="G109">
        <v>0.66342999999999996</v>
      </c>
      <c r="H109">
        <v>0.68611</v>
      </c>
      <c r="I109">
        <v>0.63029000000000002</v>
      </c>
      <c r="J109">
        <v>0.68106</v>
      </c>
      <c r="K109">
        <v>0.76022999999999996</v>
      </c>
      <c r="L109">
        <v>0.75897999999999999</v>
      </c>
      <c r="M109">
        <v>0.75753000000000004</v>
      </c>
      <c r="N109">
        <v>0.68418999999999996</v>
      </c>
      <c r="O109">
        <v>0.85033999999999998</v>
      </c>
      <c r="P109">
        <v>0.83594999999999997</v>
      </c>
      <c r="Q109">
        <v>0.72241</v>
      </c>
      <c r="R109">
        <v>0.75260000000000005</v>
      </c>
      <c r="S109">
        <v>0.81342000000000003</v>
      </c>
      <c r="T109">
        <v>0.83708000000000005</v>
      </c>
      <c r="U109">
        <v>0.75439999999999996</v>
      </c>
      <c r="V109">
        <v>0.79017000000000004</v>
      </c>
      <c r="W109">
        <v>0.85653999999999997</v>
      </c>
      <c r="X109">
        <v>0.90168999999999999</v>
      </c>
      <c r="Y109">
        <v>1.03538</v>
      </c>
      <c r="Z109">
        <v>0.99094000000000004</v>
      </c>
      <c r="AA109">
        <v>1.0413699999999999</v>
      </c>
      <c r="AB109">
        <v>1.0702400000000001</v>
      </c>
      <c r="AC109">
        <v>1.1765300000000001</v>
      </c>
      <c r="AD109">
        <v>1.2206600000000001</v>
      </c>
      <c r="AE109">
        <v>1.1020300000000001</v>
      </c>
      <c r="AF109">
        <v>1.25536</v>
      </c>
      <c r="AG109">
        <v>1.2941</v>
      </c>
      <c r="AH109">
        <v>1.39456</v>
      </c>
      <c r="AI109">
        <v>1.39299</v>
      </c>
      <c r="AJ109">
        <v>1.4048799999999999</v>
      </c>
      <c r="AK109">
        <v>1.2741</v>
      </c>
      <c r="AL109">
        <v>1.4944999999999999</v>
      </c>
      <c r="AM109">
        <v>1.6349899999999999</v>
      </c>
      <c r="AN109">
        <v>1.4354100000000001</v>
      </c>
      <c r="AO109">
        <v>1.6950700000000001</v>
      </c>
      <c r="AP109">
        <v>1.81074</v>
      </c>
      <c r="AQ109">
        <v>1.6416500000000001</v>
      </c>
      <c r="AR109">
        <v>1.8571299999999999</v>
      </c>
      <c r="AS109">
        <v>1.9112899999999999</v>
      </c>
      <c r="AT109">
        <v>1.94753</v>
      </c>
      <c r="AU109">
        <v>1.9574100000000001</v>
      </c>
      <c r="AV109">
        <v>1.8476999999999999</v>
      </c>
      <c r="AW109">
        <v>2.3205900000000002</v>
      </c>
      <c r="AX109">
        <v>2.3243200000000002</v>
      </c>
      <c r="AY109">
        <v>2.3681299999999998</v>
      </c>
      <c r="AZ109">
        <v>2.3868100000000001</v>
      </c>
      <c r="BA109">
        <v>2.4073199999999999</v>
      </c>
      <c r="BB109">
        <v>2.4348800000000002</v>
      </c>
      <c r="BC109">
        <v>2.45431</v>
      </c>
      <c r="BD109">
        <v>2.48861</v>
      </c>
      <c r="BE109">
        <v>2.39</v>
      </c>
      <c r="BF109">
        <v>2.55172</v>
      </c>
      <c r="BG109">
        <v>2.5371100000000002</v>
      </c>
      <c r="BH109">
        <v>2.5341300000000002</v>
      </c>
      <c r="BI109">
        <v>2.5188199999999998</v>
      </c>
      <c r="BJ109">
        <v>2.5105499999999998</v>
      </c>
      <c r="BK109">
        <v>2.5145300000000002</v>
      </c>
      <c r="BL109">
        <v>2.5078800000000001</v>
      </c>
      <c r="BM109">
        <v>2.5012500000000002</v>
      </c>
      <c r="BN109">
        <v>2.4954200000000002</v>
      </c>
      <c r="BO109">
        <v>2.4293</v>
      </c>
      <c r="BP109">
        <v>2.4969399999999999</v>
      </c>
      <c r="BQ109">
        <v>2.4969600000000001</v>
      </c>
      <c r="BR109">
        <v>2.4936500000000001</v>
      </c>
      <c r="BS109">
        <v>2.4936699999999998</v>
      </c>
      <c r="BT109">
        <v>2.4840100000000001</v>
      </c>
      <c r="BW109">
        <v>2.4740500000000001</v>
      </c>
      <c r="BX109">
        <v>2.4740600000000001</v>
      </c>
      <c r="BY109">
        <v>2.4670899999999998</v>
      </c>
      <c r="BZ109">
        <v>2.4637799999999999</v>
      </c>
      <c r="CA109">
        <v>2.4637899999999999</v>
      </c>
      <c r="CB109">
        <v>2.4638100000000001</v>
      </c>
      <c r="CC109">
        <v>2.4638200000000001</v>
      </c>
      <c r="CD109">
        <v>2.4638300000000002</v>
      </c>
      <c r="CE109">
        <v>2.4638399999999998</v>
      </c>
      <c r="CF109">
        <v>2.4638499999999999</v>
      </c>
      <c r="CG109">
        <v>2.4605299999999999</v>
      </c>
      <c r="CH109">
        <v>2.4538799999999998</v>
      </c>
      <c r="CI109">
        <v>2.4532600000000002</v>
      </c>
      <c r="CJ109">
        <v>2.4532699999999998</v>
      </c>
      <c r="CK109">
        <v>2.4532799999999999</v>
      </c>
      <c r="CL109">
        <v>2.45329</v>
      </c>
      <c r="CM109">
        <v>2.4533</v>
      </c>
      <c r="CN109">
        <v>2.4533100000000001</v>
      </c>
      <c r="CO109">
        <v>2.4533200000000002</v>
      </c>
      <c r="CP109">
        <v>2.4417800000000001</v>
      </c>
      <c r="CQ109">
        <v>2.4392800000000001</v>
      </c>
      <c r="CS109">
        <v>2.43181</v>
      </c>
      <c r="CT109">
        <v>2.4389699999999999</v>
      </c>
      <c r="CU109">
        <v>2.4389799999999999</v>
      </c>
      <c r="CV109">
        <v>2.43899</v>
      </c>
      <c r="CW109">
        <v>2.4380700000000002</v>
      </c>
      <c r="CX109">
        <v>2.4380799999999998</v>
      </c>
      <c r="CY109">
        <v>2.4368599999999998</v>
      </c>
      <c r="CZ109">
        <v>2.4218600000000001</v>
      </c>
      <c r="DA109">
        <v>2.4278300000000002</v>
      </c>
      <c r="DB109">
        <v>2.4278400000000002</v>
      </c>
      <c r="DC109">
        <v>2.3334000000000001</v>
      </c>
    </row>
    <row r="110" spans="1:107" x14ac:dyDescent="0.25">
      <c r="A110">
        <f t="shared" si="1"/>
        <v>2</v>
      </c>
      <c r="B110" s="2">
        <v>42163</v>
      </c>
      <c r="F110">
        <v>0.65003</v>
      </c>
      <c r="G110">
        <v>0.67654999999999998</v>
      </c>
      <c r="H110">
        <v>0.70142000000000004</v>
      </c>
      <c r="I110">
        <v>0.74312</v>
      </c>
      <c r="J110">
        <v>0.69603000000000004</v>
      </c>
      <c r="K110">
        <v>0.76483000000000001</v>
      </c>
      <c r="L110">
        <v>0.76114999999999999</v>
      </c>
      <c r="M110">
        <v>0.75690999999999997</v>
      </c>
      <c r="N110">
        <v>0.68150999999999995</v>
      </c>
      <c r="O110">
        <v>0.85006000000000004</v>
      </c>
      <c r="P110">
        <v>0.81727000000000005</v>
      </c>
      <c r="Q110">
        <v>0.72048000000000001</v>
      </c>
      <c r="R110">
        <v>0.74885999999999997</v>
      </c>
      <c r="S110">
        <v>0.8075</v>
      </c>
      <c r="T110">
        <v>0.83082999999999996</v>
      </c>
      <c r="U110">
        <v>0.74521000000000004</v>
      </c>
      <c r="V110">
        <v>0.78325999999999996</v>
      </c>
      <c r="W110">
        <v>0.85040000000000004</v>
      </c>
      <c r="X110">
        <v>0.90093999999999996</v>
      </c>
      <c r="Y110">
        <v>1.02566</v>
      </c>
      <c r="Z110">
        <v>0.97757000000000005</v>
      </c>
      <c r="AA110">
        <v>1.02894</v>
      </c>
      <c r="AB110">
        <v>1.0704899999999999</v>
      </c>
      <c r="AC110">
        <v>1.1654199999999999</v>
      </c>
      <c r="AD110">
        <v>1.20994</v>
      </c>
      <c r="AE110">
        <v>1.07843</v>
      </c>
      <c r="AF110">
        <v>1.2532399999999999</v>
      </c>
      <c r="AG110">
        <v>1.29162</v>
      </c>
      <c r="AH110">
        <v>1.38449</v>
      </c>
      <c r="AI110">
        <v>1.38</v>
      </c>
      <c r="AJ110">
        <v>1.3957299999999999</v>
      </c>
      <c r="AK110">
        <v>1.2489600000000001</v>
      </c>
      <c r="AL110">
        <v>1.4841200000000001</v>
      </c>
      <c r="AM110">
        <v>1.6260699999999999</v>
      </c>
      <c r="AN110">
        <v>1.4204300000000001</v>
      </c>
      <c r="AO110">
        <v>1.6820999999999999</v>
      </c>
      <c r="AP110">
        <v>1.7999099999999999</v>
      </c>
      <c r="AQ110">
        <v>1.6276200000000001</v>
      </c>
      <c r="AR110">
        <v>1.8462499999999999</v>
      </c>
      <c r="AS110">
        <v>1.9035299999999999</v>
      </c>
      <c r="AT110">
        <v>1.94055</v>
      </c>
      <c r="AU110">
        <v>1.9561200000000001</v>
      </c>
      <c r="AV110">
        <v>1.83744</v>
      </c>
      <c r="AW110">
        <v>2.31813</v>
      </c>
      <c r="AX110">
        <v>2.3120699999999998</v>
      </c>
      <c r="AY110">
        <v>2.35833</v>
      </c>
      <c r="AZ110">
        <v>2.3788299999999998</v>
      </c>
      <c r="BA110">
        <v>2.3938299999999999</v>
      </c>
      <c r="BB110">
        <v>2.43092</v>
      </c>
      <c r="BC110">
        <v>2.4508700000000001</v>
      </c>
      <c r="BD110">
        <v>2.48359</v>
      </c>
      <c r="BE110">
        <v>2.39174</v>
      </c>
      <c r="BF110">
        <v>2.5527199999999999</v>
      </c>
      <c r="BG110">
        <v>2.5379200000000002</v>
      </c>
      <c r="BH110">
        <v>2.5299499999999999</v>
      </c>
      <c r="BI110">
        <v>2.52277</v>
      </c>
      <c r="BJ110">
        <v>2.5143200000000001</v>
      </c>
      <c r="BK110">
        <v>2.51431</v>
      </c>
      <c r="BL110">
        <v>2.5023399999999998</v>
      </c>
      <c r="BM110">
        <v>2.50101</v>
      </c>
      <c r="BN110">
        <v>2.4958399999999998</v>
      </c>
      <c r="BO110">
        <v>2.4257</v>
      </c>
      <c r="BP110">
        <v>2.4963600000000001</v>
      </c>
      <c r="BQ110">
        <v>2.4963700000000002</v>
      </c>
      <c r="BR110">
        <v>2.4930500000000002</v>
      </c>
      <c r="BS110">
        <v>2.4930599999999998</v>
      </c>
      <c r="BT110">
        <v>2.4839000000000002</v>
      </c>
      <c r="BW110">
        <v>2.4739200000000001</v>
      </c>
      <c r="BX110">
        <v>2.4739300000000002</v>
      </c>
      <c r="BY110">
        <v>2.4671099999999999</v>
      </c>
      <c r="BZ110">
        <v>2.4637899999999999</v>
      </c>
      <c r="CA110">
        <v>2.4638</v>
      </c>
      <c r="CB110">
        <v>2.4638</v>
      </c>
      <c r="CC110">
        <v>2.4638100000000001</v>
      </c>
      <c r="CD110">
        <v>2.4638200000000001</v>
      </c>
      <c r="CE110">
        <v>2.4631599999999998</v>
      </c>
      <c r="CF110">
        <v>2.4631699999999999</v>
      </c>
      <c r="CG110">
        <v>2.4565100000000002</v>
      </c>
      <c r="CH110">
        <v>2.4531900000000002</v>
      </c>
      <c r="CI110">
        <v>2.4525399999999999</v>
      </c>
      <c r="CJ110">
        <v>2.4528799999999999</v>
      </c>
      <c r="CK110">
        <v>2.4535499999999999</v>
      </c>
      <c r="CL110">
        <v>2.4535499999999999</v>
      </c>
      <c r="CM110">
        <v>2.45356</v>
      </c>
      <c r="CN110">
        <v>2.45357</v>
      </c>
      <c r="CO110">
        <v>2.45357</v>
      </c>
      <c r="CP110">
        <v>2.44156</v>
      </c>
      <c r="CQ110">
        <v>2.43906</v>
      </c>
      <c r="CS110">
        <v>2.4435699999999998</v>
      </c>
      <c r="CT110">
        <v>2.4315799999999999</v>
      </c>
      <c r="CU110">
        <v>2.4315799999999999</v>
      </c>
      <c r="CV110">
        <v>2.4315899999999999</v>
      </c>
      <c r="CW110">
        <v>2.4388100000000001</v>
      </c>
      <c r="CX110">
        <v>2.4388100000000001</v>
      </c>
      <c r="CY110">
        <v>2.4375499999999999</v>
      </c>
      <c r="CZ110">
        <v>2.4216099999999998</v>
      </c>
      <c r="DA110">
        <v>2.4312999999999998</v>
      </c>
      <c r="DB110">
        <v>2.4312999999999998</v>
      </c>
      <c r="DC110">
        <v>2.3369900000000001</v>
      </c>
    </row>
    <row r="111" spans="1:107" x14ac:dyDescent="0.25">
      <c r="A111">
        <f t="shared" si="1"/>
        <v>3</v>
      </c>
      <c r="B111" s="2">
        <v>42164</v>
      </c>
      <c r="F111">
        <v>0.64493</v>
      </c>
      <c r="G111">
        <v>0.67501</v>
      </c>
      <c r="H111">
        <v>0.70611999999999997</v>
      </c>
      <c r="I111">
        <v>0.80350999999999995</v>
      </c>
      <c r="J111">
        <v>0.70094999999999996</v>
      </c>
      <c r="K111">
        <v>0.78896999999999995</v>
      </c>
      <c r="L111">
        <v>0.75722999999999996</v>
      </c>
      <c r="M111">
        <v>0.76881999999999995</v>
      </c>
      <c r="N111">
        <v>0.70291999999999999</v>
      </c>
      <c r="O111">
        <v>0.86014000000000002</v>
      </c>
      <c r="P111">
        <v>0.82596999999999998</v>
      </c>
      <c r="Q111">
        <v>0.73428000000000004</v>
      </c>
      <c r="R111">
        <v>0.76942999999999995</v>
      </c>
      <c r="S111">
        <v>0.85577000000000003</v>
      </c>
      <c r="T111">
        <v>0.85901000000000005</v>
      </c>
      <c r="U111">
        <v>0.78269999999999995</v>
      </c>
      <c r="V111">
        <v>0.81547000000000003</v>
      </c>
      <c r="W111">
        <v>0.88239999999999996</v>
      </c>
      <c r="X111">
        <v>0.92535000000000001</v>
      </c>
      <c r="Y111">
        <v>1.06054</v>
      </c>
      <c r="Z111">
        <v>1.0138100000000001</v>
      </c>
      <c r="AA111">
        <v>1.07426</v>
      </c>
      <c r="AB111">
        <v>1.0948</v>
      </c>
      <c r="AC111">
        <v>1.20834</v>
      </c>
      <c r="AD111">
        <v>1.23308</v>
      </c>
      <c r="AE111">
        <v>1.13611</v>
      </c>
      <c r="AF111">
        <v>1.2881400000000001</v>
      </c>
      <c r="AG111">
        <v>1.3357300000000001</v>
      </c>
      <c r="AH111">
        <v>1.4374499999999999</v>
      </c>
      <c r="AI111">
        <v>1.43336</v>
      </c>
      <c r="AJ111">
        <v>1.4470700000000001</v>
      </c>
      <c r="AK111">
        <v>1.30532</v>
      </c>
      <c r="AL111">
        <v>1.5371999999999999</v>
      </c>
      <c r="AM111">
        <v>1.6806000000000001</v>
      </c>
      <c r="AN111">
        <v>1.4798899999999999</v>
      </c>
      <c r="AO111">
        <v>1.7409399999999999</v>
      </c>
      <c r="AP111">
        <v>1.8518699999999999</v>
      </c>
      <c r="AQ111">
        <v>1.68618</v>
      </c>
      <c r="AR111">
        <v>1.9032199999999999</v>
      </c>
      <c r="AS111">
        <v>1.9660299999999999</v>
      </c>
      <c r="AT111">
        <v>2.0048400000000002</v>
      </c>
      <c r="AU111">
        <v>1.9953099999999999</v>
      </c>
      <c r="AV111">
        <v>1.8994200000000001</v>
      </c>
      <c r="AW111">
        <v>2.36911</v>
      </c>
      <c r="AX111">
        <v>2.3802300000000001</v>
      </c>
      <c r="AY111">
        <v>2.41045</v>
      </c>
      <c r="AZ111">
        <v>2.43119</v>
      </c>
      <c r="BA111">
        <v>2.4473400000000001</v>
      </c>
      <c r="BB111">
        <v>2.4868399999999999</v>
      </c>
      <c r="BC111">
        <v>2.5021599999999999</v>
      </c>
      <c r="BD111">
        <v>2.5358700000000001</v>
      </c>
      <c r="BE111">
        <v>2.4466100000000002</v>
      </c>
      <c r="BF111">
        <v>2.6045500000000001</v>
      </c>
      <c r="BG111">
        <v>2.58765</v>
      </c>
      <c r="BH111">
        <v>2.5857199999999998</v>
      </c>
      <c r="BI111">
        <v>2.57741</v>
      </c>
      <c r="BJ111">
        <v>2.5660099999999999</v>
      </c>
      <c r="BK111">
        <v>2.5637099999999999</v>
      </c>
      <c r="BL111">
        <v>2.5449700000000002</v>
      </c>
      <c r="BM111">
        <v>2.54548</v>
      </c>
      <c r="BN111">
        <v>2.5441099999999999</v>
      </c>
      <c r="BO111">
        <v>2.4763799999999998</v>
      </c>
      <c r="BP111">
        <v>2.5403199999999999</v>
      </c>
      <c r="BQ111">
        <v>2.54033</v>
      </c>
      <c r="BR111">
        <v>2.5424500000000001</v>
      </c>
      <c r="BS111">
        <v>2.5424600000000002</v>
      </c>
      <c r="BT111">
        <v>2.5321699999999998</v>
      </c>
      <c r="BW111">
        <v>2.5194999999999999</v>
      </c>
      <c r="BX111">
        <v>2.5222000000000002</v>
      </c>
      <c r="BY111">
        <v>2.5161899999999999</v>
      </c>
      <c r="BZ111">
        <v>2.5128599999999999</v>
      </c>
      <c r="CA111">
        <v>2.5128699999999999</v>
      </c>
      <c r="CB111">
        <v>2.51288</v>
      </c>
      <c r="CC111">
        <v>2.5153099999999999</v>
      </c>
      <c r="CD111">
        <v>2.5153099999999999</v>
      </c>
      <c r="CE111">
        <v>2.5146199999999999</v>
      </c>
      <c r="CF111">
        <v>2.5146299999999999</v>
      </c>
      <c r="CG111">
        <v>2.5112999999999999</v>
      </c>
      <c r="CH111">
        <v>2.5048699999999999</v>
      </c>
      <c r="CI111">
        <v>2.4992800000000002</v>
      </c>
      <c r="CJ111">
        <v>2.5018600000000002</v>
      </c>
      <c r="CK111">
        <v>2.4973000000000001</v>
      </c>
      <c r="CL111">
        <v>2.4973100000000001</v>
      </c>
      <c r="CM111">
        <v>2.4973100000000001</v>
      </c>
      <c r="CN111">
        <v>2.4973200000000002</v>
      </c>
      <c r="CO111">
        <v>2.5011899999999998</v>
      </c>
      <c r="CP111">
        <v>2.4928900000000001</v>
      </c>
      <c r="CQ111">
        <v>2.4962</v>
      </c>
      <c r="CS111">
        <v>2.48291</v>
      </c>
      <c r="CT111">
        <v>2.48292</v>
      </c>
      <c r="CU111">
        <v>2.48292</v>
      </c>
      <c r="CV111">
        <v>2.4829300000000001</v>
      </c>
      <c r="CW111">
        <v>2.4875600000000002</v>
      </c>
      <c r="CX111">
        <v>2.4875600000000002</v>
      </c>
      <c r="CY111">
        <v>2.48631</v>
      </c>
      <c r="CZ111">
        <v>2.47906</v>
      </c>
      <c r="DA111">
        <v>2.4789300000000001</v>
      </c>
      <c r="DB111">
        <v>2.4789400000000001</v>
      </c>
      <c r="DC111">
        <v>2.3867699999999998</v>
      </c>
    </row>
    <row r="112" spans="1:107" x14ac:dyDescent="0.25">
      <c r="A112">
        <f t="shared" si="1"/>
        <v>4</v>
      </c>
      <c r="B112" s="2">
        <v>42165</v>
      </c>
      <c r="F112">
        <v>0.6331</v>
      </c>
      <c r="G112">
        <v>0.67120000000000002</v>
      </c>
      <c r="H112">
        <v>0.71367000000000003</v>
      </c>
      <c r="I112">
        <v>0.82848999999999995</v>
      </c>
      <c r="J112">
        <v>0.70533999999999997</v>
      </c>
      <c r="K112">
        <v>0.77754999999999996</v>
      </c>
      <c r="L112">
        <v>0.77778000000000003</v>
      </c>
      <c r="M112">
        <v>0.78117000000000003</v>
      </c>
      <c r="N112">
        <v>0.71862999999999999</v>
      </c>
      <c r="O112">
        <v>0.86665999999999999</v>
      </c>
      <c r="P112">
        <v>0.85253999999999996</v>
      </c>
      <c r="Q112">
        <v>0.75639999999999996</v>
      </c>
      <c r="R112">
        <v>0.79110999999999998</v>
      </c>
      <c r="S112">
        <v>0.87785000000000002</v>
      </c>
      <c r="T112">
        <v>0.88124000000000002</v>
      </c>
      <c r="U112">
        <v>0.80893000000000004</v>
      </c>
      <c r="V112">
        <v>0.84257000000000004</v>
      </c>
      <c r="W112">
        <v>0.90758000000000005</v>
      </c>
      <c r="X112">
        <v>0.95745000000000002</v>
      </c>
      <c r="Y112">
        <v>1.08931</v>
      </c>
      <c r="Z112">
        <v>1.0406899999999999</v>
      </c>
      <c r="AA112">
        <v>1.1017699999999999</v>
      </c>
      <c r="AB112">
        <v>1.12094</v>
      </c>
      <c r="AC112">
        <v>1.2225699999999999</v>
      </c>
      <c r="AD112">
        <v>1.27565</v>
      </c>
      <c r="AE112">
        <v>1.15462</v>
      </c>
      <c r="AF112">
        <v>1.3147899999999999</v>
      </c>
      <c r="AG112">
        <v>1.36653</v>
      </c>
      <c r="AH112">
        <v>1.46349</v>
      </c>
      <c r="AI112">
        <v>1.4638899999999999</v>
      </c>
      <c r="AJ112">
        <v>1.4770399999999999</v>
      </c>
      <c r="AK112">
        <v>1.3449599999999999</v>
      </c>
      <c r="AL112">
        <v>1.5660000000000001</v>
      </c>
      <c r="AM112">
        <v>1.7041900000000001</v>
      </c>
      <c r="AN112">
        <v>1.5061599999999999</v>
      </c>
      <c r="AO112">
        <v>1.76474</v>
      </c>
      <c r="AP112">
        <v>1.8784400000000001</v>
      </c>
      <c r="AQ112">
        <v>1.71454</v>
      </c>
      <c r="AR112">
        <v>1.9305699999999999</v>
      </c>
      <c r="AS112">
        <v>1.9937499999999999</v>
      </c>
      <c r="AT112">
        <v>2.0338799999999999</v>
      </c>
      <c r="AU112">
        <v>2.01275</v>
      </c>
      <c r="AV112">
        <v>1.92723</v>
      </c>
      <c r="AW112">
        <v>2.4039999999999999</v>
      </c>
      <c r="AX112">
        <v>2.4080699999999999</v>
      </c>
      <c r="AY112">
        <v>2.4456600000000002</v>
      </c>
      <c r="AZ112">
        <v>2.4646599999999999</v>
      </c>
      <c r="BA112">
        <v>2.4811700000000001</v>
      </c>
      <c r="BB112">
        <v>2.5248200000000001</v>
      </c>
      <c r="BC112">
        <v>2.54054</v>
      </c>
      <c r="BD112">
        <v>2.56684</v>
      </c>
      <c r="BE112">
        <v>2.4855399999999999</v>
      </c>
      <c r="BF112">
        <v>2.6429200000000002</v>
      </c>
      <c r="BG112">
        <v>2.62805</v>
      </c>
      <c r="BH112">
        <v>2.6206499999999999</v>
      </c>
      <c r="BI112">
        <v>2.6158100000000002</v>
      </c>
      <c r="BJ112">
        <v>2.60439</v>
      </c>
      <c r="BK112">
        <v>2.60419</v>
      </c>
      <c r="BL112">
        <v>2.5919300000000001</v>
      </c>
      <c r="BM112">
        <v>2.59091</v>
      </c>
      <c r="BN112">
        <v>2.5856300000000001</v>
      </c>
      <c r="BO112">
        <v>2.5165899999999999</v>
      </c>
      <c r="BP112">
        <v>2.5862699999999998</v>
      </c>
      <c r="BQ112">
        <v>2.58629</v>
      </c>
      <c r="BR112">
        <v>2.5829800000000001</v>
      </c>
      <c r="BS112">
        <v>2.5830000000000002</v>
      </c>
      <c r="BT112">
        <v>2.5737199999999998</v>
      </c>
      <c r="BW112">
        <v>2.5637599999999998</v>
      </c>
      <c r="BX112">
        <v>2.5637699999999999</v>
      </c>
      <c r="BY112">
        <v>2.5567199999999999</v>
      </c>
      <c r="BZ112">
        <v>2.5533999999999999</v>
      </c>
      <c r="CA112">
        <v>2.55342</v>
      </c>
      <c r="CB112">
        <v>2.5534300000000001</v>
      </c>
      <c r="CC112">
        <v>2.5534400000000002</v>
      </c>
      <c r="CD112">
        <v>2.5534599999999998</v>
      </c>
      <c r="CE112">
        <v>2.5531799999999998</v>
      </c>
      <c r="CF112">
        <v>2.5531899999999998</v>
      </c>
      <c r="CG112">
        <v>2.5498699999999999</v>
      </c>
      <c r="CH112">
        <v>2.5432199999999998</v>
      </c>
      <c r="CI112">
        <v>2.5422799999999999</v>
      </c>
      <c r="CJ112">
        <v>2.54244</v>
      </c>
      <c r="CK112">
        <v>2.5427399999999998</v>
      </c>
      <c r="CL112">
        <v>2.5427499999999998</v>
      </c>
      <c r="CM112">
        <v>2.5427599999999999</v>
      </c>
      <c r="CN112">
        <v>2.54277</v>
      </c>
      <c r="CO112">
        <v>2.54278</v>
      </c>
      <c r="CP112">
        <v>2.5314899999999998</v>
      </c>
      <c r="CQ112">
        <v>2.5289999999999999</v>
      </c>
      <c r="CS112">
        <v>2.5215200000000002</v>
      </c>
      <c r="CT112">
        <v>2.52861</v>
      </c>
      <c r="CU112">
        <v>2.52861</v>
      </c>
      <c r="CV112">
        <v>2.5286200000000001</v>
      </c>
      <c r="CW112">
        <v>2.5276900000000002</v>
      </c>
      <c r="CX112">
        <v>2.5276999999999998</v>
      </c>
      <c r="CY112">
        <v>2.5263900000000001</v>
      </c>
      <c r="CZ112">
        <v>2.5115799999999999</v>
      </c>
      <c r="DA112">
        <v>2.51762</v>
      </c>
      <c r="DB112">
        <v>2.51762</v>
      </c>
      <c r="DC112">
        <v>2.4241899999999998</v>
      </c>
    </row>
    <row r="113" spans="1:107" x14ac:dyDescent="0.25">
      <c r="A113">
        <f t="shared" si="1"/>
        <v>5</v>
      </c>
      <c r="B113" s="2">
        <v>42166</v>
      </c>
      <c r="F113">
        <v>0.63260000000000005</v>
      </c>
      <c r="G113">
        <v>0.66088999999999998</v>
      </c>
      <c r="H113">
        <v>0.68728</v>
      </c>
      <c r="I113">
        <v>0.79906999999999995</v>
      </c>
      <c r="J113">
        <v>0.70528999999999997</v>
      </c>
      <c r="K113">
        <v>0.77997000000000005</v>
      </c>
      <c r="L113">
        <v>0.74724000000000002</v>
      </c>
      <c r="M113">
        <v>0.76037999999999994</v>
      </c>
      <c r="N113">
        <v>0.68852000000000002</v>
      </c>
      <c r="O113">
        <v>0.85358999999999996</v>
      </c>
      <c r="P113">
        <v>0.82972999999999997</v>
      </c>
      <c r="Q113">
        <v>0.71638000000000002</v>
      </c>
      <c r="R113">
        <v>0.75036999999999998</v>
      </c>
      <c r="S113">
        <v>0.83570999999999995</v>
      </c>
      <c r="T113">
        <v>0.85238999999999998</v>
      </c>
      <c r="U113">
        <v>0.76232</v>
      </c>
      <c r="V113">
        <v>0.79937000000000002</v>
      </c>
      <c r="W113">
        <v>0.86089000000000004</v>
      </c>
      <c r="X113">
        <v>0.91781000000000001</v>
      </c>
      <c r="Y113">
        <v>1.0394300000000001</v>
      </c>
      <c r="Z113">
        <v>0.99209999999999998</v>
      </c>
      <c r="AA113">
        <v>1.0503100000000001</v>
      </c>
      <c r="AB113">
        <v>1.07094</v>
      </c>
      <c r="AC113">
        <v>1.15987</v>
      </c>
      <c r="AD113">
        <v>1.1834</v>
      </c>
      <c r="AE113">
        <v>1.0903799999999999</v>
      </c>
      <c r="AF113">
        <v>1.2605299999999999</v>
      </c>
      <c r="AG113">
        <v>1.2996399999999999</v>
      </c>
      <c r="AH113">
        <v>1.3915500000000001</v>
      </c>
      <c r="AI113">
        <v>1.3911500000000001</v>
      </c>
      <c r="AJ113">
        <v>1.4108099999999999</v>
      </c>
      <c r="AK113">
        <v>1.2594700000000001</v>
      </c>
      <c r="AL113">
        <v>1.50647</v>
      </c>
      <c r="AM113">
        <v>1.6269400000000001</v>
      </c>
      <c r="AN113">
        <v>1.43773</v>
      </c>
      <c r="AO113">
        <v>1.6888399999999999</v>
      </c>
      <c r="AP113">
        <v>1.79996</v>
      </c>
      <c r="AQ113">
        <v>1.62774</v>
      </c>
      <c r="AR113">
        <v>1.8492</v>
      </c>
      <c r="AS113">
        <v>1.90449</v>
      </c>
      <c r="AT113">
        <v>1.9489300000000001</v>
      </c>
      <c r="AU113">
        <v>1.9277500000000001</v>
      </c>
      <c r="AV113">
        <v>1.84</v>
      </c>
      <c r="AW113">
        <v>2.3317399999999999</v>
      </c>
      <c r="AX113">
        <v>2.3301099999999999</v>
      </c>
      <c r="AY113">
        <v>2.3666800000000001</v>
      </c>
      <c r="AZ113">
        <v>2.39127</v>
      </c>
      <c r="BA113">
        <v>2.41832</v>
      </c>
      <c r="BB113">
        <v>2.4616500000000001</v>
      </c>
      <c r="BC113">
        <v>2.47336</v>
      </c>
      <c r="BD113">
        <v>2.5144000000000002</v>
      </c>
      <c r="BE113">
        <v>2.41913</v>
      </c>
      <c r="BF113">
        <v>2.5761699999999998</v>
      </c>
      <c r="BG113">
        <v>2.5613700000000001</v>
      </c>
      <c r="BH113">
        <v>2.5533999999999999</v>
      </c>
      <c r="BI113">
        <v>2.5480800000000001</v>
      </c>
      <c r="BJ113">
        <v>2.5367799999999998</v>
      </c>
      <c r="BK113">
        <v>2.5364599999999999</v>
      </c>
      <c r="BL113">
        <v>2.5243199999999999</v>
      </c>
      <c r="BM113">
        <v>2.5231699999999999</v>
      </c>
      <c r="BN113">
        <v>2.5188700000000002</v>
      </c>
      <c r="BO113">
        <v>2.4523999999999999</v>
      </c>
      <c r="BP113">
        <v>2.5185399999999998</v>
      </c>
      <c r="BQ113">
        <v>2.5185599999999999</v>
      </c>
      <c r="BR113">
        <v>2.51525</v>
      </c>
      <c r="BS113">
        <v>2.5152600000000001</v>
      </c>
      <c r="BT113">
        <v>2.5069599999999999</v>
      </c>
      <c r="BW113">
        <v>2.4969999999999999</v>
      </c>
      <c r="BX113">
        <v>2.4986700000000002</v>
      </c>
      <c r="BY113">
        <v>2.4903599999999999</v>
      </c>
      <c r="BZ113">
        <v>2.48705</v>
      </c>
      <c r="CA113">
        <v>2.48706</v>
      </c>
      <c r="CB113">
        <v>2.4870700000000001</v>
      </c>
      <c r="CC113">
        <v>2.4870899999999998</v>
      </c>
      <c r="CD113">
        <v>2.4870999999999999</v>
      </c>
      <c r="CE113">
        <v>2.4854400000000001</v>
      </c>
      <c r="CF113">
        <v>2.4854500000000002</v>
      </c>
      <c r="CG113">
        <v>2.47879</v>
      </c>
      <c r="CH113">
        <v>2.4754700000000001</v>
      </c>
      <c r="CI113">
        <v>2.47465</v>
      </c>
      <c r="CJ113">
        <v>2.4754999999999998</v>
      </c>
      <c r="CK113">
        <v>2.4771899999999998</v>
      </c>
      <c r="CL113">
        <v>2.4771999999999998</v>
      </c>
      <c r="CM113">
        <v>2.4772099999999999</v>
      </c>
      <c r="CN113">
        <v>2.47722</v>
      </c>
      <c r="CO113">
        <v>2.47723</v>
      </c>
      <c r="CP113">
        <v>2.4647299999999999</v>
      </c>
      <c r="CQ113">
        <v>2.4722400000000002</v>
      </c>
      <c r="CS113">
        <v>2.4547599999999998</v>
      </c>
      <c r="CT113">
        <v>2.4709099999999999</v>
      </c>
      <c r="CU113">
        <v>2.47092</v>
      </c>
      <c r="CV113">
        <v>2.47092</v>
      </c>
      <c r="CW113">
        <v>2.4472900000000002</v>
      </c>
      <c r="CX113">
        <v>2.4472999999999998</v>
      </c>
      <c r="CY113">
        <v>2.45777</v>
      </c>
      <c r="CZ113">
        <v>2.4448099999999999</v>
      </c>
      <c r="DA113">
        <v>2.4373300000000002</v>
      </c>
      <c r="DB113">
        <v>2.4373300000000002</v>
      </c>
      <c r="DC113">
        <v>2.3543500000000002</v>
      </c>
    </row>
    <row r="114" spans="1:107" x14ac:dyDescent="0.25">
      <c r="A114">
        <f t="shared" si="1"/>
        <v>6</v>
      </c>
      <c r="B114" s="2">
        <v>42167</v>
      </c>
      <c r="F114">
        <v>0.65366999999999997</v>
      </c>
      <c r="G114">
        <v>0.65808</v>
      </c>
      <c r="H114">
        <v>0.68157000000000001</v>
      </c>
      <c r="I114">
        <v>0.78769999999999996</v>
      </c>
      <c r="J114">
        <v>0.70033000000000001</v>
      </c>
      <c r="K114">
        <v>0.75317000000000001</v>
      </c>
      <c r="L114">
        <v>0.73765000000000003</v>
      </c>
      <c r="M114">
        <v>0.75443000000000005</v>
      </c>
      <c r="N114">
        <v>0.67964999999999998</v>
      </c>
      <c r="O114">
        <v>0.8458</v>
      </c>
      <c r="P114">
        <v>0.82321</v>
      </c>
      <c r="Q114">
        <v>0.70272000000000001</v>
      </c>
      <c r="R114">
        <v>0.73658000000000001</v>
      </c>
      <c r="S114">
        <v>0.82291999999999998</v>
      </c>
      <c r="T114">
        <v>0.83984999999999999</v>
      </c>
      <c r="U114">
        <v>0.74692999999999998</v>
      </c>
      <c r="V114">
        <v>0.78471999999999997</v>
      </c>
      <c r="W114">
        <v>0.84660999999999997</v>
      </c>
      <c r="X114">
        <v>0.90395999999999999</v>
      </c>
      <c r="Y114">
        <v>1.0205900000000001</v>
      </c>
      <c r="Z114">
        <v>0.97155000000000002</v>
      </c>
      <c r="AA114">
        <v>1.0188600000000001</v>
      </c>
      <c r="AB114">
        <v>1.0522800000000001</v>
      </c>
      <c r="AC114">
        <v>1.1476900000000001</v>
      </c>
      <c r="AD114">
        <v>1.1916199999999999</v>
      </c>
      <c r="AE114">
        <v>1.0762700000000001</v>
      </c>
      <c r="AF114">
        <v>1.2373499999999999</v>
      </c>
      <c r="AG114">
        <v>1.2871999999999999</v>
      </c>
      <c r="AH114">
        <v>1.37706</v>
      </c>
      <c r="AI114">
        <v>1.37677</v>
      </c>
      <c r="AJ114">
        <v>1.39476</v>
      </c>
      <c r="AK114">
        <v>1.25888</v>
      </c>
      <c r="AL114">
        <v>1.4871399999999999</v>
      </c>
      <c r="AM114">
        <v>1.6210899999999999</v>
      </c>
      <c r="AN114">
        <v>1.4170199999999999</v>
      </c>
      <c r="AO114">
        <v>1.68147</v>
      </c>
      <c r="AP114">
        <v>1.78827</v>
      </c>
      <c r="AQ114">
        <v>1.6154500000000001</v>
      </c>
      <c r="AR114">
        <v>1.83751</v>
      </c>
      <c r="AS114">
        <v>1.8895500000000001</v>
      </c>
      <c r="AT114">
        <v>1.9350499999999999</v>
      </c>
      <c r="AU114">
        <v>1.9118999999999999</v>
      </c>
      <c r="AV114">
        <v>1.82613</v>
      </c>
      <c r="AW114">
        <v>2.3210500000000001</v>
      </c>
      <c r="AX114">
        <v>2.3198500000000002</v>
      </c>
      <c r="AY114">
        <v>2.351</v>
      </c>
      <c r="AZ114">
        <v>2.3799600000000001</v>
      </c>
      <c r="BA114">
        <v>2.4009999999999998</v>
      </c>
      <c r="BB114">
        <v>2.4443000000000001</v>
      </c>
      <c r="BC114">
        <v>2.4547099999999999</v>
      </c>
      <c r="BD114">
        <v>2.4948000000000001</v>
      </c>
      <c r="BE114">
        <v>2.3971900000000002</v>
      </c>
      <c r="BF114">
        <v>2.5565199999999999</v>
      </c>
      <c r="BG114">
        <v>2.5408400000000002</v>
      </c>
      <c r="BH114">
        <v>2.5354399999999999</v>
      </c>
      <c r="BI114">
        <v>2.5292300000000001</v>
      </c>
      <c r="BJ114">
        <v>2.5179900000000002</v>
      </c>
      <c r="BK114">
        <v>2.5169299999999999</v>
      </c>
      <c r="BL114">
        <v>2.5045199999999999</v>
      </c>
      <c r="BM114">
        <v>2.5036399999999999</v>
      </c>
      <c r="BN114">
        <v>2.4982199999999999</v>
      </c>
      <c r="BO114">
        <v>2.4320300000000001</v>
      </c>
      <c r="BP114">
        <v>2.4990100000000002</v>
      </c>
      <c r="BQ114">
        <v>2.4990299999999999</v>
      </c>
      <c r="BR114">
        <v>2.4957199999999999</v>
      </c>
      <c r="BS114">
        <v>2.49573</v>
      </c>
      <c r="BT114">
        <v>2.48631</v>
      </c>
      <c r="BW114">
        <v>2.47634</v>
      </c>
      <c r="BX114">
        <v>2.4763600000000001</v>
      </c>
      <c r="BY114">
        <v>2.46983</v>
      </c>
      <c r="BZ114">
        <v>2.46651</v>
      </c>
      <c r="CA114">
        <v>2.46652</v>
      </c>
      <c r="CB114">
        <v>2.4665400000000002</v>
      </c>
      <c r="CC114">
        <v>2.4665499999999998</v>
      </c>
      <c r="CD114">
        <v>2.4665599999999999</v>
      </c>
      <c r="CE114">
        <v>2.46658</v>
      </c>
      <c r="CF114">
        <v>2.4665900000000001</v>
      </c>
      <c r="CG114">
        <v>2.4614799999999999</v>
      </c>
      <c r="CH114">
        <v>2.4559500000000001</v>
      </c>
      <c r="CI114">
        <v>2.45486</v>
      </c>
      <c r="CJ114">
        <v>2.4555400000000001</v>
      </c>
      <c r="CK114">
        <v>2.4558800000000001</v>
      </c>
      <c r="CL114">
        <v>2.4558900000000001</v>
      </c>
      <c r="CM114">
        <v>2.4559000000000002</v>
      </c>
      <c r="CN114">
        <v>2.4559099999999998</v>
      </c>
      <c r="CO114">
        <v>2.4559199999999999</v>
      </c>
      <c r="CP114">
        <v>2.4450799999999999</v>
      </c>
      <c r="CQ114">
        <v>2.4509300000000001</v>
      </c>
      <c r="CS114">
        <v>2.4351099999999999</v>
      </c>
      <c r="CT114">
        <v>2.44171</v>
      </c>
      <c r="CU114">
        <v>2.4417200000000001</v>
      </c>
      <c r="CV114">
        <v>2.4417300000000002</v>
      </c>
      <c r="CW114">
        <v>2.44028</v>
      </c>
      <c r="CX114">
        <v>2.44028</v>
      </c>
      <c r="CY114">
        <v>2.42516</v>
      </c>
      <c r="CZ114">
        <v>2.42517</v>
      </c>
      <c r="DA114">
        <v>2.42964</v>
      </c>
      <c r="DB114">
        <v>2.4296500000000001</v>
      </c>
      <c r="DC114">
        <v>2.3362099999999999</v>
      </c>
    </row>
    <row r="115" spans="1:107" x14ac:dyDescent="0.25">
      <c r="A115">
        <f t="shared" si="1"/>
        <v>2</v>
      </c>
      <c r="B115" s="2">
        <v>42170</v>
      </c>
      <c r="F115">
        <v>0.67</v>
      </c>
      <c r="G115">
        <v>0.67205000000000004</v>
      </c>
      <c r="H115">
        <v>0.69962000000000002</v>
      </c>
      <c r="I115">
        <v>0.69196999999999997</v>
      </c>
      <c r="J115">
        <v>0.70569999999999999</v>
      </c>
      <c r="K115">
        <v>0.76958000000000004</v>
      </c>
      <c r="L115">
        <v>0.74877000000000005</v>
      </c>
      <c r="M115">
        <v>0.75185999999999997</v>
      </c>
      <c r="N115">
        <v>0.66747999999999996</v>
      </c>
      <c r="O115">
        <v>0.84453</v>
      </c>
      <c r="P115">
        <v>0.82037000000000004</v>
      </c>
      <c r="Q115">
        <v>0.68386999999999998</v>
      </c>
      <c r="R115">
        <v>0.71852000000000005</v>
      </c>
      <c r="S115">
        <v>0.80467999999999995</v>
      </c>
      <c r="T115">
        <v>0.82040000000000002</v>
      </c>
      <c r="U115">
        <v>0.72560000000000002</v>
      </c>
      <c r="V115">
        <v>0.76400000000000001</v>
      </c>
      <c r="W115">
        <v>0.82589999999999997</v>
      </c>
      <c r="X115">
        <v>0.88271999999999995</v>
      </c>
      <c r="Y115">
        <v>0.98495999999999995</v>
      </c>
      <c r="Z115">
        <v>0.93089</v>
      </c>
      <c r="AA115">
        <v>0.98704999999999998</v>
      </c>
      <c r="AB115">
        <v>1.0038800000000001</v>
      </c>
      <c r="AC115">
        <v>1.10694</v>
      </c>
      <c r="AD115">
        <v>1.13147</v>
      </c>
      <c r="AE115">
        <v>1.03857</v>
      </c>
      <c r="AF115">
        <v>1.20811</v>
      </c>
      <c r="AG115">
        <v>1.24725</v>
      </c>
      <c r="AH115">
        <v>1.33551</v>
      </c>
      <c r="AI115">
        <v>1.33789</v>
      </c>
      <c r="AJ115">
        <v>1.35826</v>
      </c>
      <c r="AK115">
        <v>1.21827</v>
      </c>
      <c r="AL115">
        <v>1.45228</v>
      </c>
      <c r="AM115">
        <v>1.5804400000000001</v>
      </c>
      <c r="AN115">
        <v>1.3879300000000001</v>
      </c>
      <c r="AO115">
        <v>1.64679</v>
      </c>
      <c r="AP115">
        <v>1.75406</v>
      </c>
      <c r="AQ115">
        <v>1.5814699999999999</v>
      </c>
      <c r="AR115">
        <v>1.80325</v>
      </c>
      <c r="AS115">
        <v>1.85612</v>
      </c>
      <c r="AT115">
        <v>1.9009400000000001</v>
      </c>
      <c r="AU115">
        <v>1.87809</v>
      </c>
      <c r="AV115">
        <v>1.79253</v>
      </c>
      <c r="AW115">
        <v>2.2845499999999999</v>
      </c>
      <c r="AX115">
        <v>2.2870699999999999</v>
      </c>
      <c r="AY115">
        <v>2.3223199999999999</v>
      </c>
      <c r="AZ115">
        <v>2.3465699999999998</v>
      </c>
      <c r="BA115">
        <v>2.3675899999999999</v>
      </c>
      <c r="BB115">
        <v>2.4118400000000002</v>
      </c>
      <c r="BC115">
        <v>2.4211299999999998</v>
      </c>
      <c r="BD115">
        <v>2.4617499999999999</v>
      </c>
      <c r="BE115">
        <v>2.3660199999999998</v>
      </c>
      <c r="BF115">
        <v>2.5264500000000001</v>
      </c>
      <c r="BG115">
        <v>2.5108799999999998</v>
      </c>
      <c r="BH115">
        <v>2.50522</v>
      </c>
      <c r="BI115">
        <v>2.49891</v>
      </c>
      <c r="BJ115">
        <v>2.4877500000000001</v>
      </c>
      <c r="BK115">
        <v>2.4866000000000001</v>
      </c>
      <c r="BL115">
        <v>2.4742700000000002</v>
      </c>
      <c r="BM115">
        <v>2.4733000000000001</v>
      </c>
      <c r="BN115">
        <v>2.46807</v>
      </c>
      <c r="BO115">
        <v>2.4037000000000002</v>
      </c>
      <c r="BP115">
        <v>2.4686400000000002</v>
      </c>
      <c r="BQ115">
        <v>2.4686499999999998</v>
      </c>
      <c r="BR115">
        <v>2.4653399999999999</v>
      </c>
      <c r="BS115">
        <v>2.4653499999999999</v>
      </c>
      <c r="BT115">
        <v>2.4561199999999999</v>
      </c>
      <c r="BW115">
        <v>2.4461400000000002</v>
      </c>
      <c r="BX115">
        <v>2.4461499999999998</v>
      </c>
      <c r="BY115">
        <v>2.43974</v>
      </c>
      <c r="BZ115">
        <v>2.43642</v>
      </c>
      <c r="CA115">
        <v>2.43642</v>
      </c>
      <c r="CB115">
        <v>2.4364300000000001</v>
      </c>
      <c r="CC115">
        <v>2.4364400000000002</v>
      </c>
      <c r="CD115">
        <v>2.4364499999999998</v>
      </c>
      <c r="CE115">
        <v>2.4361199999999998</v>
      </c>
      <c r="CF115">
        <v>2.4361299999999999</v>
      </c>
      <c r="CG115">
        <v>2.43072</v>
      </c>
      <c r="CH115">
        <v>2.4254799999999999</v>
      </c>
      <c r="CI115">
        <v>2.4244699999999999</v>
      </c>
      <c r="CJ115">
        <v>2.4253100000000001</v>
      </c>
      <c r="CK115">
        <v>2.4259900000000001</v>
      </c>
      <c r="CL115">
        <v>2.4259900000000001</v>
      </c>
      <c r="CM115">
        <v>2.4260000000000002</v>
      </c>
      <c r="CN115">
        <v>2.4260000000000002</v>
      </c>
      <c r="CO115">
        <v>2.4260100000000002</v>
      </c>
      <c r="CP115">
        <v>2.4147799999999999</v>
      </c>
      <c r="CQ115">
        <v>2.4210199999999999</v>
      </c>
      <c r="CS115">
        <v>2.41601</v>
      </c>
      <c r="CT115">
        <v>2.4047999999999998</v>
      </c>
      <c r="CU115">
        <v>2.4048099999999999</v>
      </c>
      <c r="CV115">
        <v>2.4048099999999999</v>
      </c>
      <c r="CW115">
        <v>2.4108900000000002</v>
      </c>
      <c r="CX115">
        <v>2.4108900000000002</v>
      </c>
      <c r="CY115">
        <v>2.42456</v>
      </c>
      <c r="CZ115">
        <v>2.3948299999999998</v>
      </c>
      <c r="DA115">
        <v>2.4033799999999998</v>
      </c>
      <c r="DB115">
        <v>2.4033899999999999</v>
      </c>
      <c r="DC115">
        <v>2.3066</v>
      </c>
    </row>
    <row r="116" spans="1:107" x14ac:dyDescent="0.25">
      <c r="A116">
        <f t="shared" si="1"/>
        <v>3</v>
      </c>
      <c r="B116" s="2">
        <v>42171</v>
      </c>
      <c r="F116">
        <v>0.64754999999999996</v>
      </c>
      <c r="G116">
        <v>0.66627000000000003</v>
      </c>
      <c r="H116">
        <v>0.69650000000000001</v>
      </c>
      <c r="I116">
        <v>0.64658000000000004</v>
      </c>
      <c r="J116">
        <v>0.70072999999999996</v>
      </c>
      <c r="K116">
        <v>0.74556999999999995</v>
      </c>
      <c r="L116">
        <v>0.74231000000000003</v>
      </c>
      <c r="M116">
        <v>0.74490000000000001</v>
      </c>
      <c r="N116">
        <v>0.65537999999999996</v>
      </c>
      <c r="O116">
        <v>0.84108000000000005</v>
      </c>
      <c r="P116">
        <v>0.81625000000000003</v>
      </c>
      <c r="Q116">
        <v>0.66605000000000003</v>
      </c>
      <c r="R116">
        <v>0.70079000000000002</v>
      </c>
      <c r="S116">
        <v>0.78666999999999998</v>
      </c>
      <c r="T116">
        <v>0.80257999999999996</v>
      </c>
      <c r="U116">
        <v>0.70708000000000004</v>
      </c>
      <c r="V116">
        <v>0.74507999999999996</v>
      </c>
      <c r="W116">
        <v>0.80852999999999997</v>
      </c>
      <c r="X116">
        <v>0.86470000000000002</v>
      </c>
      <c r="Y116">
        <v>0.96101000000000003</v>
      </c>
      <c r="Z116">
        <v>0.90498999999999996</v>
      </c>
      <c r="AA116">
        <v>0.96243000000000001</v>
      </c>
      <c r="AB116">
        <v>0.98884000000000005</v>
      </c>
      <c r="AC116">
        <v>1.08467</v>
      </c>
      <c r="AD116">
        <v>1.13113</v>
      </c>
      <c r="AE116">
        <v>1.0163500000000001</v>
      </c>
      <c r="AF116">
        <v>1.1851700000000001</v>
      </c>
      <c r="AG116">
        <v>1.22499</v>
      </c>
      <c r="AH116">
        <v>1.31341</v>
      </c>
      <c r="AI116">
        <v>1.3063899999999999</v>
      </c>
      <c r="AJ116">
        <v>1.3339300000000001</v>
      </c>
      <c r="AK116">
        <v>1.1945399999999999</v>
      </c>
      <c r="AL116">
        <v>1.42883</v>
      </c>
      <c r="AM116">
        <v>1.5540700000000001</v>
      </c>
      <c r="AN116">
        <v>1.35589</v>
      </c>
      <c r="AO116">
        <v>1.6159300000000001</v>
      </c>
      <c r="AP116">
        <v>1.7225200000000001</v>
      </c>
      <c r="AQ116">
        <v>1.5542400000000001</v>
      </c>
      <c r="AR116">
        <v>1.7755399999999999</v>
      </c>
      <c r="AS116">
        <v>1.8287599999999999</v>
      </c>
      <c r="AT116">
        <v>1.87381</v>
      </c>
      <c r="AU116">
        <v>1.8514999999999999</v>
      </c>
      <c r="AV116">
        <v>1.7645500000000001</v>
      </c>
      <c r="AW116">
        <v>2.25726</v>
      </c>
      <c r="AX116">
        <v>2.2582300000000002</v>
      </c>
      <c r="AY116">
        <v>2.2947899999999999</v>
      </c>
      <c r="AZ116">
        <v>2.3200099999999999</v>
      </c>
      <c r="BA116">
        <v>2.3436499999999998</v>
      </c>
      <c r="BB116">
        <v>2.3871000000000002</v>
      </c>
      <c r="BC116">
        <v>2.39717</v>
      </c>
      <c r="BD116">
        <v>2.4476300000000002</v>
      </c>
      <c r="BE116">
        <v>2.3420000000000001</v>
      </c>
      <c r="BF116">
        <v>2.4978400000000001</v>
      </c>
      <c r="BG116">
        <v>2.48786</v>
      </c>
      <c r="BH116">
        <v>2.48421</v>
      </c>
      <c r="BI116">
        <v>2.4719899999999999</v>
      </c>
      <c r="BJ116">
        <v>2.4613800000000001</v>
      </c>
      <c r="BK116">
        <v>2.4642499999999998</v>
      </c>
      <c r="BL116">
        <v>2.4575900000000002</v>
      </c>
      <c r="BM116">
        <v>2.4509400000000001</v>
      </c>
      <c r="BN116">
        <v>2.4455499999999999</v>
      </c>
      <c r="BO116">
        <v>2.3836400000000002</v>
      </c>
      <c r="BP116">
        <v>2.4462899999999999</v>
      </c>
      <c r="BQ116">
        <v>2.4462999999999999</v>
      </c>
      <c r="BR116">
        <v>2.4429799999999999</v>
      </c>
      <c r="BS116">
        <v>2.44299</v>
      </c>
      <c r="BT116">
        <v>2.4336099999999998</v>
      </c>
      <c r="BW116">
        <v>2.4236300000000002</v>
      </c>
      <c r="BX116">
        <v>2.4236399999999998</v>
      </c>
      <c r="BY116">
        <v>2.4167200000000002</v>
      </c>
      <c r="BZ116">
        <v>2.4134000000000002</v>
      </c>
      <c r="CA116">
        <v>2.4134000000000002</v>
      </c>
      <c r="CB116">
        <v>2.4134099999999998</v>
      </c>
      <c r="CC116">
        <v>2.4134199999999999</v>
      </c>
      <c r="CD116">
        <v>2.41343</v>
      </c>
      <c r="CE116">
        <v>2.4124300000000001</v>
      </c>
      <c r="CF116">
        <v>2.4124400000000001</v>
      </c>
      <c r="CG116">
        <v>2.4099200000000001</v>
      </c>
      <c r="CH116">
        <v>2.4031199999999999</v>
      </c>
      <c r="CI116">
        <v>2.4034399999999998</v>
      </c>
      <c r="CJ116">
        <v>2.4032800000000001</v>
      </c>
      <c r="CK116">
        <v>2.40395</v>
      </c>
      <c r="CL116">
        <v>2.4039600000000001</v>
      </c>
      <c r="CM116">
        <v>2.4039700000000002</v>
      </c>
      <c r="CN116">
        <v>2.4039700000000002</v>
      </c>
      <c r="CO116">
        <v>2.4039799999999998</v>
      </c>
      <c r="CP116">
        <v>2.3902700000000001</v>
      </c>
      <c r="CQ116">
        <v>2.3989799999999999</v>
      </c>
      <c r="CS116">
        <v>2.3939699999999999</v>
      </c>
      <c r="CT116">
        <v>2.39398</v>
      </c>
      <c r="CU116">
        <v>2.39398</v>
      </c>
      <c r="CV116">
        <v>2.3939900000000001</v>
      </c>
      <c r="CW116">
        <v>2.3727999999999998</v>
      </c>
      <c r="CX116">
        <v>2.3728099999999999</v>
      </c>
      <c r="CY116">
        <v>2.38748</v>
      </c>
      <c r="CZ116">
        <v>2.3825099999999999</v>
      </c>
      <c r="DA116">
        <v>2.3805900000000002</v>
      </c>
      <c r="DB116">
        <v>2.3805999999999998</v>
      </c>
      <c r="DC116">
        <v>2.2867199999999999</v>
      </c>
    </row>
    <row r="117" spans="1:107" x14ac:dyDescent="0.25">
      <c r="A117">
        <f t="shared" si="1"/>
        <v>4</v>
      </c>
      <c r="B117" s="2">
        <v>42172</v>
      </c>
      <c r="F117">
        <v>0.62465999999999999</v>
      </c>
      <c r="G117">
        <v>0.65905999999999998</v>
      </c>
      <c r="H117">
        <v>0.69133999999999995</v>
      </c>
      <c r="I117">
        <v>0.62368000000000001</v>
      </c>
      <c r="J117">
        <v>0.69025999999999998</v>
      </c>
      <c r="K117">
        <v>0.74421000000000004</v>
      </c>
      <c r="L117">
        <v>0.73956</v>
      </c>
      <c r="M117">
        <v>0.73753000000000002</v>
      </c>
      <c r="N117">
        <v>0.65031000000000005</v>
      </c>
      <c r="O117">
        <v>0.83962999999999999</v>
      </c>
      <c r="P117">
        <v>0.81459000000000004</v>
      </c>
      <c r="Q117">
        <v>0.67581000000000002</v>
      </c>
      <c r="R117">
        <v>0.70287999999999995</v>
      </c>
      <c r="S117">
        <v>0.79847999999999997</v>
      </c>
      <c r="T117">
        <v>0.80586000000000002</v>
      </c>
      <c r="U117">
        <v>0.70528000000000002</v>
      </c>
      <c r="V117">
        <v>0.74944999999999995</v>
      </c>
      <c r="W117">
        <v>0.80623</v>
      </c>
      <c r="X117">
        <v>0.86339999999999995</v>
      </c>
      <c r="Y117">
        <v>0.95672999999999997</v>
      </c>
      <c r="Z117">
        <v>0.89764999999999995</v>
      </c>
      <c r="AA117">
        <v>0.94489000000000001</v>
      </c>
      <c r="AB117">
        <v>0.98224999999999996</v>
      </c>
      <c r="AC117">
        <v>1.085</v>
      </c>
      <c r="AD117">
        <v>1.13303</v>
      </c>
      <c r="AE117">
        <v>1.0320100000000001</v>
      </c>
      <c r="AF117">
        <v>1.1871100000000001</v>
      </c>
      <c r="AG117">
        <v>1.22712</v>
      </c>
      <c r="AH117">
        <v>1.31613</v>
      </c>
      <c r="AI117">
        <v>1.31657</v>
      </c>
      <c r="AJ117">
        <v>1.3368899999999999</v>
      </c>
      <c r="AK117">
        <v>1.1974899999999999</v>
      </c>
      <c r="AL117">
        <v>1.4315500000000001</v>
      </c>
      <c r="AM117">
        <v>1.5629200000000001</v>
      </c>
      <c r="AN117">
        <v>1.3727400000000001</v>
      </c>
      <c r="AO117">
        <v>1.62856</v>
      </c>
      <c r="AP117">
        <v>1.73752</v>
      </c>
      <c r="AQ117">
        <v>1.55582</v>
      </c>
      <c r="AR117">
        <v>1.7867599999999999</v>
      </c>
      <c r="AS117">
        <v>1.84046</v>
      </c>
      <c r="AT117">
        <v>1.88659</v>
      </c>
      <c r="AU117">
        <v>1.8623099999999999</v>
      </c>
      <c r="AV117">
        <v>1.7771999999999999</v>
      </c>
      <c r="AW117">
        <v>2.27407</v>
      </c>
      <c r="AX117">
        <v>2.26945</v>
      </c>
      <c r="AY117">
        <v>2.3094000000000001</v>
      </c>
      <c r="AZ117">
        <v>2.33609</v>
      </c>
      <c r="BA117">
        <v>2.36741</v>
      </c>
      <c r="BB117">
        <v>2.4034399999999998</v>
      </c>
      <c r="BC117">
        <v>2.4123199999999998</v>
      </c>
      <c r="BD117">
        <v>2.4621599999999999</v>
      </c>
      <c r="BE117">
        <v>2.3598499999999998</v>
      </c>
      <c r="BF117">
        <v>2.5227900000000001</v>
      </c>
      <c r="BG117">
        <v>2.50753</v>
      </c>
      <c r="BH117">
        <v>2.5003000000000002</v>
      </c>
      <c r="BI117">
        <v>2.49288</v>
      </c>
      <c r="BJ117">
        <v>2.4845199999999998</v>
      </c>
      <c r="BK117">
        <v>2.4836200000000002</v>
      </c>
      <c r="BL117">
        <v>2.4715500000000001</v>
      </c>
      <c r="BM117">
        <v>2.4703400000000002</v>
      </c>
      <c r="BN117">
        <v>2.4649899999999998</v>
      </c>
      <c r="BO117">
        <v>2.4013300000000002</v>
      </c>
      <c r="BP117">
        <v>2.4657</v>
      </c>
      <c r="BQ117">
        <v>2.4657200000000001</v>
      </c>
      <c r="BR117">
        <v>2.4624100000000002</v>
      </c>
      <c r="BS117">
        <v>2.4624299999999999</v>
      </c>
      <c r="BT117">
        <v>2.45309</v>
      </c>
      <c r="BW117">
        <v>2.4401600000000001</v>
      </c>
      <c r="BX117">
        <v>2.44313</v>
      </c>
      <c r="BY117">
        <v>2.4368500000000002</v>
      </c>
      <c r="BZ117">
        <v>2.4335399999999998</v>
      </c>
      <c r="CA117">
        <v>2.4335499999999999</v>
      </c>
      <c r="CB117">
        <v>2.4335599999999999</v>
      </c>
      <c r="CC117">
        <v>2.43357</v>
      </c>
      <c r="CD117">
        <v>2.4335900000000001</v>
      </c>
      <c r="CE117">
        <v>2.4332699999999998</v>
      </c>
      <c r="CF117">
        <v>2.4332799999999999</v>
      </c>
      <c r="CG117">
        <v>2.4259499999999998</v>
      </c>
      <c r="CH117">
        <v>2.4226399999999999</v>
      </c>
      <c r="CI117">
        <v>2.4218899999999999</v>
      </c>
      <c r="CJ117">
        <v>2.4227300000000001</v>
      </c>
      <c r="CK117">
        <v>2.4234100000000001</v>
      </c>
      <c r="CL117">
        <v>2.4234200000000001</v>
      </c>
      <c r="CM117">
        <v>2.4234300000000002</v>
      </c>
      <c r="CN117">
        <v>2.4234399999999998</v>
      </c>
      <c r="CO117">
        <v>2.4234499999999999</v>
      </c>
      <c r="CP117">
        <v>2.4118499999999998</v>
      </c>
      <c r="CQ117">
        <v>2.4184600000000001</v>
      </c>
      <c r="CS117">
        <v>2.4134699999999998</v>
      </c>
      <c r="CT117">
        <v>2.4134699999999998</v>
      </c>
      <c r="CU117">
        <v>2.4134799999999998</v>
      </c>
      <c r="CV117">
        <v>2.4134899999999999</v>
      </c>
      <c r="CW117">
        <v>2.4074200000000001</v>
      </c>
      <c r="CX117">
        <v>2.4074300000000002</v>
      </c>
      <c r="CY117">
        <v>2.4064999999999999</v>
      </c>
      <c r="CZ117">
        <v>2.3919299999999999</v>
      </c>
      <c r="DA117">
        <v>2.3965200000000002</v>
      </c>
      <c r="DB117">
        <v>2.3999299999999999</v>
      </c>
      <c r="DC117">
        <v>2.3029700000000002</v>
      </c>
    </row>
    <row r="118" spans="1:107" x14ac:dyDescent="0.25">
      <c r="A118">
        <f t="shared" si="1"/>
        <v>5</v>
      </c>
      <c r="B118" s="2">
        <v>42173</v>
      </c>
      <c r="F118">
        <v>0.62405999999999995</v>
      </c>
      <c r="G118">
        <v>0.64971999999999996</v>
      </c>
      <c r="H118">
        <v>0.68776000000000004</v>
      </c>
      <c r="I118">
        <v>0.62105999999999995</v>
      </c>
      <c r="J118">
        <v>0.69020999999999999</v>
      </c>
      <c r="K118">
        <v>0.74497999999999998</v>
      </c>
      <c r="L118">
        <v>0.73870000000000002</v>
      </c>
      <c r="M118">
        <v>0.74936999999999998</v>
      </c>
      <c r="N118">
        <v>0.65856000000000003</v>
      </c>
      <c r="O118">
        <v>0.84147000000000005</v>
      </c>
      <c r="P118">
        <v>0.81676000000000004</v>
      </c>
      <c r="Q118">
        <v>0.67354999999999998</v>
      </c>
      <c r="R118">
        <v>0.71319999999999995</v>
      </c>
      <c r="S118">
        <v>0.80694999999999995</v>
      </c>
      <c r="T118">
        <v>0.81437000000000004</v>
      </c>
      <c r="U118">
        <v>0.71511999999999998</v>
      </c>
      <c r="V118">
        <v>0.75807999999999998</v>
      </c>
      <c r="W118">
        <v>0.81586999999999998</v>
      </c>
      <c r="X118">
        <v>0.87312000000000001</v>
      </c>
      <c r="Y118">
        <v>0.97182999999999997</v>
      </c>
      <c r="Z118">
        <v>0.91886999999999996</v>
      </c>
      <c r="AA118">
        <v>0.96247000000000005</v>
      </c>
      <c r="AB118">
        <v>0.99987999999999999</v>
      </c>
      <c r="AC118">
        <v>1.10636</v>
      </c>
      <c r="AD118">
        <v>1.1547799999999999</v>
      </c>
      <c r="AE118">
        <v>1.0531200000000001</v>
      </c>
      <c r="AF118">
        <v>1.19937</v>
      </c>
      <c r="AG118">
        <v>1.2487600000000001</v>
      </c>
      <c r="AH118">
        <v>1.3368599999999999</v>
      </c>
      <c r="AI118">
        <v>1.33192</v>
      </c>
      <c r="AJ118">
        <v>1.35185</v>
      </c>
      <c r="AK118">
        <v>1.2215400000000001</v>
      </c>
      <c r="AL118">
        <v>1.4476100000000001</v>
      </c>
      <c r="AM118">
        <v>1.5982700000000001</v>
      </c>
      <c r="AN118">
        <v>1.4183699999999999</v>
      </c>
      <c r="AO118">
        <v>1.66364</v>
      </c>
      <c r="AP118">
        <v>1.77254</v>
      </c>
      <c r="AQ118">
        <v>1.5954200000000001</v>
      </c>
      <c r="AR118">
        <v>1.8216399999999999</v>
      </c>
      <c r="AS118">
        <v>1.87968</v>
      </c>
      <c r="AT118">
        <v>1.9267399999999999</v>
      </c>
      <c r="AU118">
        <v>1.8945700000000001</v>
      </c>
      <c r="AV118">
        <v>1.8132999999999999</v>
      </c>
      <c r="AW118">
        <v>2.3147000000000002</v>
      </c>
      <c r="AX118">
        <v>2.3108200000000001</v>
      </c>
      <c r="AY118">
        <v>2.3442699999999999</v>
      </c>
      <c r="AZ118">
        <v>2.36381</v>
      </c>
      <c r="BA118">
        <v>2.40517</v>
      </c>
      <c r="BB118">
        <v>2.4400900000000001</v>
      </c>
      <c r="BC118">
        <v>2.4445800000000002</v>
      </c>
      <c r="BD118">
        <v>2.4936199999999999</v>
      </c>
      <c r="BE118">
        <v>2.3873799999999998</v>
      </c>
      <c r="BF118">
        <v>2.55132</v>
      </c>
      <c r="BG118">
        <v>2.5348999999999999</v>
      </c>
      <c r="BH118">
        <v>2.5290300000000001</v>
      </c>
      <c r="BI118">
        <v>2.5232899999999998</v>
      </c>
      <c r="BJ118">
        <v>2.5120800000000001</v>
      </c>
      <c r="BK118">
        <v>2.5096400000000001</v>
      </c>
      <c r="BL118">
        <v>2.4917699999999998</v>
      </c>
      <c r="BM118">
        <v>2.4916299999999998</v>
      </c>
      <c r="BN118">
        <v>2.4910000000000001</v>
      </c>
      <c r="BO118">
        <v>2.4283700000000001</v>
      </c>
      <c r="BP118">
        <v>2.48183</v>
      </c>
      <c r="BQ118">
        <v>2.4818500000000001</v>
      </c>
      <c r="BR118">
        <v>2.4884300000000001</v>
      </c>
      <c r="BS118">
        <v>2.4884499999999998</v>
      </c>
      <c r="BT118">
        <v>2.4790899999999998</v>
      </c>
      <c r="BW118">
        <v>2.46685</v>
      </c>
      <c r="BX118">
        <v>2.4691399999999999</v>
      </c>
      <c r="BY118">
        <v>2.4635500000000001</v>
      </c>
      <c r="BZ118">
        <v>2.4602300000000001</v>
      </c>
      <c r="CA118">
        <v>2.4602499999999998</v>
      </c>
      <c r="CB118">
        <v>2.4602599999999999</v>
      </c>
      <c r="CC118">
        <v>2.46224</v>
      </c>
      <c r="CD118">
        <v>2.46225</v>
      </c>
      <c r="CE118">
        <v>2.4606400000000002</v>
      </c>
      <c r="CF118">
        <v>2.4606499999999998</v>
      </c>
      <c r="CG118">
        <v>2.45478</v>
      </c>
      <c r="CH118">
        <v>2.4486599999999998</v>
      </c>
      <c r="CI118">
        <v>2.4453399999999998</v>
      </c>
      <c r="CJ118">
        <v>2.4469400000000001</v>
      </c>
      <c r="CK118">
        <v>2.4443100000000002</v>
      </c>
      <c r="CL118">
        <v>2.4443199999999998</v>
      </c>
      <c r="CM118">
        <v>2.4443299999999999</v>
      </c>
      <c r="CN118">
        <v>2.44434</v>
      </c>
      <c r="CO118">
        <v>2.4495</v>
      </c>
      <c r="CP118">
        <v>2.4445100000000002</v>
      </c>
      <c r="CQ118">
        <v>2.4445199999999998</v>
      </c>
      <c r="CS118">
        <v>2.42991</v>
      </c>
      <c r="CT118">
        <v>2.43954</v>
      </c>
      <c r="CU118">
        <v>2.43954</v>
      </c>
      <c r="CV118">
        <v>2.4395500000000001</v>
      </c>
      <c r="CW118">
        <v>2.43397</v>
      </c>
      <c r="CX118">
        <v>2.43398</v>
      </c>
      <c r="CY118">
        <v>2.4378899999999999</v>
      </c>
      <c r="CZ118">
        <v>2.4199700000000002</v>
      </c>
      <c r="DA118">
        <v>2.41248</v>
      </c>
      <c r="DB118">
        <v>2.41248</v>
      </c>
      <c r="DC118">
        <v>2.33</v>
      </c>
    </row>
    <row r="119" spans="1:107" x14ac:dyDescent="0.25">
      <c r="A119">
        <f t="shared" si="1"/>
        <v>6</v>
      </c>
      <c r="B119" s="2">
        <v>42174</v>
      </c>
      <c r="F119">
        <v>0.62346000000000001</v>
      </c>
      <c r="G119">
        <v>0.64590000000000003</v>
      </c>
      <c r="H119">
        <v>0.68117000000000005</v>
      </c>
      <c r="I119">
        <v>0.59838999999999998</v>
      </c>
      <c r="J119">
        <v>0.69015000000000004</v>
      </c>
      <c r="K119">
        <v>0.72240000000000004</v>
      </c>
      <c r="L119">
        <v>0.72736000000000001</v>
      </c>
      <c r="M119">
        <v>0.72760000000000002</v>
      </c>
      <c r="N119">
        <v>0.63736999999999999</v>
      </c>
      <c r="O119">
        <v>0.82404999999999995</v>
      </c>
      <c r="P119">
        <v>0.80095000000000005</v>
      </c>
      <c r="Q119">
        <v>0.66025999999999996</v>
      </c>
      <c r="R119">
        <v>0.69003000000000003</v>
      </c>
      <c r="S119">
        <v>0.77078999999999998</v>
      </c>
      <c r="T119">
        <v>0.79079999999999995</v>
      </c>
      <c r="U119">
        <v>0.68838999999999995</v>
      </c>
      <c r="V119">
        <v>0.73148999999999997</v>
      </c>
      <c r="W119">
        <v>0.79042000000000001</v>
      </c>
      <c r="X119">
        <v>0.84653999999999996</v>
      </c>
      <c r="Y119">
        <v>0.93600000000000005</v>
      </c>
      <c r="Z119">
        <v>0.87761999999999996</v>
      </c>
      <c r="AA119">
        <v>0.93523999999999996</v>
      </c>
      <c r="AB119">
        <v>0.96020000000000005</v>
      </c>
      <c r="AC119">
        <v>1.0656099999999999</v>
      </c>
      <c r="AD119">
        <v>1.11487</v>
      </c>
      <c r="AE119">
        <v>0.99926000000000004</v>
      </c>
      <c r="AF119">
        <v>1.1672199999999999</v>
      </c>
      <c r="AG119">
        <v>1.2071499999999999</v>
      </c>
      <c r="AH119">
        <v>1.29138</v>
      </c>
      <c r="AI119">
        <v>1.2907200000000001</v>
      </c>
      <c r="AJ119">
        <v>1.3101400000000001</v>
      </c>
      <c r="AK119">
        <v>1.1700999999999999</v>
      </c>
      <c r="AL119">
        <v>1.4056</v>
      </c>
      <c r="AM119">
        <v>1.5355799999999999</v>
      </c>
      <c r="AN119">
        <v>1.34019</v>
      </c>
      <c r="AO119">
        <v>1.59487</v>
      </c>
      <c r="AP119">
        <v>1.6993799999999999</v>
      </c>
      <c r="AQ119">
        <v>1.5165900000000001</v>
      </c>
      <c r="AR119">
        <v>1.74861</v>
      </c>
      <c r="AS119">
        <v>1.7997700000000001</v>
      </c>
      <c r="AT119">
        <v>1.8456999999999999</v>
      </c>
      <c r="AU119">
        <v>1.81979</v>
      </c>
      <c r="AV119">
        <v>1.7369600000000001</v>
      </c>
      <c r="AW119">
        <v>2.2321499999999999</v>
      </c>
      <c r="AX119">
        <v>2.2283200000000001</v>
      </c>
      <c r="AY119">
        <v>2.26789</v>
      </c>
      <c r="AZ119">
        <v>2.3006899999999999</v>
      </c>
      <c r="BA119">
        <v>2.3257400000000001</v>
      </c>
      <c r="BB119">
        <v>2.3692099999999998</v>
      </c>
      <c r="BC119">
        <v>2.38367</v>
      </c>
      <c r="BD119">
        <v>2.4315899999999999</v>
      </c>
      <c r="BE119">
        <v>2.33135</v>
      </c>
      <c r="BF119">
        <v>2.5103300000000002</v>
      </c>
      <c r="BG119">
        <v>2.4868700000000001</v>
      </c>
      <c r="BH119">
        <v>2.4704100000000002</v>
      </c>
      <c r="BI119">
        <v>2.45844</v>
      </c>
      <c r="BJ119">
        <v>2.4484699999999999</v>
      </c>
      <c r="BK119">
        <v>2.45547</v>
      </c>
      <c r="BL119">
        <v>2.4454899999999999</v>
      </c>
      <c r="BM119">
        <v>2.4405199999999998</v>
      </c>
      <c r="BN119">
        <v>2.4455300000000002</v>
      </c>
      <c r="BO119">
        <v>2.3760699999999999</v>
      </c>
      <c r="BP119">
        <v>2.4355500000000001</v>
      </c>
      <c r="BQ119">
        <v>2.4355699999999998</v>
      </c>
      <c r="BR119">
        <v>2.4355799999999999</v>
      </c>
      <c r="BS119">
        <v>2.4356</v>
      </c>
      <c r="BT119">
        <v>2.4356200000000001</v>
      </c>
      <c r="BW119">
        <v>2.4111699999999998</v>
      </c>
      <c r="BX119">
        <v>2.4206799999999999</v>
      </c>
      <c r="BY119">
        <v>2.42069</v>
      </c>
      <c r="BZ119">
        <v>2.4062199999999998</v>
      </c>
      <c r="CA119">
        <v>2.4062299999999999</v>
      </c>
      <c r="CB119">
        <v>2.4062399999999999</v>
      </c>
      <c r="CC119">
        <v>2.4062600000000001</v>
      </c>
      <c r="CD119">
        <v>2.4062700000000001</v>
      </c>
      <c r="CE119">
        <v>2.40578</v>
      </c>
      <c r="CF119">
        <v>2.4057900000000001</v>
      </c>
      <c r="CG119">
        <v>2.4058000000000002</v>
      </c>
      <c r="CH119">
        <v>2.39581</v>
      </c>
      <c r="CI119">
        <v>2.3958200000000001</v>
      </c>
      <c r="CJ119">
        <v>2.3963399999999999</v>
      </c>
      <c r="CK119">
        <v>2.39635</v>
      </c>
      <c r="CL119">
        <v>2.39636</v>
      </c>
      <c r="CM119">
        <v>2.3963700000000001</v>
      </c>
      <c r="CN119">
        <v>2.4102899999999998</v>
      </c>
      <c r="CO119">
        <v>2.4090600000000002</v>
      </c>
      <c r="CP119">
        <v>2.4218000000000002</v>
      </c>
      <c r="CQ119">
        <v>2.4083299999999999</v>
      </c>
      <c r="CS119">
        <v>2.4118300000000001</v>
      </c>
      <c r="CT119">
        <v>2.3994200000000001</v>
      </c>
      <c r="CU119">
        <v>2.3994300000000002</v>
      </c>
      <c r="CV119">
        <v>2.3994399999999998</v>
      </c>
      <c r="CW119">
        <v>2.39445</v>
      </c>
      <c r="CX119">
        <v>2.39445</v>
      </c>
      <c r="CY119">
        <v>2.39446</v>
      </c>
      <c r="CZ119">
        <v>2.3988900000000002</v>
      </c>
      <c r="DA119">
        <v>2.3963999999999999</v>
      </c>
      <c r="DB119">
        <v>2.3964099999999999</v>
      </c>
      <c r="DC119">
        <v>2.2795100000000001</v>
      </c>
    </row>
    <row r="120" spans="1:107" x14ac:dyDescent="0.25">
      <c r="A120">
        <f t="shared" si="1"/>
        <v>2</v>
      </c>
      <c r="B120" s="2">
        <v>42177</v>
      </c>
      <c r="F120">
        <v>0.64148000000000005</v>
      </c>
      <c r="G120">
        <v>0.66246000000000005</v>
      </c>
      <c r="H120">
        <v>0.69128999999999996</v>
      </c>
      <c r="I120">
        <v>0.62112000000000001</v>
      </c>
      <c r="J120">
        <v>0.69559000000000004</v>
      </c>
      <c r="K120">
        <v>0.74238999999999999</v>
      </c>
      <c r="L120">
        <v>0.72426999999999997</v>
      </c>
      <c r="M120">
        <v>0.74283999999999994</v>
      </c>
      <c r="N120">
        <v>0.65883000000000003</v>
      </c>
      <c r="O120">
        <v>0.83401999999999998</v>
      </c>
      <c r="P120">
        <v>0.80855999999999995</v>
      </c>
      <c r="Q120">
        <v>0.68962999999999997</v>
      </c>
      <c r="R120">
        <v>0.72038000000000002</v>
      </c>
      <c r="S120">
        <v>0.81262999999999996</v>
      </c>
      <c r="T120">
        <v>0.81989999999999996</v>
      </c>
      <c r="U120">
        <v>0.71994000000000002</v>
      </c>
      <c r="V120">
        <v>0.76371999999999995</v>
      </c>
      <c r="W120">
        <v>0.82218000000000002</v>
      </c>
      <c r="X120">
        <v>0.87753000000000003</v>
      </c>
      <c r="Y120">
        <v>0.99463000000000001</v>
      </c>
      <c r="Z120">
        <v>0.94474999999999998</v>
      </c>
      <c r="AA120">
        <v>1.0034400000000001</v>
      </c>
      <c r="AB120">
        <v>1.02921</v>
      </c>
      <c r="AC120">
        <v>1.1658599999999999</v>
      </c>
      <c r="AD120">
        <v>1.1899299999999999</v>
      </c>
      <c r="AE120">
        <v>1.07494</v>
      </c>
      <c r="AF120">
        <v>1.24068</v>
      </c>
      <c r="AG120">
        <v>1.28159</v>
      </c>
      <c r="AH120">
        <v>1.3643400000000001</v>
      </c>
      <c r="AI120">
        <v>1.3553200000000001</v>
      </c>
      <c r="AJ120">
        <v>1.38472</v>
      </c>
      <c r="AK120">
        <v>1.2310399999999999</v>
      </c>
      <c r="AL120">
        <v>1.4794400000000001</v>
      </c>
      <c r="AM120">
        <v>1.62086</v>
      </c>
      <c r="AN120">
        <v>1.4269499999999999</v>
      </c>
      <c r="AO120">
        <v>1.68937</v>
      </c>
      <c r="AP120">
        <v>1.79775</v>
      </c>
      <c r="AQ120">
        <v>1.6236299999999999</v>
      </c>
      <c r="AR120">
        <v>1.8469500000000001</v>
      </c>
      <c r="AS120">
        <v>1.9007400000000001</v>
      </c>
      <c r="AT120">
        <v>1.9447000000000001</v>
      </c>
      <c r="AU120">
        <v>1.91509</v>
      </c>
      <c r="AV120">
        <v>1.8311599999999999</v>
      </c>
      <c r="AW120">
        <v>2.3229000000000002</v>
      </c>
      <c r="AX120">
        <v>2.3198300000000001</v>
      </c>
      <c r="AY120">
        <v>2.3642099999999999</v>
      </c>
      <c r="AZ120">
        <v>2.38565</v>
      </c>
      <c r="BA120">
        <v>2.4159999999999999</v>
      </c>
      <c r="BB120">
        <v>2.4407700000000001</v>
      </c>
      <c r="BC120">
        <v>2.4583300000000001</v>
      </c>
      <c r="BD120">
        <v>2.4991300000000001</v>
      </c>
      <c r="BE120">
        <v>2.39697</v>
      </c>
      <c r="BF120">
        <v>2.56738</v>
      </c>
      <c r="BG120">
        <v>2.5521199999999999</v>
      </c>
      <c r="BH120">
        <v>2.5481400000000001</v>
      </c>
      <c r="BI120">
        <v>2.5394800000000002</v>
      </c>
      <c r="BJ120">
        <v>2.5291199999999998</v>
      </c>
      <c r="BK120">
        <v>2.5268299999999999</v>
      </c>
      <c r="BL120">
        <v>2.5151300000000001</v>
      </c>
      <c r="BM120">
        <v>2.5135299999999998</v>
      </c>
      <c r="BN120">
        <v>2.5084900000000001</v>
      </c>
      <c r="BO120">
        <v>2.4463499999999998</v>
      </c>
      <c r="BP120">
        <v>2.50888</v>
      </c>
      <c r="BQ120">
        <v>2.5088900000000001</v>
      </c>
      <c r="BR120">
        <v>2.5055700000000001</v>
      </c>
      <c r="BS120">
        <v>2.5055800000000001</v>
      </c>
      <c r="BT120">
        <v>2.49655</v>
      </c>
      <c r="BW120">
        <v>2.4839600000000002</v>
      </c>
      <c r="BX120">
        <v>2.4865699999999999</v>
      </c>
      <c r="BY120">
        <v>2.4806499999999998</v>
      </c>
      <c r="BZ120">
        <v>2.4773299999999998</v>
      </c>
      <c r="CA120">
        <v>2.4773299999999998</v>
      </c>
      <c r="CB120">
        <v>2.4773399999999999</v>
      </c>
      <c r="CC120">
        <v>2.4773499999999999</v>
      </c>
      <c r="CD120">
        <v>2.47736</v>
      </c>
      <c r="CE120">
        <v>2.4763600000000001</v>
      </c>
      <c r="CF120">
        <v>2.4763700000000002</v>
      </c>
      <c r="CG120">
        <v>2.4690400000000001</v>
      </c>
      <c r="CH120">
        <v>2.4657100000000001</v>
      </c>
      <c r="CI120">
        <v>2.4653299999999998</v>
      </c>
      <c r="CJ120">
        <v>2.46651</v>
      </c>
      <c r="CK120">
        <v>2.4678599999999999</v>
      </c>
      <c r="CL120">
        <v>2.4678599999999999</v>
      </c>
      <c r="CM120">
        <v>2.46787</v>
      </c>
      <c r="CN120">
        <v>2.4678800000000001</v>
      </c>
      <c r="CO120">
        <v>2.4678800000000001</v>
      </c>
      <c r="CP120">
        <v>2.4552100000000001</v>
      </c>
      <c r="CQ120">
        <v>2.4628899999999998</v>
      </c>
      <c r="CS120">
        <v>2.4578899999999999</v>
      </c>
      <c r="CT120">
        <v>2.4622199999999999</v>
      </c>
      <c r="CU120">
        <v>2.4622199999999999</v>
      </c>
      <c r="CV120">
        <v>2.4622299999999999</v>
      </c>
      <c r="CW120">
        <v>2.4454500000000001</v>
      </c>
      <c r="CX120">
        <v>2.4377599999999999</v>
      </c>
      <c r="CY120">
        <v>2.44991</v>
      </c>
      <c r="CZ120">
        <v>2.43527</v>
      </c>
      <c r="DA120">
        <v>2.4399199999999999</v>
      </c>
      <c r="DB120">
        <v>2.4399199999999999</v>
      </c>
      <c r="DC120">
        <v>2.3505099999999999</v>
      </c>
    </row>
    <row r="121" spans="1:107" x14ac:dyDescent="0.25">
      <c r="A121">
        <f t="shared" si="1"/>
        <v>3</v>
      </c>
      <c r="B121" s="2">
        <v>42178</v>
      </c>
      <c r="F121">
        <v>0.64107000000000003</v>
      </c>
      <c r="G121">
        <v>0.66144000000000003</v>
      </c>
      <c r="H121">
        <v>0.70255000000000001</v>
      </c>
      <c r="I121">
        <v>0.62458999999999998</v>
      </c>
      <c r="J121">
        <v>0.69655</v>
      </c>
      <c r="K121">
        <v>0.76300000000000001</v>
      </c>
      <c r="L121">
        <v>0.72701000000000005</v>
      </c>
      <c r="M121">
        <v>0.74382999999999999</v>
      </c>
      <c r="N121">
        <v>0.66296999999999995</v>
      </c>
      <c r="O121">
        <v>0.83521999999999996</v>
      </c>
      <c r="P121">
        <v>0.80893999999999999</v>
      </c>
      <c r="Q121">
        <v>0.69499999999999995</v>
      </c>
      <c r="R121">
        <v>0.72565999999999997</v>
      </c>
      <c r="S121">
        <v>0.81798999999999999</v>
      </c>
      <c r="T121">
        <v>0.82526999999999995</v>
      </c>
      <c r="U121">
        <v>0.72660999999999998</v>
      </c>
      <c r="V121">
        <v>0.77027000000000001</v>
      </c>
      <c r="W121">
        <v>0.82930999999999999</v>
      </c>
      <c r="X121">
        <v>0.88453999999999999</v>
      </c>
      <c r="Y121">
        <v>1.0009300000000001</v>
      </c>
      <c r="Z121">
        <v>0.95179000000000002</v>
      </c>
      <c r="AA121">
        <v>1.0104900000000001</v>
      </c>
      <c r="AB121">
        <v>1.0261199999999999</v>
      </c>
      <c r="AC121">
        <v>1.1774</v>
      </c>
      <c r="AD121">
        <v>1.2013199999999999</v>
      </c>
      <c r="AE121">
        <v>1.0972</v>
      </c>
      <c r="AF121">
        <v>1.25343</v>
      </c>
      <c r="AG121">
        <v>1.2935000000000001</v>
      </c>
      <c r="AH121">
        <v>1.3786700000000001</v>
      </c>
      <c r="AI121">
        <v>1.37883</v>
      </c>
      <c r="AJ121">
        <v>1.3992899999999999</v>
      </c>
      <c r="AK121">
        <v>1.2569900000000001</v>
      </c>
      <c r="AL121">
        <v>1.49366</v>
      </c>
      <c r="AM121">
        <v>1.63869</v>
      </c>
      <c r="AN121">
        <v>1.46113</v>
      </c>
      <c r="AO121">
        <v>1.70486</v>
      </c>
      <c r="AP121">
        <v>1.8173699999999999</v>
      </c>
      <c r="AQ121">
        <v>1.6453</v>
      </c>
      <c r="AR121">
        <v>1.8665799999999999</v>
      </c>
      <c r="AS121">
        <v>1.92126</v>
      </c>
      <c r="AT121">
        <v>1.9656499999999999</v>
      </c>
      <c r="AU121">
        <v>1.9358599999999999</v>
      </c>
      <c r="AV121">
        <v>1.8526</v>
      </c>
      <c r="AW121">
        <v>2.3442500000000002</v>
      </c>
      <c r="AX121">
        <v>2.3416700000000001</v>
      </c>
      <c r="AY121">
        <v>2.3860399999999999</v>
      </c>
      <c r="AZ121">
        <v>2.41174</v>
      </c>
      <c r="BA121">
        <v>2.4367800000000002</v>
      </c>
      <c r="BB121">
        <v>2.4687199999999998</v>
      </c>
      <c r="BC121">
        <v>2.4787699999999999</v>
      </c>
      <c r="BD121">
        <v>2.52007</v>
      </c>
      <c r="BE121">
        <v>2.4213300000000002</v>
      </c>
      <c r="BF121">
        <v>2.5874899999999998</v>
      </c>
      <c r="BG121">
        <v>2.5722700000000001</v>
      </c>
      <c r="BH121">
        <v>2.5676800000000002</v>
      </c>
      <c r="BI121">
        <v>2.5603099999999999</v>
      </c>
      <c r="BJ121">
        <v>2.54887</v>
      </c>
      <c r="BK121">
        <v>2.54867</v>
      </c>
      <c r="BL121">
        <v>2.5363899999999999</v>
      </c>
      <c r="BM121">
        <v>2.5353699999999999</v>
      </c>
      <c r="BN121">
        <v>2.5301100000000001</v>
      </c>
      <c r="BO121">
        <v>2.4672800000000001</v>
      </c>
      <c r="BP121">
        <v>2.5307200000000001</v>
      </c>
      <c r="BQ121">
        <v>2.5307300000000001</v>
      </c>
      <c r="BR121">
        <v>2.5274100000000002</v>
      </c>
      <c r="BS121">
        <v>2.5274200000000002</v>
      </c>
      <c r="BT121">
        <v>2.51817</v>
      </c>
      <c r="BW121">
        <v>2.5081899999999999</v>
      </c>
      <c r="BX121">
        <v>2.5082</v>
      </c>
      <c r="BY121">
        <v>2.5011299999999999</v>
      </c>
      <c r="BZ121">
        <v>2.4978099999999999</v>
      </c>
      <c r="CA121">
        <v>2.4978199999999999</v>
      </c>
      <c r="CB121">
        <v>2.49783</v>
      </c>
      <c r="CC121">
        <v>2.4978400000000001</v>
      </c>
      <c r="CD121">
        <v>2.4978400000000001</v>
      </c>
      <c r="CE121">
        <v>2.4975299999999998</v>
      </c>
      <c r="CF121">
        <v>2.4975399999999999</v>
      </c>
      <c r="CG121">
        <v>2.4942099999999998</v>
      </c>
      <c r="CH121">
        <v>2.4875500000000001</v>
      </c>
      <c r="CI121">
        <v>2.4866000000000001</v>
      </c>
      <c r="CJ121">
        <v>2.4867699999999999</v>
      </c>
      <c r="CK121">
        <v>2.4870899999999998</v>
      </c>
      <c r="CL121">
        <v>2.4870999999999999</v>
      </c>
      <c r="CM121">
        <v>2.4870999999999999</v>
      </c>
      <c r="CN121">
        <v>2.4871099999999999</v>
      </c>
      <c r="CO121">
        <v>2.48712</v>
      </c>
      <c r="CP121">
        <v>2.4758300000000002</v>
      </c>
      <c r="CQ121">
        <v>2.4733299999999998</v>
      </c>
      <c r="CS121">
        <v>2.46584</v>
      </c>
      <c r="CT121">
        <v>2.4729199999999998</v>
      </c>
      <c r="CU121">
        <v>2.4729299999999999</v>
      </c>
      <c r="CV121">
        <v>2.4729299999999999</v>
      </c>
      <c r="CW121">
        <v>2.4662799999999998</v>
      </c>
      <c r="CX121">
        <v>2.4662799999999998</v>
      </c>
      <c r="CY121">
        <v>2.45587</v>
      </c>
      <c r="CZ121">
        <v>2.4558800000000001</v>
      </c>
      <c r="DA121">
        <v>2.4608699999999999</v>
      </c>
      <c r="DB121">
        <v>2.4608699999999999</v>
      </c>
      <c r="DC121">
        <v>2.37134</v>
      </c>
    </row>
    <row r="122" spans="1:107" x14ac:dyDescent="0.25">
      <c r="A122">
        <f t="shared" si="1"/>
        <v>4</v>
      </c>
      <c r="B122" s="2">
        <v>42179</v>
      </c>
      <c r="F122">
        <v>0.62109000000000003</v>
      </c>
      <c r="G122">
        <v>0.65056999999999998</v>
      </c>
      <c r="H122">
        <v>0.67867999999999995</v>
      </c>
      <c r="I122">
        <v>0.60399000000000003</v>
      </c>
      <c r="J122">
        <v>0.69086000000000003</v>
      </c>
      <c r="K122">
        <v>0.72646999999999995</v>
      </c>
      <c r="L122">
        <v>0.73731999999999998</v>
      </c>
      <c r="M122">
        <v>0.70970999999999995</v>
      </c>
      <c r="N122">
        <v>0.63300000000000001</v>
      </c>
      <c r="O122">
        <v>0.81791000000000003</v>
      </c>
      <c r="P122">
        <v>0.78947999999999996</v>
      </c>
      <c r="Q122">
        <v>0.66769000000000001</v>
      </c>
      <c r="R122">
        <v>0.69762999999999997</v>
      </c>
      <c r="S122">
        <v>0.79115999999999997</v>
      </c>
      <c r="T122">
        <v>0.79854000000000003</v>
      </c>
      <c r="U122">
        <v>0.69626999999999994</v>
      </c>
      <c r="V122">
        <v>0.7399</v>
      </c>
      <c r="W122">
        <v>0.79835999999999996</v>
      </c>
      <c r="X122">
        <v>0.85387000000000002</v>
      </c>
      <c r="Y122">
        <v>0.95775999999999994</v>
      </c>
      <c r="Z122">
        <v>0.90639000000000003</v>
      </c>
      <c r="AA122">
        <v>0.96397999999999995</v>
      </c>
      <c r="AB122">
        <v>0.98706000000000005</v>
      </c>
      <c r="AC122">
        <v>1.13168</v>
      </c>
      <c r="AD122">
        <v>1.1559200000000001</v>
      </c>
      <c r="AE122">
        <v>1.0389999999999999</v>
      </c>
      <c r="AF122">
        <v>1.20675</v>
      </c>
      <c r="AG122">
        <v>1.2466999999999999</v>
      </c>
      <c r="AH122">
        <v>1.3299099999999999</v>
      </c>
      <c r="AI122">
        <v>1.32948</v>
      </c>
      <c r="AJ122">
        <v>1.35073</v>
      </c>
      <c r="AK122">
        <v>1.2085699999999999</v>
      </c>
      <c r="AL122">
        <v>1.4449700000000001</v>
      </c>
      <c r="AM122">
        <v>1.5824499999999999</v>
      </c>
      <c r="AN122">
        <v>1.40543</v>
      </c>
      <c r="AO122">
        <v>1.64435</v>
      </c>
      <c r="AP122">
        <v>1.75935</v>
      </c>
      <c r="AQ122">
        <v>1.58694</v>
      </c>
      <c r="AR122">
        <v>1.8085800000000001</v>
      </c>
      <c r="AS122">
        <v>1.86267</v>
      </c>
      <c r="AT122">
        <v>1.90709</v>
      </c>
      <c r="AU122">
        <v>1.8788199999999999</v>
      </c>
      <c r="AV122">
        <v>1.7969999999999999</v>
      </c>
      <c r="AW122">
        <v>2.2904399999999998</v>
      </c>
      <c r="AX122">
        <v>2.2871000000000001</v>
      </c>
      <c r="AY122">
        <v>2.33196</v>
      </c>
      <c r="AZ122">
        <v>2.3586900000000002</v>
      </c>
      <c r="BA122">
        <v>2.3754900000000001</v>
      </c>
      <c r="BB122">
        <v>2.4245199999999998</v>
      </c>
      <c r="BC122">
        <v>2.4359700000000002</v>
      </c>
      <c r="BD122">
        <v>2.47858</v>
      </c>
      <c r="BE122">
        <v>2.3791099999999998</v>
      </c>
      <c r="BF122">
        <v>2.5491299999999999</v>
      </c>
      <c r="BG122">
        <v>2.5339800000000001</v>
      </c>
      <c r="BH122">
        <v>2.5291700000000001</v>
      </c>
      <c r="BI122">
        <v>2.5217000000000001</v>
      </c>
      <c r="BJ122">
        <v>2.51071</v>
      </c>
      <c r="BK122">
        <v>2.5094099999999999</v>
      </c>
      <c r="BL122">
        <v>2.4972400000000001</v>
      </c>
      <c r="BM122">
        <v>2.4961199999999999</v>
      </c>
      <c r="BN122">
        <v>2.4908299999999999</v>
      </c>
      <c r="BO122">
        <v>2.42984</v>
      </c>
      <c r="BP122">
        <v>2.4914900000000002</v>
      </c>
      <c r="BQ122">
        <v>2.4915099999999999</v>
      </c>
      <c r="BR122">
        <v>2.4882</v>
      </c>
      <c r="BS122">
        <v>2.48821</v>
      </c>
      <c r="BT122">
        <v>2.47892</v>
      </c>
      <c r="BW122">
        <v>2.4659399999999998</v>
      </c>
      <c r="BX122">
        <v>2.4689700000000001</v>
      </c>
      <c r="BY122">
        <v>2.4626399999999999</v>
      </c>
      <c r="BZ122">
        <v>2.45932</v>
      </c>
      <c r="CA122">
        <v>2.4593400000000001</v>
      </c>
      <c r="CB122">
        <v>2.4593500000000001</v>
      </c>
      <c r="CC122">
        <v>2.4593600000000002</v>
      </c>
      <c r="CD122">
        <v>2.4593699999999998</v>
      </c>
      <c r="CE122">
        <v>2.45906</v>
      </c>
      <c r="CF122">
        <v>2.4590700000000001</v>
      </c>
      <c r="CG122">
        <v>2.4535900000000002</v>
      </c>
      <c r="CH122">
        <v>2.44842</v>
      </c>
      <c r="CI122">
        <v>2.4475799999999999</v>
      </c>
      <c r="CJ122">
        <v>2.44842</v>
      </c>
      <c r="CK122">
        <v>2.4491000000000001</v>
      </c>
      <c r="CL122">
        <v>2.4491100000000001</v>
      </c>
      <c r="CM122">
        <v>2.4491100000000001</v>
      </c>
      <c r="CN122">
        <v>2.4491200000000002</v>
      </c>
      <c r="CO122">
        <v>2.4491299999999998</v>
      </c>
      <c r="CP122">
        <v>2.4376899999999999</v>
      </c>
      <c r="CQ122">
        <v>2.44415</v>
      </c>
      <c r="CS122">
        <v>2.4277199999999999</v>
      </c>
      <c r="CT122">
        <v>2.4391600000000002</v>
      </c>
      <c r="CU122">
        <v>2.4391699999999998</v>
      </c>
      <c r="CV122">
        <v>2.4391799999999999</v>
      </c>
      <c r="CW122">
        <v>2.42788</v>
      </c>
      <c r="CX122">
        <v>2.4278900000000001</v>
      </c>
      <c r="CY122">
        <v>2.4317000000000002</v>
      </c>
      <c r="CZ122">
        <v>2.41778</v>
      </c>
      <c r="DA122">
        <v>2.4102899999999998</v>
      </c>
      <c r="DB122">
        <v>2.4102899999999998</v>
      </c>
      <c r="DC122">
        <v>2.3329599999999999</v>
      </c>
    </row>
    <row r="123" spans="1:107" x14ac:dyDescent="0.25">
      <c r="A123">
        <f t="shared" si="1"/>
        <v>5</v>
      </c>
      <c r="B123" s="2">
        <v>42180</v>
      </c>
      <c r="F123">
        <v>0.62036999999999998</v>
      </c>
      <c r="G123">
        <v>0.64049</v>
      </c>
      <c r="H123">
        <v>0.69001999999999997</v>
      </c>
      <c r="I123">
        <v>0.61267000000000005</v>
      </c>
      <c r="J123">
        <v>0.69079999999999997</v>
      </c>
      <c r="K123">
        <v>0.72409000000000001</v>
      </c>
      <c r="L123">
        <v>0.71319999999999995</v>
      </c>
      <c r="M123">
        <v>0.71858999999999995</v>
      </c>
      <c r="N123">
        <v>0.64483000000000001</v>
      </c>
      <c r="O123">
        <v>0.81749000000000005</v>
      </c>
      <c r="P123">
        <v>0.80754999999999999</v>
      </c>
      <c r="Q123">
        <v>0.68252999999999997</v>
      </c>
      <c r="R123">
        <v>0.71355000000000002</v>
      </c>
      <c r="S123">
        <v>0.80718999999999996</v>
      </c>
      <c r="T123">
        <v>0.81460999999999995</v>
      </c>
      <c r="U123">
        <v>0.71264000000000005</v>
      </c>
      <c r="V123">
        <v>0.75500999999999996</v>
      </c>
      <c r="W123">
        <v>0.81442000000000003</v>
      </c>
      <c r="X123">
        <v>0.87007000000000001</v>
      </c>
      <c r="Y123">
        <v>0.98555999999999999</v>
      </c>
      <c r="Z123">
        <v>0.93503999999999998</v>
      </c>
      <c r="AA123">
        <v>0.98540000000000005</v>
      </c>
      <c r="AB123">
        <v>1.03355</v>
      </c>
      <c r="AC123">
        <v>1.1620299999999999</v>
      </c>
      <c r="AD123">
        <v>1.18767</v>
      </c>
      <c r="AE123">
        <v>1.08131</v>
      </c>
      <c r="AF123">
        <v>1.23908</v>
      </c>
      <c r="AG123">
        <v>1.27959</v>
      </c>
      <c r="AH123">
        <v>1.36612</v>
      </c>
      <c r="AI123">
        <v>1.3567400000000001</v>
      </c>
      <c r="AJ123">
        <v>1.38289</v>
      </c>
      <c r="AK123">
        <v>1.24295</v>
      </c>
      <c r="AL123">
        <v>1.47976</v>
      </c>
      <c r="AM123">
        <v>1.62209</v>
      </c>
      <c r="AN123">
        <v>1.4269099999999999</v>
      </c>
      <c r="AO123">
        <v>1.6839999999999999</v>
      </c>
      <c r="AP123">
        <v>1.8069599999999999</v>
      </c>
      <c r="AQ123">
        <v>1.63293</v>
      </c>
      <c r="AR123">
        <v>1.8562000000000001</v>
      </c>
      <c r="AS123">
        <v>1.9100999999999999</v>
      </c>
      <c r="AT123">
        <v>1.95516</v>
      </c>
      <c r="AU123">
        <v>1.92425</v>
      </c>
      <c r="AV123">
        <v>1.8411999999999999</v>
      </c>
      <c r="AW123">
        <v>2.3320099999999999</v>
      </c>
      <c r="AX123">
        <v>2.3314499999999998</v>
      </c>
      <c r="AY123">
        <v>2.37025</v>
      </c>
      <c r="AZ123">
        <v>2.3994800000000001</v>
      </c>
      <c r="BA123">
        <v>2.4245299999999999</v>
      </c>
      <c r="BB123">
        <v>2.4528500000000002</v>
      </c>
      <c r="BC123">
        <v>2.4703400000000002</v>
      </c>
      <c r="BD123">
        <v>2.50969</v>
      </c>
      <c r="BE123">
        <v>2.4095499999999999</v>
      </c>
      <c r="BF123">
        <v>2.5782600000000002</v>
      </c>
      <c r="BG123">
        <v>2.5628199999999999</v>
      </c>
      <c r="BH123">
        <v>2.5581200000000002</v>
      </c>
      <c r="BI123">
        <v>2.5505499999999999</v>
      </c>
      <c r="BJ123">
        <v>2.53898</v>
      </c>
      <c r="BK123">
        <v>2.5382500000000001</v>
      </c>
      <c r="BL123">
        <v>2.5255100000000001</v>
      </c>
      <c r="BM123">
        <v>2.52054</v>
      </c>
      <c r="BN123">
        <v>2.5199500000000001</v>
      </c>
      <c r="BO123">
        <v>2.4585400000000002</v>
      </c>
      <c r="BP123">
        <v>2.52033</v>
      </c>
      <c r="BQ123">
        <v>2.5203500000000001</v>
      </c>
      <c r="BR123">
        <v>2.5170400000000002</v>
      </c>
      <c r="BS123">
        <v>2.5170599999999999</v>
      </c>
      <c r="BT123">
        <v>2.5080399999999998</v>
      </c>
      <c r="BW123">
        <v>2.4980799999999999</v>
      </c>
      <c r="BX123">
        <v>2.4980899999999999</v>
      </c>
      <c r="BY123">
        <v>2.4914800000000001</v>
      </c>
      <c r="BZ123">
        <v>2.4881700000000002</v>
      </c>
      <c r="CA123">
        <v>2.4881799999999998</v>
      </c>
      <c r="CB123">
        <v>2.4881899999999999</v>
      </c>
      <c r="CC123">
        <v>2.48821</v>
      </c>
      <c r="CD123">
        <v>2.4882200000000001</v>
      </c>
      <c r="CE123">
        <v>2.4879099999999998</v>
      </c>
      <c r="CF123">
        <v>2.4879199999999999</v>
      </c>
      <c r="CG123">
        <v>2.4827300000000001</v>
      </c>
      <c r="CH123">
        <v>2.4772699999999999</v>
      </c>
      <c r="CI123">
        <v>2.4739499999999999</v>
      </c>
      <c r="CJ123">
        <v>2.4767000000000001</v>
      </c>
      <c r="CK123">
        <v>2.4773700000000001</v>
      </c>
      <c r="CL123">
        <v>2.4773800000000001</v>
      </c>
      <c r="CM123">
        <v>2.4773900000000002</v>
      </c>
      <c r="CN123">
        <v>2.4773999999999998</v>
      </c>
      <c r="CO123">
        <v>2.4774099999999999</v>
      </c>
      <c r="CP123">
        <v>2.4668299999999999</v>
      </c>
      <c r="CQ123">
        <v>2.4724200000000001</v>
      </c>
      <c r="CS123">
        <v>2.4568599999999998</v>
      </c>
      <c r="CT123">
        <v>2.4633699999999998</v>
      </c>
      <c r="CU123">
        <v>2.4633799999999999</v>
      </c>
      <c r="CV123">
        <v>2.4633799999999999</v>
      </c>
      <c r="CW123">
        <v>2.4567299999999999</v>
      </c>
      <c r="CX123">
        <v>2.4567399999999999</v>
      </c>
      <c r="CY123">
        <v>2.4469099999999999</v>
      </c>
      <c r="CZ123">
        <v>2.4469099999999999</v>
      </c>
      <c r="DA123">
        <v>2.4508899999999998</v>
      </c>
      <c r="DB123">
        <v>2.4508999999999999</v>
      </c>
      <c r="DC123">
        <v>2.3618199999999998</v>
      </c>
    </row>
    <row r="124" spans="1:107" x14ac:dyDescent="0.25">
      <c r="A124">
        <f t="shared" si="1"/>
        <v>6</v>
      </c>
      <c r="B124" s="2">
        <v>42181</v>
      </c>
      <c r="F124">
        <v>0.60955000000000004</v>
      </c>
      <c r="G124">
        <v>0.63949999999999996</v>
      </c>
      <c r="H124">
        <v>0.68003999999999998</v>
      </c>
      <c r="I124">
        <v>0.60775999999999997</v>
      </c>
      <c r="J124">
        <v>0.68789</v>
      </c>
      <c r="K124">
        <v>0.75177000000000005</v>
      </c>
      <c r="L124">
        <v>0.71692999999999996</v>
      </c>
      <c r="M124">
        <v>0.72082999999999997</v>
      </c>
      <c r="N124">
        <v>0.65386</v>
      </c>
      <c r="O124">
        <v>0.8206</v>
      </c>
      <c r="P124">
        <v>0.81267</v>
      </c>
      <c r="Q124">
        <v>0.69462999999999997</v>
      </c>
      <c r="R124">
        <v>0.72533000000000003</v>
      </c>
      <c r="S124">
        <v>0.82211000000000001</v>
      </c>
      <c r="T124">
        <v>0.83967000000000003</v>
      </c>
      <c r="U124">
        <v>0.73131000000000002</v>
      </c>
      <c r="V124">
        <v>0.77171999999999996</v>
      </c>
      <c r="W124">
        <v>0.82808999999999999</v>
      </c>
      <c r="X124">
        <v>0.88058999999999998</v>
      </c>
      <c r="Y124">
        <v>1.00813</v>
      </c>
      <c r="Z124">
        <v>0.96313000000000004</v>
      </c>
      <c r="AA124">
        <v>1.0081</v>
      </c>
      <c r="AB124">
        <v>1.0548599999999999</v>
      </c>
      <c r="AC124">
        <v>1.1887000000000001</v>
      </c>
      <c r="AD124">
        <v>1.1938599999999999</v>
      </c>
      <c r="AE124">
        <v>1.11425</v>
      </c>
      <c r="AF124">
        <v>1.2579</v>
      </c>
      <c r="AG124">
        <v>1.3048900000000001</v>
      </c>
      <c r="AH124">
        <v>1.40543</v>
      </c>
      <c r="AI124">
        <v>1.40524</v>
      </c>
      <c r="AJ124">
        <v>1.41045</v>
      </c>
      <c r="AK124">
        <v>1.2783</v>
      </c>
      <c r="AL124">
        <v>1.51708</v>
      </c>
      <c r="AM124">
        <v>1.6750499999999999</v>
      </c>
      <c r="AN124">
        <v>1.46265</v>
      </c>
      <c r="AO124">
        <v>1.7371799999999999</v>
      </c>
      <c r="AP124">
        <v>1.84745</v>
      </c>
      <c r="AQ124">
        <v>1.67761</v>
      </c>
      <c r="AR124">
        <v>1.8965799999999999</v>
      </c>
      <c r="AS124">
        <v>1.9681</v>
      </c>
      <c r="AT124">
        <v>2.0141800000000001</v>
      </c>
      <c r="AU124">
        <v>1.94937</v>
      </c>
      <c r="AV124">
        <v>1.89117</v>
      </c>
      <c r="AW124">
        <v>2.3875099999999998</v>
      </c>
      <c r="AX124">
        <v>2.3740600000000001</v>
      </c>
      <c r="AY124">
        <v>2.4210699999999998</v>
      </c>
      <c r="AZ124">
        <v>2.4443899999999998</v>
      </c>
      <c r="BA124">
        <v>2.47112</v>
      </c>
      <c r="BB124">
        <v>2.5115799999999999</v>
      </c>
      <c r="BC124">
        <v>2.5196200000000002</v>
      </c>
      <c r="BD124">
        <v>2.5547599999999999</v>
      </c>
      <c r="BE124">
        <v>2.46034</v>
      </c>
      <c r="BF124">
        <v>2.6234000000000002</v>
      </c>
      <c r="BG124">
        <v>2.6084499999999999</v>
      </c>
      <c r="BH124">
        <v>2.6032799999999998</v>
      </c>
      <c r="BI124">
        <v>2.5955699999999999</v>
      </c>
      <c r="BJ124">
        <v>2.5836700000000001</v>
      </c>
      <c r="BK124">
        <v>2.5839599999999998</v>
      </c>
      <c r="BL124">
        <v>2.5712199999999998</v>
      </c>
      <c r="BM124">
        <v>2.5662500000000001</v>
      </c>
      <c r="BN124">
        <v>2.5661499999999999</v>
      </c>
      <c r="BO124">
        <v>2.5060899999999999</v>
      </c>
      <c r="BP124">
        <v>2.5612900000000001</v>
      </c>
      <c r="BQ124">
        <v>2.5613199999999998</v>
      </c>
      <c r="BR124">
        <v>2.5627800000000001</v>
      </c>
      <c r="BS124">
        <v>2.5628000000000002</v>
      </c>
      <c r="BT124">
        <v>2.5542600000000002</v>
      </c>
      <c r="BW124">
        <v>2.5442999999999998</v>
      </c>
      <c r="BX124">
        <v>2.54623</v>
      </c>
      <c r="BY124">
        <v>2.5371899999999998</v>
      </c>
      <c r="BZ124">
        <v>2.5338699999999998</v>
      </c>
      <c r="CA124">
        <v>2.53389</v>
      </c>
      <c r="CB124">
        <v>2.5339100000000001</v>
      </c>
      <c r="CC124">
        <v>2.5339200000000002</v>
      </c>
      <c r="CD124">
        <v>2.5339399999999999</v>
      </c>
      <c r="CE124">
        <v>2.53301</v>
      </c>
      <c r="CF124">
        <v>2.5330300000000001</v>
      </c>
      <c r="CG124">
        <v>2.52806</v>
      </c>
      <c r="CH124">
        <v>2.5230600000000001</v>
      </c>
      <c r="CI124">
        <v>2.5197400000000001</v>
      </c>
      <c r="CJ124">
        <v>2.5221100000000001</v>
      </c>
      <c r="CK124">
        <v>2.5230700000000001</v>
      </c>
      <c r="CL124">
        <v>2.5230800000000002</v>
      </c>
      <c r="CM124">
        <v>2.5230899999999998</v>
      </c>
      <c r="CN124">
        <v>2.5230999999999999</v>
      </c>
      <c r="CO124">
        <v>2.52311</v>
      </c>
      <c r="CP124">
        <v>2.5120900000000002</v>
      </c>
      <c r="CQ124">
        <v>2.5181300000000002</v>
      </c>
      <c r="CS124">
        <v>2.5021200000000001</v>
      </c>
      <c r="CT124">
        <v>2.5131700000000001</v>
      </c>
      <c r="CU124">
        <v>2.5131800000000002</v>
      </c>
      <c r="CV124">
        <v>2.5131899999999998</v>
      </c>
      <c r="CW124">
        <v>2.4946600000000001</v>
      </c>
      <c r="CX124">
        <v>2.4946700000000002</v>
      </c>
      <c r="CY124">
        <v>2.4921799999999998</v>
      </c>
      <c r="CZ124">
        <v>2.4921899999999999</v>
      </c>
      <c r="DA124">
        <v>2.4957699999999998</v>
      </c>
      <c r="DB124">
        <v>2.4957699999999998</v>
      </c>
      <c r="DC124">
        <v>2.4066399999999999</v>
      </c>
    </row>
    <row r="125" spans="1:107" x14ac:dyDescent="0.25">
      <c r="A125">
        <f t="shared" si="1"/>
        <v>2</v>
      </c>
      <c r="B125" s="2">
        <v>42184</v>
      </c>
      <c r="F125">
        <v>0.59406000000000003</v>
      </c>
      <c r="G125">
        <v>0.63514000000000004</v>
      </c>
      <c r="H125">
        <v>0.66444000000000003</v>
      </c>
      <c r="I125">
        <v>0.69174999999999998</v>
      </c>
      <c r="J125">
        <v>0.64327999999999996</v>
      </c>
      <c r="K125">
        <v>0.67491000000000001</v>
      </c>
      <c r="L125">
        <v>0.69974000000000003</v>
      </c>
      <c r="M125">
        <v>0.68752000000000002</v>
      </c>
      <c r="N125">
        <v>0.60031999999999996</v>
      </c>
      <c r="O125">
        <v>0.77127000000000001</v>
      </c>
      <c r="P125">
        <v>0.77310999999999996</v>
      </c>
      <c r="Q125">
        <v>0.62407000000000001</v>
      </c>
      <c r="R125">
        <v>0.66439000000000004</v>
      </c>
      <c r="S125">
        <v>0.75236999999999998</v>
      </c>
      <c r="T125">
        <v>0.77302999999999999</v>
      </c>
      <c r="U125">
        <v>0.65329000000000004</v>
      </c>
      <c r="V125">
        <v>0.70289000000000001</v>
      </c>
      <c r="W125">
        <v>0.76022000000000001</v>
      </c>
      <c r="X125">
        <v>0.81405000000000005</v>
      </c>
      <c r="Y125">
        <v>0.91957999999999995</v>
      </c>
      <c r="Z125">
        <v>0.86843000000000004</v>
      </c>
      <c r="AA125">
        <v>0.92859999999999998</v>
      </c>
      <c r="AB125">
        <v>0.96986000000000006</v>
      </c>
      <c r="AC125">
        <v>1.0966899999999999</v>
      </c>
      <c r="AD125">
        <v>1.0687</v>
      </c>
      <c r="AE125">
        <v>0.99294000000000004</v>
      </c>
      <c r="AF125">
        <v>1.1578999999999999</v>
      </c>
      <c r="AG125">
        <v>1.20004</v>
      </c>
      <c r="AH125">
        <v>1.3045199999999999</v>
      </c>
      <c r="AI125">
        <v>1.2844199999999999</v>
      </c>
      <c r="AJ125">
        <v>1.31484</v>
      </c>
      <c r="AK125">
        <v>1.15265</v>
      </c>
      <c r="AL125">
        <v>1.4076299999999999</v>
      </c>
      <c r="AM125">
        <v>1.5541</v>
      </c>
      <c r="AN125">
        <v>1.3631599999999999</v>
      </c>
      <c r="AO125">
        <v>1.6168400000000001</v>
      </c>
      <c r="AP125">
        <v>1.7359800000000001</v>
      </c>
      <c r="AQ125">
        <v>1.5580799999999999</v>
      </c>
      <c r="AR125">
        <v>1.7851999999999999</v>
      </c>
      <c r="AS125">
        <v>1.8429800000000001</v>
      </c>
      <c r="AT125">
        <v>1.9009799999999999</v>
      </c>
      <c r="AU125">
        <v>1.8405400000000001</v>
      </c>
      <c r="AV125">
        <v>1.7660199999999999</v>
      </c>
      <c r="AW125">
        <v>2.2713999999999999</v>
      </c>
      <c r="AX125">
        <v>2.2622</v>
      </c>
      <c r="AY125">
        <v>2.3070200000000001</v>
      </c>
      <c r="AZ125">
        <v>2.3260999999999998</v>
      </c>
      <c r="BA125">
        <v>2.3498800000000002</v>
      </c>
      <c r="BB125">
        <v>2.3908499999999999</v>
      </c>
      <c r="BC125">
        <v>2.4041800000000002</v>
      </c>
      <c r="BD125">
        <v>2.4451299999999998</v>
      </c>
      <c r="BE125">
        <v>2.35005</v>
      </c>
      <c r="BF125">
        <v>2.5157099999999999</v>
      </c>
      <c r="BG125">
        <v>2.5003299999999999</v>
      </c>
      <c r="BH125">
        <v>2.4957600000000002</v>
      </c>
      <c r="BI125">
        <v>2.4883700000000002</v>
      </c>
      <c r="BJ125">
        <v>2.47756</v>
      </c>
      <c r="BK125">
        <v>2.47573</v>
      </c>
      <c r="BL125">
        <v>2.4635899999999999</v>
      </c>
      <c r="BM125">
        <v>2.46244</v>
      </c>
      <c r="BN125">
        <v>2.4568699999999999</v>
      </c>
      <c r="BO125">
        <v>2.3978199999999998</v>
      </c>
      <c r="BP125">
        <v>2.4577900000000001</v>
      </c>
      <c r="BQ125">
        <v>2.4578099999999998</v>
      </c>
      <c r="BR125">
        <v>2.4544899999999998</v>
      </c>
      <c r="BS125">
        <v>2.45451</v>
      </c>
      <c r="BT125">
        <v>2.44495</v>
      </c>
      <c r="BW125">
        <v>2.4318900000000001</v>
      </c>
      <c r="BX125">
        <v>2.43499</v>
      </c>
      <c r="BY125">
        <v>2.4285800000000002</v>
      </c>
      <c r="BZ125">
        <v>2.4252600000000002</v>
      </c>
      <c r="CA125">
        <v>2.4252799999999999</v>
      </c>
      <c r="CB125">
        <v>2.4252899999999999</v>
      </c>
      <c r="CC125">
        <v>2.4253</v>
      </c>
      <c r="CD125">
        <v>2.4253100000000001</v>
      </c>
      <c r="CE125">
        <v>2.4253100000000001</v>
      </c>
      <c r="CF125">
        <v>2.4253200000000001</v>
      </c>
      <c r="CG125">
        <v>2.42008</v>
      </c>
      <c r="CH125">
        <v>2.4146800000000002</v>
      </c>
      <c r="CI125">
        <v>2.4138600000000001</v>
      </c>
      <c r="CJ125">
        <v>2.4145400000000001</v>
      </c>
      <c r="CK125">
        <v>2.4148800000000001</v>
      </c>
      <c r="CL125">
        <v>2.4148900000000002</v>
      </c>
      <c r="CM125">
        <v>2.4148900000000002</v>
      </c>
      <c r="CN125">
        <v>2.4148999999999998</v>
      </c>
      <c r="CO125">
        <v>2.4149099999999999</v>
      </c>
      <c r="CP125">
        <v>2.4036499999999998</v>
      </c>
      <c r="CQ125">
        <v>2.4099200000000001</v>
      </c>
      <c r="CS125">
        <v>2.3936799999999998</v>
      </c>
      <c r="CT125">
        <v>2.4164400000000001</v>
      </c>
      <c r="CU125">
        <v>2.4164500000000002</v>
      </c>
      <c r="CV125">
        <v>2.4164500000000002</v>
      </c>
      <c r="CW125">
        <v>2.3937599999999999</v>
      </c>
      <c r="CX125">
        <v>2.39377</v>
      </c>
      <c r="CY125">
        <v>2.41147</v>
      </c>
      <c r="CZ125">
        <v>2.3924699999999999</v>
      </c>
      <c r="DA125">
        <v>2.4064700000000001</v>
      </c>
      <c r="DB125">
        <v>2.4064800000000002</v>
      </c>
      <c r="DC125">
        <v>2.30125</v>
      </c>
    </row>
    <row r="126" spans="1:107" x14ac:dyDescent="0.25">
      <c r="A126">
        <f t="shared" si="1"/>
        <v>3</v>
      </c>
      <c r="B126" s="2">
        <v>42185</v>
      </c>
      <c r="F126">
        <v>0.55505000000000004</v>
      </c>
      <c r="G126">
        <v>0.61380999999999997</v>
      </c>
      <c r="H126">
        <v>0.61973</v>
      </c>
      <c r="I126">
        <v>0.58221999999999996</v>
      </c>
      <c r="J126">
        <v>0.61834999999999996</v>
      </c>
      <c r="K126">
        <v>0.66020999999999996</v>
      </c>
      <c r="L126">
        <v>0.67410000000000003</v>
      </c>
      <c r="M126">
        <v>0.64087000000000005</v>
      </c>
      <c r="N126">
        <v>0.54035</v>
      </c>
      <c r="O126">
        <v>0.75907000000000002</v>
      </c>
      <c r="P126">
        <v>0.70828000000000002</v>
      </c>
      <c r="Q126">
        <v>0.56254000000000004</v>
      </c>
      <c r="R126">
        <v>0.59889999999999999</v>
      </c>
      <c r="S126">
        <v>0.67791999999999997</v>
      </c>
      <c r="T126">
        <v>0.69901000000000002</v>
      </c>
      <c r="U126">
        <v>0.58230999999999999</v>
      </c>
      <c r="V126">
        <v>0.62770999999999999</v>
      </c>
      <c r="W126">
        <v>0.68140000000000001</v>
      </c>
      <c r="X126">
        <v>0.71740999999999999</v>
      </c>
      <c r="Y126">
        <v>0.83706999999999998</v>
      </c>
      <c r="Z126">
        <v>0.77559999999999996</v>
      </c>
      <c r="AA126">
        <v>0.83460000000000001</v>
      </c>
      <c r="AB126">
        <v>0.86541000000000001</v>
      </c>
      <c r="AC126">
        <v>0.99048999999999998</v>
      </c>
      <c r="AD126">
        <v>0.98907999999999996</v>
      </c>
      <c r="AE126">
        <v>0.90158000000000005</v>
      </c>
      <c r="AF126">
        <v>1.07165</v>
      </c>
      <c r="AG126">
        <v>1.1150100000000001</v>
      </c>
      <c r="AH126">
        <v>1.1990099999999999</v>
      </c>
      <c r="AI126">
        <v>1.19495</v>
      </c>
      <c r="AJ126">
        <v>1.2342299999999999</v>
      </c>
      <c r="AK126">
        <v>1.0559000000000001</v>
      </c>
      <c r="AL126">
        <v>1.32233</v>
      </c>
      <c r="AM126">
        <v>1.4748399999999999</v>
      </c>
      <c r="AN126">
        <v>1.2865200000000001</v>
      </c>
      <c r="AO126">
        <v>1.5428999999999999</v>
      </c>
      <c r="AP126">
        <v>1.6699200000000001</v>
      </c>
      <c r="AQ126">
        <v>1.49942</v>
      </c>
      <c r="AR126">
        <v>1.7277800000000001</v>
      </c>
      <c r="AS126">
        <v>1.77904</v>
      </c>
      <c r="AT126">
        <v>1.8384499999999999</v>
      </c>
      <c r="AU126">
        <v>1.7612000000000001</v>
      </c>
      <c r="AV126">
        <v>1.7071099999999999</v>
      </c>
      <c r="AW126">
        <v>2.2219699999999998</v>
      </c>
      <c r="AX126">
        <v>2.1973199999999999</v>
      </c>
      <c r="AY126">
        <v>2.2456700000000001</v>
      </c>
      <c r="AZ126">
        <v>2.28653</v>
      </c>
      <c r="BA126">
        <v>2.3104</v>
      </c>
      <c r="BB126">
        <v>2.3470499999999999</v>
      </c>
      <c r="BC126">
        <v>2.3574099999999998</v>
      </c>
      <c r="BD126">
        <v>2.3984299999999998</v>
      </c>
      <c r="BE126">
        <v>2.3063199999999999</v>
      </c>
      <c r="BF126">
        <v>2.4651999999999998</v>
      </c>
      <c r="BG126">
        <v>2.4552399999999999</v>
      </c>
      <c r="BH126">
        <v>2.4552299999999998</v>
      </c>
      <c r="BI126">
        <v>2.4399899999999999</v>
      </c>
      <c r="BJ126">
        <v>2.42685</v>
      </c>
      <c r="BK126">
        <v>2.43988</v>
      </c>
      <c r="BL126">
        <v>2.42069</v>
      </c>
      <c r="BM126">
        <v>2.4157299999999999</v>
      </c>
      <c r="BN126">
        <v>2.41547</v>
      </c>
      <c r="BO126">
        <v>2.3571</v>
      </c>
      <c r="BP126">
        <v>2.4154</v>
      </c>
      <c r="BQ126">
        <v>2.4154200000000001</v>
      </c>
      <c r="BR126">
        <v>2.4175300000000002</v>
      </c>
      <c r="BS126">
        <v>2.4175399999999998</v>
      </c>
      <c r="BT126">
        <v>2.4030800000000001</v>
      </c>
      <c r="BW126">
        <v>2.3931200000000001</v>
      </c>
      <c r="BX126">
        <v>2.3955600000000001</v>
      </c>
      <c r="BY126">
        <v>2.3881600000000001</v>
      </c>
      <c r="BZ126">
        <v>2.3831799999999999</v>
      </c>
      <c r="CA126">
        <v>2.3831899999999999</v>
      </c>
      <c r="CB126">
        <v>2.3832100000000001</v>
      </c>
      <c r="CC126">
        <v>2.3832200000000001</v>
      </c>
      <c r="CD126">
        <v>2.3832399999999998</v>
      </c>
      <c r="CE126">
        <v>2.3752300000000002</v>
      </c>
      <c r="CF126">
        <v>2.3752499999999999</v>
      </c>
      <c r="CG126">
        <v>2.3734099999999998</v>
      </c>
      <c r="CH126">
        <v>2.37263</v>
      </c>
      <c r="CI126">
        <v>2.37195</v>
      </c>
      <c r="CJ126">
        <v>2.3690699999999998</v>
      </c>
      <c r="CK126">
        <v>2.3643800000000001</v>
      </c>
      <c r="CL126">
        <v>2.3643900000000002</v>
      </c>
      <c r="CM126">
        <v>2.3644099999999999</v>
      </c>
      <c r="CN126">
        <v>2.36442</v>
      </c>
      <c r="CO126">
        <v>2.3619300000000001</v>
      </c>
      <c r="CP126">
        <v>2.3569399999999998</v>
      </c>
      <c r="CQ126">
        <v>2.3544499999999999</v>
      </c>
      <c r="CS126">
        <v>2.3608899999999999</v>
      </c>
      <c r="CT126">
        <v>2.3658199999999998</v>
      </c>
      <c r="CU126">
        <v>2.37371</v>
      </c>
      <c r="CV126">
        <v>2.3737200000000001</v>
      </c>
      <c r="CW126">
        <v>2.3554200000000001</v>
      </c>
      <c r="CX126">
        <v>2.3554300000000001</v>
      </c>
      <c r="CY126">
        <v>2.3529300000000002</v>
      </c>
      <c r="CZ126">
        <v>2.34796</v>
      </c>
      <c r="DA126">
        <v>2.3454600000000001</v>
      </c>
      <c r="DB126">
        <v>2.3454700000000002</v>
      </c>
      <c r="DC126">
        <v>2.24986</v>
      </c>
    </row>
    <row r="127" spans="1:107" x14ac:dyDescent="0.25">
      <c r="A127">
        <f t="shared" si="1"/>
        <v>5</v>
      </c>
      <c r="B127" s="2">
        <v>42187</v>
      </c>
      <c r="F127">
        <v>0.56325999999999998</v>
      </c>
      <c r="G127">
        <v>0.63534999999999997</v>
      </c>
      <c r="H127">
        <v>0.63288</v>
      </c>
      <c r="I127">
        <v>0.55176999999999998</v>
      </c>
      <c r="J127">
        <v>0.61106000000000005</v>
      </c>
      <c r="K127">
        <v>0.65773999999999999</v>
      </c>
      <c r="L127">
        <v>0.67398999999999998</v>
      </c>
      <c r="M127">
        <v>0.64137</v>
      </c>
      <c r="N127">
        <v>0.53715999999999997</v>
      </c>
      <c r="O127">
        <v>0.74219999999999997</v>
      </c>
      <c r="P127">
        <v>0.71509999999999996</v>
      </c>
      <c r="Q127">
        <v>0.53978000000000004</v>
      </c>
      <c r="R127">
        <v>0.58301999999999998</v>
      </c>
      <c r="S127">
        <v>0.66857999999999995</v>
      </c>
      <c r="T127">
        <v>0.68889999999999996</v>
      </c>
      <c r="U127">
        <v>0.54488000000000003</v>
      </c>
      <c r="V127">
        <v>0.60748000000000002</v>
      </c>
      <c r="W127">
        <v>0.66381999999999997</v>
      </c>
      <c r="X127">
        <v>0.71684999999999999</v>
      </c>
      <c r="Y127">
        <v>0.83716000000000002</v>
      </c>
      <c r="Z127">
        <v>0.78849000000000002</v>
      </c>
      <c r="AA127">
        <v>0.85111000000000003</v>
      </c>
      <c r="AB127">
        <v>0.88202999999999998</v>
      </c>
      <c r="AC127">
        <v>0.99570000000000003</v>
      </c>
      <c r="AD127">
        <v>1.0123800000000001</v>
      </c>
      <c r="AE127">
        <v>0.92183999999999999</v>
      </c>
      <c r="AF127">
        <v>1.0854699999999999</v>
      </c>
      <c r="AG127">
        <v>1.1257900000000001</v>
      </c>
      <c r="AH127">
        <v>1.2427299999999999</v>
      </c>
      <c r="AI127">
        <v>1.21471</v>
      </c>
      <c r="AJ127">
        <v>1.2352099999999999</v>
      </c>
      <c r="AK127">
        <v>1.0835699999999999</v>
      </c>
      <c r="AL127">
        <v>1.3452299999999999</v>
      </c>
      <c r="AM127">
        <v>1.49875</v>
      </c>
      <c r="AN127">
        <v>1.3182700000000001</v>
      </c>
      <c r="AO127">
        <v>1.5665899999999999</v>
      </c>
      <c r="AP127">
        <v>1.70224</v>
      </c>
      <c r="AQ127">
        <v>1.52884</v>
      </c>
      <c r="AR127">
        <v>1.754</v>
      </c>
      <c r="AS127">
        <v>1.8334999999999999</v>
      </c>
      <c r="AT127">
        <v>1.87486</v>
      </c>
      <c r="AU127">
        <v>1.8134999999999999</v>
      </c>
      <c r="AV127">
        <v>1.76007</v>
      </c>
      <c r="AW127">
        <v>2.2775300000000001</v>
      </c>
      <c r="AX127">
        <v>2.2652100000000002</v>
      </c>
      <c r="AY127">
        <v>2.31514</v>
      </c>
      <c r="AZ127">
        <v>2.3309299999999999</v>
      </c>
      <c r="BA127">
        <v>2.35473</v>
      </c>
      <c r="BB127">
        <v>2.4107699999999999</v>
      </c>
      <c r="BC127">
        <v>2.42048</v>
      </c>
      <c r="BD127">
        <v>2.4527999999999999</v>
      </c>
      <c r="BE127">
        <v>2.3563499999999999</v>
      </c>
      <c r="BF127">
        <v>2.5343399999999998</v>
      </c>
      <c r="BG127">
        <v>2.5186000000000002</v>
      </c>
      <c r="BH127">
        <v>2.5137299999999998</v>
      </c>
      <c r="BI127">
        <v>2.50631</v>
      </c>
      <c r="BJ127">
        <v>2.4941200000000001</v>
      </c>
      <c r="BK127">
        <v>2.4946899999999999</v>
      </c>
      <c r="BL127">
        <v>2.4816500000000001</v>
      </c>
      <c r="BM127">
        <v>2.47668</v>
      </c>
      <c r="BN127">
        <v>2.4770400000000001</v>
      </c>
      <c r="BO127">
        <v>2.4177300000000002</v>
      </c>
      <c r="BP127">
        <v>2.4717099999999999</v>
      </c>
      <c r="BQ127">
        <v>2.47173</v>
      </c>
      <c r="BR127">
        <v>2.4767999999999999</v>
      </c>
      <c r="BS127">
        <v>2.4836100000000001</v>
      </c>
      <c r="BT127">
        <v>2.4735100000000001</v>
      </c>
      <c r="BW127">
        <v>2.4635400000000001</v>
      </c>
      <c r="BX127">
        <v>2.4568400000000001</v>
      </c>
      <c r="BY127">
        <v>2.4569100000000001</v>
      </c>
      <c r="BZ127">
        <v>2.4485999999999999</v>
      </c>
      <c r="CA127">
        <v>2.44861</v>
      </c>
      <c r="CB127">
        <v>2.44862</v>
      </c>
      <c r="CC127">
        <v>2.4462600000000001</v>
      </c>
      <c r="CD127">
        <v>2.4462700000000002</v>
      </c>
      <c r="CE127">
        <v>2.4443299999999999</v>
      </c>
      <c r="CF127">
        <v>2.44434</v>
      </c>
      <c r="CG127">
        <v>2.4388000000000001</v>
      </c>
      <c r="CH127">
        <v>2.4337</v>
      </c>
      <c r="CI127">
        <v>2.43038</v>
      </c>
      <c r="CJ127">
        <v>2.4303900000000001</v>
      </c>
      <c r="CK127">
        <v>2.4303400000000002</v>
      </c>
      <c r="CL127">
        <v>2.4303499999999998</v>
      </c>
      <c r="CM127">
        <v>2.4303599999999999</v>
      </c>
      <c r="CN127">
        <v>2.4481799999999998</v>
      </c>
      <c r="CO127">
        <v>2.4555400000000001</v>
      </c>
      <c r="CP127">
        <v>2.4395500000000001</v>
      </c>
      <c r="CQ127">
        <v>2.44557</v>
      </c>
      <c r="CS127">
        <v>2.43459</v>
      </c>
      <c r="CT127">
        <v>2.4355899999999999</v>
      </c>
      <c r="CU127">
        <v>2.4356</v>
      </c>
      <c r="CV127">
        <v>2.4356100000000001</v>
      </c>
      <c r="CW127">
        <v>2.42828</v>
      </c>
      <c r="CX127">
        <v>2.4282900000000001</v>
      </c>
      <c r="CY127">
        <v>2.42563</v>
      </c>
      <c r="CZ127">
        <v>2.42964</v>
      </c>
      <c r="DA127">
        <v>2.4156499999999999</v>
      </c>
      <c r="DB127">
        <v>2.4156599999999999</v>
      </c>
      <c r="DC127">
        <v>2.31568</v>
      </c>
    </row>
    <row r="128" spans="1:107" x14ac:dyDescent="0.25">
      <c r="A128">
        <f t="shared" si="1"/>
        <v>6</v>
      </c>
      <c r="B128" s="2">
        <v>42188</v>
      </c>
      <c r="F128">
        <v>0.54408000000000001</v>
      </c>
      <c r="G128">
        <v>0.60321999999999998</v>
      </c>
      <c r="H128">
        <v>0.62588999999999995</v>
      </c>
      <c r="I128">
        <v>0.52927999999999997</v>
      </c>
      <c r="J128">
        <v>0.59141999999999995</v>
      </c>
      <c r="K128">
        <v>0.64076999999999995</v>
      </c>
      <c r="L128">
        <v>0.65325</v>
      </c>
      <c r="M128">
        <v>0.63837999999999995</v>
      </c>
      <c r="N128">
        <v>0.53417000000000003</v>
      </c>
      <c r="O128">
        <v>0.73141</v>
      </c>
      <c r="P128">
        <v>0.72409999999999997</v>
      </c>
      <c r="Q128">
        <v>0.54159999999999997</v>
      </c>
      <c r="R128">
        <v>0.57457999999999998</v>
      </c>
      <c r="S128">
        <v>0.66647000000000001</v>
      </c>
      <c r="T128">
        <v>0.67383000000000004</v>
      </c>
      <c r="U128">
        <v>0.55586999999999998</v>
      </c>
      <c r="V128">
        <v>0.59889000000000003</v>
      </c>
      <c r="W128">
        <v>0.65590000000000004</v>
      </c>
      <c r="X128">
        <v>0.7077</v>
      </c>
      <c r="Y128">
        <v>0.81598999999999999</v>
      </c>
      <c r="Z128">
        <v>0.76310999999999996</v>
      </c>
      <c r="AA128">
        <v>0.82103000000000004</v>
      </c>
      <c r="AB128">
        <v>0.85529999999999995</v>
      </c>
      <c r="AC128">
        <v>0.96901000000000004</v>
      </c>
      <c r="AD128">
        <v>0.98362000000000005</v>
      </c>
      <c r="AE128">
        <v>0.89609000000000005</v>
      </c>
      <c r="AF128">
        <v>1.0550200000000001</v>
      </c>
      <c r="AG128">
        <v>1.1071200000000001</v>
      </c>
      <c r="AH128">
        <v>1.20377</v>
      </c>
      <c r="AI128">
        <v>1.1978500000000001</v>
      </c>
      <c r="AJ128">
        <v>1.2206399999999999</v>
      </c>
      <c r="AK128">
        <v>1.0665899999999999</v>
      </c>
      <c r="AL128">
        <v>1.31626</v>
      </c>
      <c r="AM128">
        <v>1.46326</v>
      </c>
      <c r="AN128">
        <v>1.27088</v>
      </c>
      <c r="AO128">
        <v>1.5231699999999999</v>
      </c>
      <c r="AP128">
        <v>1.6607000000000001</v>
      </c>
      <c r="AQ128">
        <v>1.48769</v>
      </c>
      <c r="AR128">
        <v>1.7122200000000001</v>
      </c>
      <c r="AS128">
        <v>1.7801100000000001</v>
      </c>
      <c r="AT128">
        <v>1.8332999999999999</v>
      </c>
      <c r="AU128">
        <v>1.7889600000000001</v>
      </c>
      <c r="AV128">
        <v>1.71882</v>
      </c>
      <c r="AW128">
        <v>2.2389999999999999</v>
      </c>
      <c r="AX128">
        <v>2.2276600000000002</v>
      </c>
      <c r="AY128">
        <v>2.2659500000000001</v>
      </c>
      <c r="AZ128">
        <v>2.2800099999999999</v>
      </c>
      <c r="BA128">
        <v>2.3149999999999999</v>
      </c>
      <c r="BB128">
        <v>2.3887999999999998</v>
      </c>
      <c r="BC128">
        <v>2.4005800000000002</v>
      </c>
      <c r="BD128">
        <v>2.4300199999999998</v>
      </c>
      <c r="BE128">
        <v>2.3317800000000002</v>
      </c>
      <c r="BF128">
        <v>2.5024999999999999</v>
      </c>
      <c r="BG128">
        <v>2.49254</v>
      </c>
      <c r="BH128">
        <v>2.4858899999999999</v>
      </c>
      <c r="BI128">
        <v>2.4745900000000001</v>
      </c>
      <c r="BJ128">
        <v>2.4714499999999999</v>
      </c>
      <c r="BK128">
        <v>2.4659300000000002</v>
      </c>
      <c r="BL128">
        <v>2.4646400000000002</v>
      </c>
      <c r="BM128">
        <v>2.4580099999999998</v>
      </c>
      <c r="BN128">
        <v>2.4510000000000001</v>
      </c>
      <c r="BO128">
        <v>2.3969999999999998</v>
      </c>
      <c r="BP128">
        <v>2.4533700000000001</v>
      </c>
      <c r="BQ128">
        <v>2.4533900000000002</v>
      </c>
      <c r="BR128">
        <v>2.46055</v>
      </c>
      <c r="BS128">
        <v>2.4605600000000001</v>
      </c>
      <c r="BT128">
        <v>2.44408</v>
      </c>
      <c r="BW128">
        <v>2.4341200000000001</v>
      </c>
      <c r="BX128">
        <v>2.4368300000000001</v>
      </c>
      <c r="BY128">
        <v>2.4291499999999999</v>
      </c>
      <c r="BZ128">
        <v>2.4225300000000001</v>
      </c>
      <c r="CA128">
        <v>2.4225500000000002</v>
      </c>
      <c r="CB128">
        <v>2.4225599999999998</v>
      </c>
      <c r="CC128">
        <v>2.4192399999999998</v>
      </c>
      <c r="CD128">
        <v>2.4192499999999999</v>
      </c>
      <c r="CE128">
        <v>2.4202699999999999</v>
      </c>
      <c r="CF128">
        <v>2.42028</v>
      </c>
      <c r="CG128">
        <v>2.41262</v>
      </c>
      <c r="CH128">
        <v>2.4102999999999999</v>
      </c>
      <c r="CI128">
        <v>2.4108900000000002</v>
      </c>
      <c r="CJ128">
        <v>2.4108999999999998</v>
      </c>
      <c r="CK128">
        <v>2.4144000000000001</v>
      </c>
      <c r="CL128">
        <v>2.4144100000000002</v>
      </c>
      <c r="CM128">
        <v>2.4144199999999998</v>
      </c>
      <c r="CN128">
        <v>2.4324300000000001</v>
      </c>
      <c r="CO128">
        <v>2.4194200000000001</v>
      </c>
      <c r="CP128">
        <v>2.41445</v>
      </c>
      <c r="CQ128">
        <v>2.4224600000000001</v>
      </c>
      <c r="CS128">
        <v>2.4094799999999998</v>
      </c>
      <c r="CT128">
        <v>2.4094899999999999</v>
      </c>
      <c r="CU128">
        <v>2.4095</v>
      </c>
      <c r="CV128">
        <v>2.4095</v>
      </c>
      <c r="CW128">
        <v>2.4075099999999998</v>
      </c>
      <c r="CX128">
        <v>2.4075199999999999</v>
      </c>
      <c r="CY128">
        <v>2.4075299999999999</v>
      </c>
      <c r="CZ128">
        <v>2.3975399999999998</v>
      </c>
      <c r="DA128">
        <v>2.3925399999999999</v>
      </c>
      <c r="DB128">
        <v>2.39255</v>
      </c>
      <c r="DC128">
        <v>2.2948400000000002</v>
      </c>
    </row>
    <row r="129" spans="1:107" x14ac:dyDescent="0.25">
      <c r="A129">
        <f t="shared" si="1"/>
        <v>2</v>
      </c>
      <c r="B129" s="2">
        <v>42191</v>
      </c>
      <c r="F129">
        <v>0.55300000000000005</v>
      </c>
      <c r="G129">
        <v>0.64261999999999997</v>
      </c>
      <c r="H129">
        <v>0.62214000000000003</v>
      </c>
      <c r="I129">
        <v>0.51222999999999996</v>
      </c>
      <c r="J129">
        <v>0.57660999999999996</v>
      </c>
      <c r="K129">
        <v>0.62875999999999999</v>
      </c>
      <c r="L129">
        <v>0.64173000000000002</v>
      </c>
      <c r="M129">
        <v>0.61458999999999997</v>
      </c>
      <c r="N129">
        <v>0.51390000000000002</v>
      </c>
      <c r="O129">
        <v>0.69074000000000002</v>
      </c>
      <c r="P129">
        <v>0.71150999999999998</v>
      </c>
      <c r="Q129">
        <v>0.52527000000000001</v>
      </c>
      <c r="R129">
        <v>0.55823</v>
      </c>
      <c r="S129">
        <v>0.65090000000000003</v>
      </c>
      <c r="T129">
        <v>0.65608</v>
      </c>
      <c r="U129">
        <v>0.53166999999999998</v>
      </c>
      <c r="V129">
        <v>0.57542000000000004</v>
      </c>
      <c r="W129">
        <v>0.63332999999999995</v>
      </c>
      <c r="X129">
        <v>0.68640999999999996</v>
      </c>
      <c r="Y129">
        <v>0.77961000000000003</v>
      </c>
      <c r="Z129">
        <v>0.72409999999999997</v>
      </c>
      <c r="AA129">
        <v>0.78473999999999999</v>
      </c>
      <c r="AB129">
        <v>0.81583000000000006</v>
      </c>
      <c r="AC129">
        <v>0.93745000000000001</v>
      </c>
      <c r="AD129">
        <v>0.94076000000000004</v>
      </c>
      <c r="AE129">
        <v>0.84723999999999999</v>
      </c>
      <c r="AF129">
        <v>1.02258</v>
      </c>
      <c r="AG129">
        <v>1.06118</v>
      </c>
      <c r="AH129">
        <v>1.1699600000000001</v>
      </c>
      <c r="AI129">
        <v>1.1455299999999999</v>
      </c>
      <c r="AJ129">
        <v>1.16632</v>
      </c>
      <c r="AK129">
        <v>1.0137400000000001</v>
      </c>
      <c r="AL129">
        <v>1.2728299999999999</v>
      </c>
      <c r="AM129">
        <v>1.4057900000000001</v>
      </c>
      <c r="AN129">
        <v>1.2223299999999999</v>
      </c>
      <c r="AO129">
        <v>1.4656800000000001</v>
      </c>
      <c r="AP129">
        <v>1.6046400000000001</v>
      </c>
      <c r="AQ129">
        <v>1.42587</v>
      </c>
      <c r="AR129">
        <v>1.65612</v>
      </c>
      <c r="AS129">
        <v>1.7263200000000001</v>
      </c>
      <c r="AT129">
        <v>1.76631</v>
      </c>
      <c r="AU129">
        <v>1.73088</v>
      </c>
      <c r="AV129">
        <v>1.6611800000000001</v>
      </c>
      <c r="AW129">
        <v>2.1876199999999999</v>
      </c>
      <c r="AX129">
        <v>2.18499</v>
      </c>
      <c r="AY129">
        <v>2.2184300000000001</v>
      </c>
      <c r="AZ129">
        <v>2.2353200000000002</v>
      </c>
      <c r="BA129">
        <v>2.2584</v>
      </c>
      <c r="BB129">
        <v>2.3237199999999998</v>
      </c>
      <c r="BC129">
        <v>2.3408699999999998</v>
      </c>
      <c r="BD129">
        <v>2.3656999999999999</v>
      </c>
      <c r="BE129">
        <v>2.2658999999999998</v>
      </c>
      <c r="BF129">
        <v>2.44659</v>
      </c>
      <c r="BG129">
        <v>2.4317299999999999</v>
      </c>
      <c r="BH129">
        <v>2.4250799999999999</v>
      </c>
      <c r="BI129">
        <v>2.4137599999999999</v>
      </c>
      <c r="BJ129">
        <v>2.4108299999999998</v>
      </c>
      <c r="BK129">
        <v>2.40516</v>
      </c>
      <c r="BL129">
        <v>2.4041299999999999</v>
      </c>
      <c r="BM129">
        <v>2.39649</v>
      </c>
      <c r="BN129">
        <v>2.3887100000000001</v>
      </c>
      <c r="BO129">
        <v>2.33819</v>
      </c>
      <c r="BP129">
        <v>2.3837199999999998</v>
      </c>
      <c r="BQ129">
        <v>2.3837299999999999</v>
      </c>
      <c r="BR129">
        <v>2.38374</v>
      </c>
      <c r="BS129">
        <v>2.38375</v>
      </c>
      <c r="BT129">
        <v>2.38375</v>
      </c>
      <c r="BW129">
        <v>2.3737699999999999</v>
      </c>
      <c r="BX129">
        <v>2.3765800000000001</v>
      </c>
      <c r="BY129">
        <v>2.3687999999999998</v>
      </c>
      <c r="BZ129">
        <v>2.36192</v>
      </c>
      <c r="CA129">
        <v>2.3619300000000001</v>
      </c>
      <c r="CB129">
        <v>2.3619400000000002</v>
      </c>
      <c r="CC129">
        <v>2.3586200000000002</v>
      </c>
      <c r="CD129">
        <v>2.3586200000000002</v>
      </c>
      <c r="CE129">
        <v>2.3599700000000001</v>
      </c>
      <c r="CF129">
        <v>2.3599800000000002</v>
      </c>
      <c r="CG129">
        <v>2.3519700000000001</v>
      </c>
      <c r="CH129">
        <v>2.35</v>
      </c>
      <c r="CI129">
        <v>2.35025</v>
      </c>
      <c r="CJ129">
        <v>2.35025</v>
      </c>
      <c r="CK129">
        <v>2.34388</v>
      </c>
      <c r="CL129">
        <v>2.34389</v>
      </c>
      <c r="CM129">
        <v>2.3532500000000001</v>
      </c>
      <c r="CN129">
        <v>2.3717700000000002</v>
      </c>
      <c r="CO129">
        <v>2.3582399999999999</v>
      </c>
      <c r="CP129">
        <v>2.3532600000000001</v>
      </c>
      <c r="CQ129">
        <v>2.3617900000000001</v>
      </c>
      <c r="CS129">
        <v>2.34829</v>
      </c>
      <c r="CT129">
        <v>2.34829</v>
      </c>
      <c r="CU129">
        <v>2.34829</v>
      </c>
      <c r="CV129">
        <v>2.3483000000000001</v>
      </c>
      <c r="CW129">
        <v>2.3468200000000001</v>
      </c>
      <c r="CX129">
        <v>2.3468300000000002</v>
      </c>
      <c r="CY129">
        <v>2.3468300000000002</v>
      </c>
      <c r="CZ129">
        <v>2.33684</v>
      </c>
      <c r="DA129">
        <v>2.3318400000000001</v>
      </c>
      <c r="DB129">
        <v>2.3318400000000001</v>
      </c>
      <c r="DC129">
        <v>2.2318600000000002</v>
      </c>
    </row>
    <row r="130" spans="1:107" x14ac:dyDescent="0.25">
      <c r="A130">
        <f t="shared" si="1"/>
        <v>3</v>
      </c>
      <c r="B130" s="2">
        <v>42192</v>
      </c>
      <c r="F130">
        <v>0.56191000000000002</v>
      </c>
      <c r="G130">
        <v>0.64546000000000003</v>
      </c>
      <c r="H130">
        <v>0.61870000000000003</v>
      </c>
      <c r="I130">
        <v>0.51393999999999995</v>
      </c>
      <c r="J130">
        <v>0.56669999999999998</v>
      </c>
      <c r="K130">
        <v>0.62336000000000003</v>
      </c>
      <c r="L130">
        <v>0.63373000000000002</v>
      </c>
      <c r="M130">
        <v>0.60763</v>
      </c>
      <c r="N130">
        <v>0.51280999999999999</v>
      </c>
      <c r="O130">
        <v>0.68467999999999996</v>
      </c>
      <c r="P130">
        <v>0.70606000000000002</v>
      </c>
      <c r="Q130">
        <v>0.53012000000000004</v>
      </c>
      <c r="R130">
        <v>0.55364000000000002</v>
      </c>
      <c r="S130">
        <v>0.65347999999999995</v>
      </c>
      <c r="T130">
        <v>0.65864999999999996</v>
      </c>
      <c r="U130">
        <v>0.52610999999999997</v>
      </c>
      <c r="V130">
        <v>0.56842999999999999</v>
      </c>
      <c r="W130">
        <v>0.62500999999999995</v>
      </c>
      <c r="X130">
        <v>0.67815000000000003</v>
      </c>
      <c r="Y130">
        <v>0.74787999999999999</v>
      </c>
      <c r="Z130">
        <v>0.68544000000000005</v>
      </c>
      <c r="AA130">
        <v>0.74585000000000001</v>
      </c>
      <c r="AB130">
        <v>0.77081</v>
      </c>
      <c r="AC130">
        <v>0.86446000000000001</v>
      </c>
      <c r="AD130">
        <v>0.88846999999999998</v>
      </c>
      <c r="AE130">
        <v>0.80013000000000001</v>
      </c>
      <c r="AF130">
        <v>0.97014999999999996</v>
      </c>
      <c r="AG130">
        <v>1.0083500000000001</v>
      </c>
      <c r="AH130">
        <v>1.10815</v>
      </c>
      <c r="AI130">
        <v>1.0923099999999999</v>
      </c>
      <c r="AJ130">
        <v>1.11409</v>
      </c>
      <c r="AK130">
        <v>0.96048999999999995</v>
      </c>
      <c r="AL130">
        <v>1.20635</v>
      </c>
      <c r="AM130">
        <v>1.3421700000000001</v>
      </c>
      <c r="AN130">
        <v>1.15218</v>
      </c>
      <c r="AO130">
        <v>1.3991</v>
      </c>
      <c r="AP130">
        <v>1.53955</v>
      </c>
      <c r="AQ130">
        <v>1.3616699999999999</v>
      </c>
      <c r="AR130">
        <v>1.5910299999999999</v>
      </c>
      <c r="AS130">
        <v>1.6634</v>
      </c>
      <c r="AT130">
        <v>1.7076199999999999</v>
      </c>
      <c r="AU130">
        <v>1.6626000000000001</v>
      </c>
      <c r="AV130">
        <v>1.59789</v>
      </c>
      <c r="AW130">
        <v>2.1209500000000001</v>
      </c>
      <c r="AX130">
        <v>2.1185900000000002</v>
      </c>
      <c r="AY130">
        <v>2.1569400000000001</v>
      </c>
      <c r="AZ130">
        <v>2.1712099999999999</v>
      </c>
      <c r="BA130">
        <v>2.19373</v>
      </c>
      <c r="BB130">
        <v>2.2611699999999999</v>
      </c>
      <c r="BC130">
        <v>2.2789299999999999</v>
      </c>
      <c r="BD130">
        <v>2.3024200000000001</v>
      </c>
      <c r="BE130">
        <v>2.2007099999999999</v>
      </c>
      <c r="BF130">
        <v>2.38734</v>
      </c>
      <c r="BG130">
        <v>2.3723700000000001</v>
      </c>
      <c r="BH130">
        <v>2.36571</v>
      </c>
      <c r="BI130">
        <v>2.35473</v>
      </c>
      <c r="BJ130">
        <v>2.3523900000000002</v>
      </c>
      <c r="BK130">
        <v>2.35988</v>
      </c>
      <c r="BL130">
        <v>2.34639</v>
      </c>
      <c r="BM130">
        <v>2.3387600000000002</v>
      </c>
      <c r="BN130">
        <v>2.3304200000000002</v>
      </c>
      <c r="BO130">
        <v>2.27956</v>
      </c>
      <c r="BP130">
        <v>2.3254299999999999</v>
      </c>
      <c r="BQ130">
        <v>2.32544</v>
      </c>
      <c r="BR130">
        <v>2.32545</v>
      </c>
      <c r="BS130">
        <v>2.3254600000000001</v>
      </c>
      <c r="BT130">
        <v>2.3254700000000001</v>
      </c>
      <c r="BW130">
        <v>2.31549</v>
      </c>
      <c r="BX130">
        <v>2.3188399999999998</v>
      </c>
      <c r="BY130">
        <v>2.3105099999999998</v>
      </c>
      <c r="BZ130">
        <v>2.3028900000000001</v>
      </c>
      <c r="CA130">
        <v>2.3028900000000001</v>
      </c>
      <c r="CB130">
        <v>2.3029000000000002</v>
      </c>
      <c r="CC130">
        <v>2.2995800000000002</v>
      </c>
      <c r="CD130">
        <v>2.2995899999999998</v>
      </c>
      <c r="CE130">
        <v>2.2995899999999998</v>
      </c>
      <c r="CF130">
        <v>2.2995899999999998</v>
      </c>
      <c r="CG130">
        <v>2.2929400000000002</v>
      </c>
      <c r="CH130">
        <v>2.2935699999999999</v>
      </c>
      <c r="CI130">
        <v>2.2943199999999999</v>
      </c>
      <c r="CJ130">
        <v>2.29433</v>
      </c>
      <c r="CK130">
        <v>2.2936800000000002</v>
      </c>
      <c r="CL130">
        <v>2.2936800000000002</v>
      </c>
      <c r="CM130">
        <v>2.2936899999999998</v>
      </c>
      <c r="CN130">
        <v>2.2856100000000001</v>
      </c>
      <c r="CO130">
        <v>2.2986900000000001</v>
      </c>
      <c r="CP130">
        <v>2.2937099999999999</v>
      </c>
      <c r="CQ130">
        <v>2.2937099999999999</v>
      </c>
      <c r="CS130">
        <v>2.2887200000000001</v>
      </c>
      <c r="CT130">
        <v>2.2887300000000002</v>
      </c>
      <c r="CU130">
        <v>2.2887300000000002</v>
      </c>
      <c r="CV130">
        <v>2.2887400000000002</v>
      </c>
      <c r="CW130">
        <v>2.2892100000000002</v>
      </c>
      <c r="CX130">
        <v>2.2892100000000002</v>
      </c>
      <c r="CY130">
        <v>2.2892199999999998</v>
      </c>
      <c r="CZ130">
        <v>2.27826</v>
      </c>
      <c r="DA130">
        <v>2.27325</v>
      </c>
      <c r="DB130">
        <v>2.2732600000000001</v>
      </c>
      <c r="DC130">
        <v>2.1743999999999999</v>
      </c>
    </row>
    <row r="131" spans="1:107" x14ac:dyDescent="0.25">
      <c r="A131">
        <f t="shared" ref="A131:A194" si="2">WEEKDAY(B131)</f>
        <v>4</v>
      </c>
      <c r="B131" s="2">
        <v>42193</v>
      </c>
      <c r="F131">
        <v>0.53954999999999997</v>
      </c>
      <c r="G131">
        <v>0.61660999999999999</v>
      </c>
      <c r="H131">
        <v>0.57979000000000003</v>
      </c>
      <c r="I131">
        <v>0.49176999999999998</v>
      </c>
      <c r="J131">
        <v>0.56177999999999995</v>
      </c>
      <c r="K131">
        <v>0.59767000000000003</v>
      </c>
      <c r="L131">
        <v>0.60734999999999995</v>
      </c>
      <c r="M131">
        <v>0.57504999999999995</v>
      </c>
      <c r="N131">
        <v>0.48089999999999999</v>
      </c>
      <c r="O131">
        <v>0.67818000000000001</v>
      </c>
      <c r="P131">
        <v>0.67122999999999999</v>
      </c>
      <c r="Q131">
        <v>0.48209000000000002</v>
      </c>
      <c r="R131">
        <v>0.52012000000000003</v>
      </c>
      <c r="S131">
        <v>0.62239999999999995</v>
      </c>
      <c r="T131">
        <v>0.62766</v>
      </c>
      <c r="U131">
        <v>0.48998000000000003</v>
      </c>
      <c r="V131">
        <v>0.53408</v>
      </c>
      <c r="W131">
        <v>0.58928999999999998</v>
      </c>
      <c r="X131">
        <v>0.64254999999999995</v>
      </c>
      <c r="Y131">
        <v>0.68013999999999997</v>
      </c>
      <c r="Z131">
        <v>0.64239999999999997</v>
      </c>
      <c r="AA131">
        <v>0.68937000000000004</v>
      </c>
      <c r="AB131">
        <v>0.72850000000000004</v>
      </c>
      <c r="AC131">
        <v>0.81808999999999998</v>
      </c>
      <c r="AD131">
        <v>0.88183</v>
      </c>
      <c r="AE131">
        <v>0.74994000000000005</v>
      </c>
      <c r="AF131">
        <v>0.91710999999999998</v>
      </c>
      <c r="AG131">
        <v>0.95662000000000003</v>
      </c>
      <c r="AH131">
        <v>1.05772</v>
      </c>
      <c r="AI131">
        <v>1.0443100000000001</v>
      </c>
      <c r="AJ131">
        <v>1.06687</v>
      </c>
      <c r="AK131">
        <v>0.92445999999999995</v>
      </c>
      <c r="AL131">
        <v>1.1635500000000001</v>
      </c>
      <c r="AM131">
        <v>1.2899099999999999</v>
      </c>
      <c r="AN131">
        <v>1.0949899999999999</v>
      </c>
      <c r="AO131">
        <v>1.34981</v>
      </c>
      <c r="AP131">
        <v>1.48658</v>
      </c>
      <c r="AQ131">
        <v>1.3097700000000001</v>
      </c>
      <c r="AR131">
        <v>1.5380799999999999</v>
      </c>
      <c r="AS131">
        <v>1.6016300000000001</v>
      </c>
      <c r="AT131">
        <v>1.6508</v>
      </c>
      <c r="AU131">
        <v>1.603</v>
      </c>
      <c r="AV131">
        <v>1.5450299999999999</v>
      </c>
      <c r="AW131">
        <v>2.05376</v>
      </c>
      <c r="AX131">
        <v>2.056</v>
      </c>
      <c r="AY131">
        <v>2.0939700000000001</v>
      </c>
      <c r="AZ131">
        <v>2.1141000000000001</v>
      </c>
      <c r="BA131">
        <v>2.1429900000000002</v>
      </c>
      <c r="BB131">
        <v>2.2100200000000001</v>
      </c>
      <c r="BC131">
        <v>2.2225199999999998</v>
      </c>
      <c r="BD131">
        <v>2.24986</v>
      </c>
      <c r="BE131">
        <v>2.1483400000000001</v>
      </c>
      <c r="BF131">
        <v>2.33331</v>
      </c>
      <c r="BG131">
        <v>2.3175500000000002</v>
      </c>
      <c r="BH131">
        <v>2.3109000000000002</v>
      </c>
      <c r="BI131">
        <v>2.3033899999999998</v>
      </c>
      <c r="BJ131">
        <v>2.3019400000000001</v>
      </c>
      <c r="BK131">
        <v>2.2909700000000002</v>
      </c>
      <c r="BL131">
        <v>2.2864900000000001</v>
      </c>
      <c r="BM131">
        <v>2.2776800000000001</v>
      </c>
      <c r="BN131">
        <v>2.2743699999999998</v>
      </c>
      <c r="BO131">
        <v>2.2246199999999998</v>
      </c>
      <c r="BP131">
        <v>2.2677200000000002</v>
      </c>
      <c r="BQ131">
        <v>2.2677299999999998</v>
      </c>
      <c r="BR131">
        <v>2.2690899999999998</v>
      </c>
      <c r="BS131">
        <v>2.2690999999999999</v>
      </c>
      <c r="BT131">
        <v>2.26912</v>
      </c>
      <c r="BW131">
        <v>2.25915</v>
      </c>
      <c r="BX131">
        <v>2.2591600000000001</v>
      </c>
      <c r="BY131">
        <v>2.2541799999999999</v>
      </c>
      <c r="BZ131">
        <v>2.2478500000000001</v>
      </c>
      <c r="CA131">
        <v>2.2478699999999998</v>
      </c>
      <c r="CB131">
        <v>2.2478799999999999</v>
      </c>
      <c r="CC131">
        <v>2.2445599999999999</v>
      </c>
      <c r="CD131">
        <v>2.24457</v>
      </c>
      <c r="CE131">
        <v>2.2465799999999998</v>
      </c>
      <c r="CF131">
        <v>2.2465899999999999</v>
      </c>
      <c r="CG131">
        <v>2.23794</v>
      </c>
      <c r="CH131">
        <v>2.2359800000000001</v>
      </c>
      <c r="CI131">
        <v>2.23637</v>
      </c>
      <c r="CJ131">
        <v>2.23638</v>
      </c>
      <c r="CK131">
        <v>2.2393399999999999</v>
      </c>
      <c r="CL131">
        <v>2.23935</v>
      </c>
      <c r="CM131">
        <v>2.23936</v>
      </c>
      <c r="CN131">
        <v>2.2443499999999998</v>
      </c>
      <c r="CO131">
        <v>2.2443499999999998</v>
      </c>
      <c r="CP131">
        <v>2.2393800000000001</v>
      </c>
      <c r="CQ131">
        <v>2.2488899999999998</v>
      </c>
      <c r="CS131">
        <v>2.23441</v>
      </c>
      <c r="CT131">
        <v>2.2344200000000001</v>
      </c>
      <c r="CU131">
        <v>2.2344300000000001</v>
      </c>
      <c r="CV131">
        <v>2.2344400000000002</v>
      </c>
      <c r="CW131">
        <v>2.23299</v>
      </c>
      <c r="CX131">
        <v>2.2330000000000001</v>
      </c>
      <c r="CY131">
        <v>2.2330000000000001</v>
      </c>
      <c r="CZ131">
        <v>2.22397</v>
      </c>
      <c r="DA131">
        <v>2.2189700000000001</v>
      </c>
      <c r="DB131">
        <v>2.2189800000000002</v>
      </c>
      <c r="DC131">
        <v>2.1194700000000002</v>
      </c>
    </row>
    <row r="132" spans="1:107" x14ac:dyDescent="0.25">
      <c r="A132">
        <f t="shared" si="2"/>
        <v>5</v>
      </c>
      <c r="B132" s="2">
        <v>42194</v>
      </c>
      <c r="F132">
        <v>0.53854000000000002</v>
      </c>
      <c r="G132">
        <v>0.60921000000000003</v>
      </c>
      <c r="H132">
        <v>0.58782999999999996</v>
      </c>
      <c r="I132">
        <v>0.50721000000000005</v>
      </c>
      <c r="J132">
        <v>0.56172999999999995</v>
      </c>
      <c r="K132">
        <v>0.61182000000000003</v>
      </c>
      <c r="L132">
        <v>0.60892000000000002</v>
      </c>
      <c r="M132">
        <v>0.59579000000000004</v>
      </c>
      <c r="N132">
        <v>0.50480999999999998</v>
      </c>
      <c r="O132">
        <v>0.70269999999999999</v>
      </c>
      <c r="P132">
        <v>0.68601999999999996</v>
      </c>
      <c r="Q132">
        <v>0.52446999999999999</v>
      </c>
      <c r="R132">
        <v>0.55710000000000004</v>
      </c>
      <c r="S132">
        <v>0.64817000000000002</v>
      </c>
      <c r="T132">
        <v>0.65347</v>
      </c>
      <c r="U132">
        <v>0.51800999999999997</v>
      </c>
      <c r="V132">
        <v>0.56032000000000004</v>
      </c>
      <c r="W132">
        <v>0.60019999999999996</v>
      </c>
      <c r="X132">
        <v>0.66739000000000004</v>
      </c>
      <c r="Y132">
        <v>0.76205999999999996</v>
      </c>
      <c r="Z132">
        <v>0.70384000000000002</v>
      </c>
      <c r="AA132">
        <v>0.75207999999999997</v>
      </c>
      <c r="AB132">
        <v>0.79113</v>
      </c>
      <c r="AC132">
        <v>0.88578999999999997</v>
      </c>
      <c r="AD132">
        <v>0.94755999999999996</v>
      </c>
      <c r="AE132">
        <v>0.82199999999999995</v>
      </c>
      <c r="AF132">
        <v>0.97540000000000004</v>
      </c>
      <c r="AG132">
        <v>1.0329299999999999</v>
      </c>
      <c r="AH132">
        <v>1.1250599999999999</v>
      </c>
      <c r="AI132">
        <v>1.1083400000000001</v>
      </c>
      <c r="AJ132">
        <v>1.1380300000000001</v>
      </c>
      <c r="AK132">
        <v>0.997</v>
      </c>
      <c r="AL132">
        <v>1.2384200000000001</v>
      </c>
      <c r="AM132">
        <v>1.3570199999999999</v>
      </c>
      <c r="AN132">
        <v>1.16638</v>
      </c>
      <c r="AO132">
        <v>1.41889</v>
      </c>
      <c r="AP132">
        <v>1.56399</v>
      </c>
      <c r="AQ132">
        <v>1.3882000000000001</v>
      </c>
      <c r="AR132">
        <v>1.6126400000000001</v>
      </c>
      <c r="AS132">
        <v>1.6764399999999999</v>
      </c>
      <c r="AT132">
        <v>1.7270799999999999</v>
      </c>
      <c r="AU132">
        <v>1.6862299999999999</v>
      </c>
      <c r="AV132">
        <v>1.6202300000000001</v>
      </c>
      <c r="AW132">
        <v>2.1341899999999998</v>
      </c>
      <c r="AX132">
        <v>2.1334200000000001</v>
      </c>
      <c r="AY132">
        <v>2.16716</v>
      </c>
      <c r="AZ132">
        <v>2.1888800000000002</v>
      </c>
      <c r="BA132">
        <v>2.21713</v>
      </c>
      <c r="BB132">
        <v>2.27867</v>
      </c>
      <c r="BC132">
        <v>2.3002600000000002</v>
      </c>
      <c r="BD132">
        <v>2.3310499999999998</v>
      </c>
      <c r="BE132">
        <v>2.2292299999999998</v>
      </c>
      <c r="BF132">
        <v>2.4054000000000002</v>
      </c>
      <c r="BG132">
        <v>2.3906299999999998</v>
      </c>
      <c r="BH132">
        <v>2.3839800000000002</v>
      </c>
      <c r="BI132">
        <v>2.3730099999999998</v>
      </c>
      <c r="BJ132">
        <v>2.3663500000000002</v>
      </c>
      <c r="BK132">
        <v>2.3649900000000001</v>
      </c>
      <c r="BL132">
        <v>2.36056</v>
      </c>
      <c r="BM132">
        <v>2.3507699999999998</v>
      </c>
      <c r="BN132">
        <v>2.3474599999999999</v>
      </c>
      <c r="BO132">
        <v>2.2984</v>
      </c>
      <c r="BP132">
        <v>2.3408099999999998</v>
      </c>
      <c r="BQ132">
        <v>2.3408199999999999</v>
      </c>
      <c r="BR132">
        <v>2.3431099999999998</v>
      </c>
      <c r="BS132">
        <v>2.3431299999999999</v>
      </c>
      <c r="BT132">
        <v>2.34314</v>
      </c>
      <c r="BW132">
        <v>2.33317</v>
      </c>
      <c r="BX132">
        <v>2.3331900000000001</v>
      </c>
      <c r="BY132">
        <v>2.3282099999999999</v>
      </c>
      <c r="BZ132">
        <v>2.3209499999999998</v>
      </c>
      <c r="CA132">
        <v>2.3209599999999999</v>
      </c>
      <c r="CB132">
        <v>2.32097</v>
      </c>
      <c r="CC132">
        <v>2.31765</v>
      </c>
      <c r="CD132">
        <v>2.3176700000000001</v>
      </c>
      <c r="CE132">
        <v>2.31731</v>
      </c>
      <c r="CF132">
        <v>2.31732</v>
      </c>
      <c r="CG132">
        <v>2.3110300000000001</v>
      </c>
      <c r="CH132">
        <v>2.3123800000000001</v>
      </c>
      <c r="CI132">
        <v>2.3137799999999999</v>
      </c>
      <c r="CJ132">
        <v>2.31379</v>
      </c>
      <c r="CK132">
        <v>2.3125</v>
      </c>
      <c r="CL132">
        <v>2.3125100000000001</v>
      </c>
      <c r="CM132">
        <v>2.3125200000000001</v>
      </c>
      <c r="CN132">
        <v>2.31751</v>
      </c>
      <c r="CO132">
        <v>2.31752</v>
      </c>
      <c r="CP132">
        <v>2.3125399999999998</v>
      </c>
      <c r="CQ132">
        <v>2.3125499999999999</v>
      </c>
      <c r="CS132">
        <v>2.3075700000000001</v>
      </c>
      <c r="CT132">
        <v>2.3075800000000002</v>
      </c>
      <c r="CU132">
        <v>2.3075899999999998</v>
      </c>
      <c r="CV132">
        <v>2.3075899999999998</v>
      </c>
      <c r="CW132">
        <v>2.30905</v>
      </c>
      <c r="CX132">
        <v>2.3090600000000001</v>
      </c>
      <c r="CY132">
        <v>2.3090600000000001</v>
      </c>
      <c r="CZ132">
        <v>2.2980999999999998</v>
      </c>
      <c r="DA132">
        <v>2.2930999999999999</v>
      </c>
      <c r="DB132">
        <v>2.2930999999999999</v>
      </c>
      <c r="DC132">
        <v>2.1932200000000002</v>
      </c>
    </row>
    <row r="133" spans="1:107" x14ac:dyDescent="0.25">
      <c r="A133">
        <f t="shared" si="2"/>
        <v>6</v>
      </c>
      <c r="B133" s="2">
        <v>42195</v>
      </c>
      <c r="F133">
        <v>0.54654999999999998</v>
      </c>
      <c r="G133">
        <v>0.59125000000000005</v>
      </c>
      <c r="H133">
        <v>0.61382000000000003</v>
      </c>
      <c r="I133">
        <v>0.51876999999999995</v>
      </c>
      <c r="J133">
        <v>0.57147000000000003</v>
      </c>
      <c r="K133">
        <v>0.65612000000000004</v>
      </c>
      <c r="L133">
        <v>0.62724000000000002</v>
      </c>
      <c r="M133">
        <v>0.62639999999999996</v>
      </c>
      <c r="N133">
        <v>0.53764999999999996</v>
      </c>
      <c r="O133">
        <v>0.72474000000000005</v>
      </c>
      <c r="P133">
        <v>0.71199000000000001</v>
      </c>
      <c r="Q133">
        <v>0.56220000000000003</v>
      </c>
      <c r="R133">
        <v>0.59340999999999999</v>
      </c>
      <c r="S133">
        <v>0.68518000000000001</v>
      </c>
      <c r="T133">
        <v>0.6905</v>
      </c>
      <c r="U133">
        <v>0.56194999999999995</v>
      </c>
      <c r="V133">
        <v>0.58760000000000001</v>
      </c>
      <c r="W133">
        <v>0.64102999999999999</v>
      </c>
      <c r="X133">
        <v>0.70669000000000004</v>
      </c>
      <c r="Y133">
        <v>0.81483000000000005</v>
      </c>
      <c r="Z133">
        <v>0.76554999999999995</v>
      </c>
      <c r="AA133">
        <v>0.81130000000000002</v>
      </c>
      <c r="AB133">
        <v>0.84823000000000004</v>
      </c>
      <c r="AC133">
        <v>0.96325000000000005</v>
      </c>
      <c r="AD133">
        <v>1.0185599999999999</v>
      </c>
      <c r="AE133">
        <v>0.89183999999999997</v>
      </c>
      <c r="AF133">
        <v>1.0464599999999999</v>
      </c>
      <c r="AG133">
        <v>1.0985499999999999</v>
      </c>
      <c r="AH133">
        <v>1.1995400000000001</v>
      </c>
      <c r="AI133">
        <v>1.1940900000000001</v>
      </c>
      <c r="AJ133">
        <v>1.2174799999999999</v>
      </c>
      <c r="AK133">
        <v>1.0570999999999999</v>
      </c>
      <c r="AL133">
        <v>1.3163199999999999</v>
      </c>
      <c r="AM133">
        <v>1.4554</v>
      </c>
      <c r="AN133">
        <v>1.2690900000000001</v>
      </c>
      <c r="AO133">
        <v>1.51532</v>
      </c>
      <c r="AP133">
        <v>1.6534199999999999</v>
      </c>
      <c r="AQ133">
        <v>1.49136</v>
      </c>
      <c r="AR133">
        <v>1.70184</v>
      </c>
      <c r="AS133">
        <v>1.77182</v>
      </c>
      <c r="AT133">
        <v>1.8246800000000001</v>
      </c>
      <c r="AU133">
        <v>1.7729999999999999</v>
      </c>
      <c r="AV133">
        <v>1.7074</v>
      </c>
      <c r="AW133">
        <v>2.22316</v>
      </c>
      <c r="AX133">
        <v>2.2233499999999999</v>
      </c>
      <c r="AY133">
        <v>2.2624300000000002</v>
      </c>
      <c r="AZ133">
        <v>2.2811599999999999</v>
      </c>
      <c r="BA133">
        <v>2.3117800000000002</v>
      </c>
      <c r="BB133">
        <v>2.37323</v>
      </c>
      <c r="BC133">
        <v>2.3898600000000001</v>
      </c>
      <c r="BD133">
        <v>2.4209900000000002</v>
      </c>
      <c r="BE133">
        <v>2.3233000000000001</v>
      </c>
      <c r="BF133">
        <v>2.49709</v>
      </c>
      <c r="BG133">
        <v>2.4819300000000002</v>
      </c>
      <c r="BH133">
        <v>2.4752800000000001</v>
      </c>
      <c r="BI133">
        <v>2.4643099999999998</v>
      </c>
      <c r="BJ133">
        <v>2.4618799999999998</v>
      </c>
      <c r="BK133">
        <v>2.4557199999999999</v>
      </c>
      <c r="BL133">
        <v>2.4511799999999999</v>
      </c>
      <c r="BM133">
        <v>2.4420700000000002</v>
      </c>
      <c r="BN133">
        <v>2.4387599999999998</v>
      </c>
      <c r="BO133">
        <v>2.3890199999999999</v>
      </c>
      <c r="BP133">
        <v>2.4321100000000002</v>
      </c>
      <c r="BQ133">
        <v>2.4321299999999999</v>
      </c>
      <c r="BR133">
        <v>2.43384</v>
      </c>
      <c r="BS133">
        <v>2.4338600000000001</v>
      </c>
      <c r="BT133">
        <v>2.4338799999999998</v>
      </c>
      <c r="BW133">
        <v>2.4239099999999998</v>
      </c>
      <c r="BX133">
        <v>2.4239199999999999</v>
      </c>
      <c r="BY133">
        <v>2.4189400000000001</v>
      </c>
      <c r="BZ133">
        <v>2.4122599999999998</v>
      </c>
      <c r="CA133">
        <v>2.4122699999999999</v>
      </c>
      <c r="CB133">
        <v>2.41228</v>
      </c>
      <c r="CC133">
        <v>2.4089700000000001</v>
      </c>
      <c r="CD133">
        <v>2.4089800000000001</v>
      </c>
      <c r="CE133">
        <v>2.4090199999999999</v>
      </c>
      <c r="CF133">
        <v>2.40903</v>
      </c>
      <c r="CG133">
        <v>2.4023400000000001</v>
      </c>
      <c r="CH133">
        <v>2.4010199999999999</v>
      </c>
      <c r="CI133">
        <v>2.4043000000000001</v>
      </c>
      <c r="CJ133">
        <v>2.4043100000000002</v>
      </c>
      <c r="CK133">
        <v>2.3940899999999998</v>
      </c>
      <c r="CL133">
        <v>2.3940999999999999</v>
      </c>
      <c r="CM133">
        <v>2.39411</v>
      </c>
      <c r="CN133">
        <v>2.4089900000000002</v>
      </c>
      <c r="CO133">
        <v>2.4089999999999998</v>
      </c>
      <c r="CP133">
        <v>2.4040300000000001</v>
      </c>
      <c r="CQ133">
        <v>2.4135399999999998</v>
      </c>
      <c r="CS133">
        <v>2.39906</v>
      </c>
      <c r="CT133">
        <v>2.39907</v>
      </c>
      <c r="CU133">
        <v>2.3990800000000001</v>
      </c>
      <c r="CV133">
        <v>2.3990900000000002</v>
      </c>
      <c r="CW133">
        <v>2.39859</v>
      </c>
      <c r="CX133">
        <v>2.3986000000000001</v>
      </c>
      <c r="CY133">
        <v>2.3986100000000001</v>
      </c>
      <c r="CZ133">
        <v>2.38862</v>
      </c>
      <c r="DA133">
        <v>2.3836200000000001</v>
      </c>
      <c r="DB133">
        <v>2.3836300000000001</v>
      </c>
      <c r="DC133">
        <v>2.28389</v>
      </c>
    </row>
    <row r="134" spans="1:107" x14ac:dyDescent="0.25">
      <c r="A134">
        <f t="shared" si="2"/>
        <v>2</v>
      </c>
      <c r="B134" s="2">
        <v>42198</v>
      </c>
      <c r="F134">
        <v>0.56745999999999996</v>
      </c>
      <c r="G134">
        <v>0.63371</v>
      </c>
      <c r="H134">
        <v>0.59796000000000005</v>
      </c>
      <c r="I134">
        <v>0.49935000000000002</v>
      </c>
      <c r="J134">
        <v>0.56650999999999996</v>
      </c>
      <c r="K134">
        <v>0.61799999999999999</v>
      </c>
      <c r="L134">
        <v>0.61407</v>
      </c>
      <c r="M134">
        <v>0.60160999999999998</v>
      </c>
      <c r="N134">
        <v>0.51251999999999998</v>
      </c>
      <c r="O134">
        <v>0.71013000000000004</v>
      </c>
      <c r="P134">
        <v>0.67689999999999995</v>
      </c>
      <c r="Q134">
        <v>0.53573999999999999</v>
      </c>
      <c r="R134">
        <v>0.56671000000000005</v>
      </c>
      <c r="S134">
        <v>0.65863000000000005</v>
      </c>
      <c r="T134">
        <v>0.66381000000000001</v>
      </c>
      <c r="U134">
        <v>0.53491999999999995</v>
      </c>
      <c r="V134">
        <v>0.57865999999999995</v>
      </c>
      <c r="W134">
        <v>0.61578999999999995</v>
      </c>
      <c r="X134">
        <v>0.68025000000000002</v>
      </c>
      <c r="Y134">
        <v>0.79420000000000002</v>
      </c>
      <c r="Z134">
        <v>0.74461999999999995</v>
      </c>
      <c r="AA134">
        <v>0.79239999999999999</v>
      </c>
      <c r="AB134">
        <v>0.83018999999999998</v>
      </c>
      <c r="AC134">
        <v>0.94167999999999996</v>
      </c>
      <c r="AD134">
        <v>0.99577000000000004</v>
      </c>
      <c r="AE134">
        <v>0.86229999999999996</v>
      </c>
      <c r="AF134">
        <v>1.0235799999999999</v>
      </c>
      <c r="AG134">
        <v>1.0797099999999999</v>
      </c>
      <c r="AH134">
        <v>1.1833499999999999</v>
      </c>
      <c r="AI134">
        <v>1.17676</v>
      </c>
      <c r="AJ134">
        <v>1.20035</v>
      </c>
      <c r="AK134">
        <v>1.03935</v>
      </c>
      <c r="AL134">
        <v>1.2966500000000001</v>
      </c>
      <c r="AM134">
        <v>1.44208</v>
      </c>
      <c r="AN134">
        <v>1.26067</v>
      </c>
      <c r="AO134">
        <v>1.50196</v>
      </c>
      <c r="AP134">
        <v>1.6516599999999999</v>
      </c>
      <c r="AQ134">
        <v>1.4761500000000001</v>
      </c>
      <c r="AR134">
        <v>1.7002900000000001</v>
      </c>
      <c r="AS134">
        <v>1.7725200000000001</v>
      </c>
      <c r="AT134">
        <v>1.8220700000000001</v>
      </c>
      <c r="AU134">
        <v>1.77216</v>
      </c>
      <c r="AV134">
        <v>1.69953</v>
      </c>
      <c r="AW134">
        <v>2.2265899999999998</v>
      </c>
      <c r="AX134">
        <v>2.22479</v>
      </c>
      <c r="AY134">
        <v>2.2631600000000001</v>
      </c>
      <c r="AZ134">
        <v>2.2812299999999999</v>
      </c>
      <c r="BA134">
        <v>2.31026</v>
      </c>
      <c r="BB134">
        <v>2.3758300000000001</v>
      </c>
      <c r="BC134">
        <v>2.4004599999999998</v>
      </c>
      <c r="BD134">
        <v>2.42747</v>
      </c>
      <c r="BE134">
        <v>2.3307099999999998</v>
      </c>
      <c r="BF134">
        <v>2.50407</v>
      </c>
      <c r="BG134">
        <v>2.4887100000000002</v>
      </c>
      <c r="BH134">
        <v>2.4820600000000002</v>
      </c>
      <c r="BI134">
        <v>2.4710700000000001</v>
      </c>
      <c r="BJ134">
        <v>2.46855</v>
      </c>
      <c r="BK134">
        <v>2.46265</v>
      </c>
      <c r="BL134">
        <v>2.4578199999999999</v>
      </c>
      <c r="BM134">
        <v>2.4487999999999999</v>
      </c>
      <c r="BN134">
        <v>2.4454799999999999</v>
      </c>
      <c r="BO134">
        <v>2.39689</v>
      </c>
      <c r="BP134">
        <v>2.4388200000000002</v>
      </c>
      <c r="BQ134">
        <v>2.4388299999999998</v>
      </c>
      <c r="BR134">
        <v>2.4407199999999998</v>
      </c>
      <c r="BS134">
        <v>2.4407299999999998</v>
      </c>
      <c r="BT134">
        <v>2.4407399999999999</v>
      </c>
      <c r="BW134">
        <v>2.4307599999999998</v>
      </c>
      <c r="BX134">
        <v>2.4342199999999998</v>
      </c>
      <c r="BY134">
        <v>2.42578</v>
      </c>
      <c r="BZ134">
        <v>2.4189099999999999</v>
      </c>
      <c r="CA134">
        <v>2.41892</v>
      </c>
      <c r="CB134">
        <v>2.41893</v>
      </c>
      <c r="CC134">
        <v>2.4156</v>
      </c>
      <c r="CD134">
        <v>2.41561</v>
      </c>
      <c r="CE134">
        <v>2.4176199999999999</v>
      </c>
      <c r="CF134">
        <v>2.4176199999999999</v>
      </c>
      <c r="CG134">
        <v>2.40896</v>
      </c>
      <c r="CH134">
        <v>2.4076399999999998</v>
      </c>
      <c r="CI134">
        <v>2.40822</v>
      </c>
      <c r="CJ134">
        <v>2.40822</v>
      </c>
      <c r="CK134">
        <v>2.4008699999999998</v>
      </c>
      <c r="CL134">
        <v>2.4008799999999999</v>
      </c>
      <c r="CM134">
        <v>2.4008799999999999</v>
      </c>
      <c r="CN134">
        <v>2.4282400000000002</v>
      </c>
      <c r="CO134">
        <v>2.4152300000000002</v>
      </c>
      <c r="CP134">
        <v>2.41025</v>
      </c>
      <c r="CQ134">
        <v>2.4182600000000001</v>
      </c>
      <c r="CS134">
        <v>2.4052799999999999</v>
      </c>
      <c r="CT134">
        <v>2.4052799999999999</v>
      </c>
      <c r="CU134">
        <v>2.4052899999999999</v>
      </c>
      <c r="CV134">
        <v>2.4052899999999999</v>
      </c>
      <c r="CW134">
        <v>2.4032900000000001</v>
      </c>
      <c r="CX134">
        <v>2.4033000000000002</v>
      </c>
      <c r="CY134">
        <v>2.4033000000000002</v>
      </c>
      <c r="CZ134">
        <v>2.39331</v>
      </c>
      <c r="DA134">
        <v>2.3883100000000002</v>
      </c>
      <c r="DB134">
        <v>2.3883200000000002</v>
      </c>
      <c r="DC134">
        <v>2.2894299999999999</v>
      </c>
    </row>
    <row r="135" spans="1:107" x14ac:dyDescent="0.25">
      <c r="A135">
        <f t="shared" si="2"/>
        <v>3</v>
      </c>
      <c r="B135" s="2">
        <v>42199</v>
      </c>
      <c r="F135">
        <v>0.54793999999999998</v>
      </c>
      <c r="G135">
        <v>0.63058000000000003</v>
      </c>
      <c r="H135">
        <v>0.58879000000000004</v>
      </c>
      <c r="I135">
        <v>0.49247999999999997</v>
      </c>
      <c r="J135">
        <v>0.54674</v>
      </c>
      <c r="K135">
        <v>0.60109000000000001</v>
      </c>
      <c r="L135">
        <v>0.60084000000000004</v>
      </c>
      <c r="M135">
        <v>0.59465000000000001</v>
      </c>
      <c r="N135">
        <v>0.50366999999999995</v>
      </c>
      <c r="O135">
        <v>0.70247000000000004</v>
      </c>
      <c r="P135">
        <v>0.68447999999999998</v>
      </c>
      <c r="Q135">
        <v>0.52383000000000002</v>
      </c>
      <c r="R135">
        <v>0.55464000000000002</v>
      </c>
      <c r="S135">
        <v>0.64605000000000001</v>
      </c>
      <c r="T135">
        <v>0.65122999999999998</v>
      </c>
      <c r="U135">
        <v>0.52114000000000005</v>
      </c>
      <c r="V135">
        <v>0.56359000000000004</v>
      </c>
      <c r="W135">
        <v>0.60124999999999995</v>
      </c>
      <c r="X135">
        <v>0.66754999999999998</v>
      </c>
      <c r="Y135">
        <v>0.76600999999999997</v>
      </c>
      <c r="Z135">
        <v>0.71142000000000005</v>
      </c>
      <c r="AA135">
        <v>0.75910999999999995</v>
      </c>
      <c r="AB135">
        <v>0.79732999999999998</v>
      </c>
      <c r="AC135">
        <v>0.89749000000000001</v>
      </c>
      <c r="AD135">
        <v>0.94425999999999999</v>
      </c>
      <c r="AE135">
        <v>0.83282999999999996</v>
      </c>
      <c r="AF135">
        <v>0.99368000000000001</v>
      </c>
      <c r="AG135">
        <v>1.0483800000000001</v>
      </c>
      <c r="AH135">
        <v>1.1516599999999999</v>
      </c>
      <c r="AI135">
        <v>1.1472500000000001</v>
      </c>
      <c r="AJ135">
        <v>1.17309</v>
      </c>
      <c r="AK135">
        <v>1.0079800000000001</v>
      </c>
      <c r="AL135">
        <v>1.2673099999999999</v>
      </c>
      <c r="AM135">
        <v>1.41665</v>
      </c>
      <c r="AN135">
        <v>1.2325200000000001</v>
      </c>
      <c r="AO135">
        <v>1.4765299999999999</v>
      </c>
      <c r="AP135">
        <v>1.6230500000000001</v>
      </c>
      <c r="AQ135">
        <v>1.4411499999999999</v>
      </c>
      <c r="AR135">
        <v>1.67144</v>
      </c>
      <c r="AS135">
        <v>1.7470000000000001</v>
      </c>
      <c r="AT135">
        <v>1.79983</v>
      </c>
      <c r="AU135">
        <v>1.74421</v>
      </c>
      <c r="AV135">
        <v>1.6739900000000001</v>
      </c>
      <c r="AW135">
        <v>2.1950099999999999</v>
      </c>
      <c r="AX135">
        <v>2.1978900000000001</v>
      </c>
      <c r="AY135">
        <v>2.2306599999999999</v>
      </c>
      <c r="AZ135">
        <v>2.2490299999999999</v>
      </c>
      <c r="BA135">
        <v>2.28186</v>
      </c>
      <c r="BB135">
        <v>2.3652099999999998</v>
      </c>
      <c r="BC135">
        <v>2.37602</v>
      </c>
      <c r="BD135">
        <v>2.4041399999999999</v>
      </c>
      <c r="BE135">
        <v>2.3136700000000001</v>
      </c>
      <c r="BF135">
        <v>2.4855800000000001</v>
      </c>
      <c r="BG135">
        <v>2.4703900000000001</v>
      </c>
      <c r="BH135">
        <v>2.46374</v>
      </c>
      <c r="BI135">
        <v>2.45275</v>
      </c>
      <c r="BJ135">
        <v>2.45051</v>
      </c>
      <c r="BK135">
        <v>2.4446599999999998</v>
      </c>
      <c r="BL135">
        <v>2.4400400000000002</v>
      </c>
      <c r="BM135">
        <v>2.4311400000000001</v>
      </c>
      <c r="BN135">
        <v>2.4278300000000002</v>
      </c>
      <c r="BO135">
        <v>2.3776799999999998</v>
      </c>
      <c r="BP135">
        <v>2.42117</v>
      </c>
      <c r="BQ135">
        <v>2.4211800000000001</v>
      </c>
      <c r="BR135">
        <v>2.4232300000000002</v>
      </c>
      <c r="BS135">
        <v>2.4232399999999998</v>
      </c>
      <c r="BT135">
        <v>2.4232499999999999</v>
      </c>
      <c r="BW135">
        <v>2.4132699999999998</v>
      </c>
      <c r="BX135">
        <v>2.41683</v>
      </c>
      <c r="BY135">
        <v>2.40829</v>
      </c>
      <c r="BZ135">
        <v>2.4012500000000001</v>
      </c>
      <c r="CA135">
        <v>2.4012600000000002</v>
      </c>
      <c r="CB135">
        <v>2.4012699999999998</v>
      </c>
      <c r="CC135">
        <v>2.3979499999999998</v>
      </c>
      <c r="CD135">
        <v>2.3979599999999999</v>
      </c>
      <c r="CE135">
        <v>2.4002300000000001</v>
      </c>
      <c r="CF135">
        <v>2.4002400000000002</v>
      </c>
      <c r="CG135">
        <v>2.3913099999999998</v>
      </c>
      <c r="CH135">
        <v>2.3917700000000002</v>
      </c>
      <c r="CI135">
        <v>2.39283</v>
      </c>
      <c r="CJ135">
        <v>2.3928400000000001</v>
      </c>
      <c r="CK135">
        <v>2.3833799999999998</v>
      </c>
      <c r="CL135">
        <v>2.3833899999999999</v>
      </c>
      <c r="CM135">
        <v>2.3833899999999999</v>
      </c>
      <c r="CN135">
        <v>2.39724</v>
      </c>
      <c r="CO135">
        <v>2.4101699999999999</v>
      </c>
      <c r="CP135">
        <v>2.3922699999999999</v>
      </c>
      <c r="CQ135">
        <v>2.4001800000000002</v>
      </c>
      <c r="CS135">
        <v>2.3872900000000001</v>
      </c>
      <c r="CT135">
        <v>2.3872900000000001</v>
      </c>
      <c r="CU135">
        <v>2.3873000000000002</v>
      </c>
      <c r="CV135">
        <v>2.3873000000000002</v>
      </c>
      <c r="CW135">
        <v>2.3852099999999998</v>
      </c>
      <c r="CX135">
        <v>2.3852199999999999</v>
      </c>
      <c r="CY135">
        <v>2.3852199999999999</v>
      </c>
      <c r="CZ135">
        <v>2.3752300000000002</v>
      </c>
      <c r="DA135">
        <v>2.3702299999999998</v>
      </c>
      <c r="DB135">
        <v>2.3702299999999998</v>
      </c>
      <c r="DC135">
        <v>2.2717100000000001</v>
      </c>
    </row>
    <row r="136" spans="1:107" x14ac:dyDescent="0.25">
      <c r="A136">
        <f t="shared" si="2"/>
        <v>4</v>
      </c>
      <c r="B136" s="2">
        <v>42200</v>
      </c>
      <c r="F136">
        <v>0.45994000000000002</v>
      </c>
      <c r="G136">
        <v>0.53007000000000004</v>
      </c>
      <c r="H136">
        <v>0.51068999999999998</v>
      </c>
      <c r="I136">
        <v>0.42620000000000002</v>
      </c>
      <c r="J136">
        <v>0.48315000000000002</v>
      </c>
      <c r="K136">
        <v>0.5222</v>
      </c>
      <c r="L136">
        <v>0.52351000000000003</v>
      </c>
      <c r="M136">
        <v>0.52949000000000002</v>
      </c>
      <c r="N136">
        <v>0.43785000000000002</v>
      </c>
      <c r="O136">
        <v>0.57833000000000001</v>
      </c>
      <c r="P136">
        <v>0.59880999999999995</v>
      </c>
      <c r="Q136">
        <v>0.44375999999999999</v>
      </c>
      <c r="R136">
        <v>0.49530999999999997</v>
      </c>
      <c r="S136">
        <v>0.58491000000000004</v>
      </c>
      <c r="T136">
        <v>0.59014999999999995</v>
      </c>
      <c r="U136">
        <v>0.46039000000000002</v>
      </c>
      <c r="V136">
        <v>0.50707000000000002</v>
      </c>
      <c r="W136">
        <v>0.55101999999999995</v>
      </c>
      <c r="X136">
        <v>0.60611999999999999</v>
      </c>
      <c r="Y136">
        <v>0.70801999999999998</v>
      </c>
      <c r="Z136">
        <v>0.64502999999999999</v>
      </c>
      <c r="AA136">
        <v>0.70264000000000004</v>
      </c>
      <c r="AB136">
        <v>0.74294000000000004</v>
      </c>
      <c r="AC136">
        <v>0.85455000000000003</v>
      </c>
      <c r="AD136">
        <v>0.90419000000000005</v>
      </c>
      <c r="AE136">
        <v>0.77902000000000005</v>
      </c>
      <c r="AF136">
        <v>0.93847999999999998</v>
      </c>
      <c r="AG136">
        <v>0.98977000000000004</v>
      </c>
      <c r="AH136">
        <v>1.0946100000000001</v>
      </c>
      <c r="AI136">
        <v>1.0952999999999999</v>
      </c>
      <c r="AJ136">
        <v>1.1098600000000001</v>
      </c>
      <c r="AK136">
        <v>0.96752000000000005</v>
      </c>
      <c r="AL136">
        <v>1.21357</v>
      </c>
      <c r="AM136">
        <v>1.3541000000000001</v>
      </c>
      <c r="AN136">
        <v>1.1714500000000001</v>
      </c>
      <c r="AO136">
        <v>1.4139999999999999</v>
      </c>
      <c r="AP136">
        <v>1.56331</v>
      </c>
      <c r="AQ136">
        <v>1.37839</v>
      </c>
      <c r="AR136">
        <v>1.6077399999999999</v>
      </c>
      <c r="AS136">
        <v>1.679</v>
      </c>
      <c r="AT136">
        <v>1.7318499999999999</v>
      </c>
      <c r="AU136">
        <v>1.6791799999999999</v>
      </c>
      <c r="AV136">
        <v>1.61252</v>
      </c>
      <c r="AW136">
        <v>2.1404299999999998</v>
      </c>
      <c r="AX136">
        <v>2.1416400000000002</v>
      </c>
      <c r="AY136">
        <v>2.1762800000000002</v>
      </c>
      <c r="AZ136">
        <v>2.19495</v>
      </c>
      <c r="BA136">
        <v>2.22905</v>
      </c>
      <c r="BB136">
        <v>2.3123800000000001</v>
      </c>
      <c r="BC136">
        <v>2.3236400000000001</v>
      </c>
      <c r="BD136">
        <v>2.3574999999999999</v>
      </c>
      <c r="BE136">
        <v>2.2638799999999999</v>
      </c>
      <c r="BF136">
        <v>2.4277899999999999</v>
      </c>
      <c r="BG136">
        <v>2.4238200000000001</v>
      </c>
      <c r="BH136">
        <v>2.41717</v>
      </c>
      <c r="BI136">
        <v>2.4098299999999999</v>
      </c>
      <c r="BJ136">
        <v>2.4088799999999999</v>
      </c>
      <c r="BK136">
        <v>2.3919100000000002</v>
      </c>
      <c r="BL136">
        <v>2.3931800000000001</v>
      </c>
      <c r="BM136">
        <v>2.3869199999999999</v>
      </c>
      <c r="BN136">
        <v>2.3809800000000001</v>
      </c>
      <c r="BO136">
        <v>2.3325300000000002</v>
      </c>
      <c r="BP136">
        <v>2.3743300000000001</v>
      </c>
      <c r="BQ136">
        <v>2.3743500000000002</v>
      </c>
      <c r="BR136">
        <v>2.3710300000000002</v>
      </c>
      <c r="BS136">
        <v>2.3710399999999998</v>
      </c>
      <c r="BT136">
        <v>2.3750599999999999</v>
      </c>
      <c r="BW136">
        <v>2.3610899999999999</v>
      </c>
      <c r="BX136">
        <v>2.36511</v>
      </c>
      <c r="BY136">
        <v>2.3577900000000001</v>
      </c>
      <c r="BZ136">
        <v>2.3544700000000001</v>
      </c>
      <c r="CA136">
        <v>2.3544900000000002</v>
      </c>
      <c r="CB136">
        <v>2.3544999999999998</v>
      </c>
      <c r="CC136">
        <v>2.3511799999999998</v>
      </c>
      <c r="CD136">
        <v>2.3511899999999999</v>
      </c>
      <c r="CE136">
        <v>2.3538700000000001</v>
      </c>
      <c r="CF136">
        <v>2.3538800000000002</v>
      </c>
      <c r="CG136">
        <v>2.34456</v>
      </c>
      <c r="CH136">
        <v>2.3426</v>
      </c>
      <c r="CI136">
        <v>2.3433099999999998</v>
      </c>
      <c r="CJ136">
        <v>2.3433199999999998</v>
      </c>
      <c r="CK136">
        <v>2.3462900000000002</v>
      </c>
      <c r="CL136">
        <v>2.3462999999999998</v>
      </c>
      <c r="CM136">
        <v>2.3463099999999999</v>
      </c>
      <c r="CN136">
        <v>2.3648199999999999</v>
      </c>
      <c r="CO136">
        <v>2.36483</v>
      </c>
      <c r="CP136">
        <v>2.3463400000000001</v>
      </c>
      <c r="CQ136">
        <v>2.3548499999999999</v>
      </c>
      <c r="CS136">
        <v>2.34137</v>
      </c>
      <c r="CT136">
        <v>2.3448799999999999</v>
      </c>
      <c r="CU136">
        <v>2.3448899999999999</v>
      </c>
      <c r="CV136">
        <v>2.3448899999999999</v>
      </c>
      <c r="CW136">
        <v>2.3379400000000001</v>
      </c>
      <c r="CX136">
        <v>2.3379500000000002</v>
      </c>
      <c r="CY136">
        <v>2.3379500000000002</v>
      </c>
      <c r="CZ136">
        <v>2.3364199999999999</v>
      </c>
      <c r="DA136">
        <v>2.3249399999999998</v>
      </c>
      <c r="DB136">
        <v>2.3249399999999998</v>
      </c>
      <c r="DC136">
        <v>2.2254399999999999</v>
      </c>
    </row>
    <row r="137" spans="1:107" x14ac:dyDescent="0.25">
      <c r="A137">
        <f t="shared" si="2"/>
        <v>5</v>
      </c>
      <c r="B137" s="2">
        <v>42201</v>
      </c>
      <c r="F137">
        <v>0.44091000000000002</v>
      </c>
      <c r="G137">
        <v>0.51854999999999996</v>
      </c>
      <c r="H137">
        <v>0.50321000000000005</v>
      </c>
      <c r="I137">
        <v>0.42065000000000002</v>
      </c>
      <c r="J137">
        <v>0.46354000000000001</v>
      </c>
      <c r="K137">
        <v>0.52351000000000003</v>
      </c>
      <c r="L137">
        <v>0.50649999999999995</v>
      </c>
      <c r="M137">
        <v>0.52749999999999997</v>
      </c>
      <c r="N137">
        <v>0.44639000000000001</v>
      </c>
      <c r="O137">
        <v>0.58243</v>
      </c>
      <c r="P137">
        <v>0.59997999999999996</v>
      </c>
      <c r="Q137">
        <v>0.45145000000000002</v>
      </c>
      <c r="R137">
        <v>0.50948000000000004</v>
      </c>
      <c r="S137">
        <v>0.59933999999999998</v>
      </c>
      <c r="T137">
        <v>0.60462000000000005</v>
      </c>
      <c r="U137">
        <v>0.47082000000000002</v>
      </c>
      <c r="V137">
        <v>0.51468999999999998</v>
      </c>
      <c r="W137">
        <v>0.56472999999999995</v>
      </c>
      <c r="X137">
        <v>0.61987000000000003</v>
      </c>
      <c r="Y137">
        <v>0.71740999999999999</v>
      </c>
      <c r="Z137">
        <v>0.66281999999999996</v>
      </c>
      <c r="AA137">
        <v>0.71082999999999996</v>
      </c>
      <c r="AB137">
        <v>0.74990000000000001</v>
      </c>
      <c r="AC137">
        <v>0.84974000000000005</v>
      </c>
      <c r="AD137">
        <v>0.90995999999999999</v>
      </c>
      <c r="AE137">
        <v>0.78441000000000005</v>
      </c>
      <c r="AF137">
        <v>0.94447000000000003</v>
      </c>
      <c r="AG137">
        <v>1.0018400000000001</v>
      </c>
      <c r="AH137">
        <v>1.10354</v>
      </c>
      <c r="AI137">
        <v>1.0981799999999999</v>
      </c>
      <c r="AJ137">
        <v>1.12137</v>
      </c>
      <c r="AK137">
        <v>0.97170999999999996</v>
      </c>
      <c r="AL137">
        <v>1.2178899999999999</v>
      </c>
      <c r="AM137">
        <v>1.33938</v>
      </c>
      <c r="AN137">
        <v>1.15859</v>
      </c>
      <c r="AO137">
        <v>1.3992899999999999</v>
      </c>
      <c r="AP137">
        <v>1.5379400000000001</v>
      </c>
      <c r="AQ137">
        <v>1.3693299999999999</v>
      </c>
      <c r="AR137">
        <v>1.58761</v>
      </c>
      <c r="AS137">
        <v>1.65333</v>
      </c>
      <c r="AT137">
        <v>1.70618</v>
      </c>
      <c r="AU137">
        <v>1.6594599999999999</v>
      </c>
      <c r="AV137">
        <v>1.5901400000000001</v>
      </c>
      <c r="AW137">
        <v>2.12419</v>
      </c>
      <c r="AX137">
        <v>2.1216400000000002</v>
      </c>
      <c r="AY137">
        <v>2.1564800000000002</v>
      </c>
      <c r="AZ137">
        <v>2.1789399999999999</v>
      </c>
      <c r="BA137">
        <v>2.2087400000000001</v>
      </c>
      <c r="BB137">
        <v>2.2812800000000002</v>
      </c>
      <c r="BC137">
        <v>2.3192699999999999</v>
      </c>
      <c r="BD137">
        <v>2.3478500000000002</v>
      </c>
      <c r="BE137">
        <v>2.2548599999999999</v>
      </c>
      <c r="BF137">
        <v>2.4138799999999998</v>
      </c>
      <c r="BG137">
        <v>2.4090600000000002</v>
      </c>
      <c r="BH137">
        <v>2.40232</v>
      </c>
      <c r="BI137">
        <v>2.39168</v>
      </c>
      <c r="BJ137">
        <v>2.38503</v>
      </c>
      <c r="BK137">
        <v>2.3830100000000001</v>
      </c>
      <c r="BL137">
        <v>2.3744000000000001</v>
      </c>
      <c r="BM137">
        <v>2.3704399999999999</v>
      </c>
      <c r="BN137">
        <v>2.3671199999999999</v>
      </c>
      <c r="BO137">
        <v>2.3196699999999999</v>
      </c>
      <c r="BP137">
        <v>2.3604799999999999</v>
      </c>
      <c r="BQ137">
        <v>2.36049</v>
      </c>
      <c r="BR137">
        <v>2.36212</v>
      </c>
      <c r="BS137">
        <v>2.3621400000000001</v>
      </c>
      <c r="BT137">
        <v>2.3621599999999998</v>
      </c>
      <c r="BW137">
        <v>2.3521899999999998</v>
      </c>
      <c r="BX137">
        <v>2.3521999999999998</v>
      </c>
      <c r="BY137">
        <v>2.3439399999999999</v>
      </c>
      <c r="BZ137">
        <v>2.3406199999999999</v>
      </c>
      <c r="CA137">
        <v>2.34063</v>
      </c>
      <c r="CB137">
        <v>2.3406400000000001</v>
      </c>
      <c r="CC137">
        <v>2.3373300000000001</v>
      </c>
      <c r="CD137">
        <v>2.3373400000000002</v>
      </c>
      <c r="CE137">
        <v>2.3372999999999999</v>
      </c>
      <c r="CF137">
        <v>2.33731</v>
      </c>
      <c r="CG137">
        <v>2.3307000000000002</v>
      </c>
      <c r="CH137">
        <v>2.3323999999999998</v>
      </c>
      <c r="CI137">
        <v>2.3341500000000002</v>
      </c>
      <c r="CJ137">
        <v>2.3341599999999998</v>
      </c>
      <c r="CK137">
        <v>2.3325100000000001</v>
      </c>
      <c r="CL137">
        <v>2.3325200000000001</v>
      </c>
      <c r="CM137">
        <v>2.3325200000000001</v>
      </c>
      <c r="CN137">
        <v>2.33752</v>
      </c>
      <c r="CO137">
        <v>2.3375300000000001</v>
      </c>
      <c r="CP137">
        <v>2.3325499999999999</v>
      </c>
      <c r="CQ137">
        <v>2.34206</v>
      </c>
      <c r="CS137">
        <v>2.3275800000000002</v>
      </c>
      <c r="CT137">
        <v>2.3275899999999998</v>
      </c>
      <c r="CU137">
        <v>2.3275999999999999</v>
      </c>
      <c r="CV137">
        <v>2.32761</v>
      </c>
      <c r="CW137">
        <v>2.3271099999999998</v>
      </c>
      <c r="CX137">
        <v>2.3271199999999999</v>
      </c>
      <c r="CY137">
        <v>2.3271299999999999</v>
      </c>
      <c r="CZ137">
        <v>2.3171400000000002</v>
      </c>
      <c r="DA137">
        <v>2.3121399999999999</v>
      </c>
      <c r="DB137">
        <v>2.3121499999999999</v>
      </c>
      <c r="DC137">
        <v>2.21225</v>
      </c>
    </row>
    <row r="138" spans="1:107" x14ac:dyDescent="0.25">
      <c r="A138">
        <f t="shared" si="2"/>
        <v>6</v>
      </c>
      <c r="B138" s="2">
        <v>42202</v>
      </c>
      <c r="F138">
        <v>0.42282999999999998</v>
      </c>
      <c r="G138">
        <v>0.51351000000000002</v>
      </c>
      <c r="H138">
        <v>0.49125000000000002</v>
      </c>
      <c r="I138">
        <v>0.40227000000000002</v>
      </c>
      <c r="J138">
        <v>0.45468999999999998</v>
      </c>
      <c r="K138">
        <v>0.51817000000000002</v>
      </c>
      <c r="L138">
        <v>0.498</v>
      </c>
      <c r="M138">
        <v>0.52946000000000004</v>
      </c>
      <c r="N138">
        <v>0.45288</v>
      </c>
      <c r="O138">
        <v>0.61099000000000003</v>
      </c>
      <c r="P138">
        <v>0.58426999999999996</v>
      </c>
      <c r="Q138">
        <v>0.47242000000000001</v>
      </c>
      <c r="R138">
        <v>0.52181999999999995</v>
      </c>
      <c r="S138">
        <v>0.61282999999999999</v>
      </c>
      <c r="T138">
        <v>0.61812</v>
      </c>
      <c r="U138">
        <v>0.47806999999999999</v>
      </c>
      <c r="V138">
        <v>0.52329999999999999</v>
      </c>
      <c r="W138">
        <v>0.57308000000000003</v>
      </c>
      <c r="X138">
        <v>0.63073000000000001</v>
      </c>
      <c r="Y138">
        <v>0.72874000000000005</v>
      </c>
      <c r="Z138">
        <v>0.67262</v>
      </c>
      <c r="AA138">
        <v>0.72924</v>
      </c>
      <c r="AB138">
        <v>0.75966</v>
      </c>
      <c r="AC138">
        <v>0.85640000000000005</v>
      </c>
      <c r="AD138">
        <v>0.91834000000000005</v>
      </c>
      <c r="AE138">
        <v>0.79274</v>
      </c>
      <c r="AF138">
        <v>0.95284999999999997</v>
      </c>
      <c r="AG138">
        <v>1.00759</v>
      </c>
      <c r="AH138">
        <v>1.1066199999999999</v>
      </c>
      <c r="AI138">
        <v>1.1049599999999999</v>
      </c>
      <c r="AJ138">
        <v>1.1285799999999999</v>
      </c>
      <c r="AK138">
        <v>0.96445000000000003</v>
      </c>
      <c r="AL138">
        <v>1.2235</v>
      </c>
      <c r="AM138">
        <v>1.34422</v>
      </c>
      <c r="AN138">
        <v>1.16123</v>
      </c>
      <c r="AO138">
        <v>1.40412</v>
      </c>
      <c r="AP138">
        <v>1.5449299999999999</v>
      </c>
      <c r="AQ138">
        <v>1.3683099999999999</v>
      </c>
      <c r="AR138">
        <v>1.59501</v>
      </c>
      <c r="AS138">
        <v>1.6569700000000001</v>
      </c>
      <c r="AT138">
        <v>1.7063699999999999</v>
      </c>
      <c r="AU138">
        <v>1.6590499999999999</v>
      </c>
      <c r="AV138">
        <v>1.5800099999999999</v>
      </c>
      <c r="AW138">
        <v>2.1159699999999999</v>
      </c>
      <c r="AX138">
        <v>2.1183399999999999</v>
      </c>
      <c r="AY138">
        <v>2.1617899999999999</v>
      </c>
      <c r="AZ138">
        <v>2.17666</v>
      </c>
      <c r="BA138">
        <v>2.2003900000000001</v>
      </c>
      <c r="BB138">
        <v>2.2698100000000001</v>
      </c>
      <c r="BC138">
        <v>2.2927399999999998</v>
      </c>
      <c r="BD138">
        <v>2.32959</v>
      </c>
      <c r="BE138">
        <v>2.22844</v>
      </c>
      <c r="BF138">
        <v>2.4016799999999998</v>
      </c>
      <c r="BG138">
        <v>2.3866700000000001</v>
      </c>
      <c r="BH138">
        <v>2.38002</v>
      </c>
      <c r="BI138">
        <v>2.3690500000000001</v>
      </c>
      <c r="BJ138">
        <v>2.3664800000000001</v>
      </c>
      <c r="BK138">
        <v>2.3612700000000002</v>
      </c>
      <c r="BL138">
        <v>2.3557700000000001</v>
      </c>
      <c r="BM138">
        <v>2.3468100000000001</v>
      </c>
      <c r="BN138">
        <v>2.3435000000000001</v>
      </c>
      <c r="BO138">
        <v>2.2931599999999999</v>
      </c>
      <c r="BP138">
        <v>2.33684</v>
      </c>
      <c r="BQ138">
        <v>2.3368600000000002</v>
      </c>
      <c r="BR138">
        <v>2.3393899999999999</v>
      </c>
      <c r="BS138">
        <v>2.33941</v>
      </c>
      <c r="BT138">
        <v>2.3394200000000001</v>
      </c>
      <c r="BW138">
        <v>2.32945</v>
      </c>
      <c r="BX138">
        <v>2.33264</v>
      </c>
      <c r="BY138">
        <v>2.3244899999999999</v>
      </c>
      <c r="BZ138">
        <v>2.31698</v>
      </c>
      <c r="CA138">
        <v>2.3170000000000002</v>
      </c>
      <c r="CB138">
        <v>2.3170099999999998</v>
      </c>
      <c r="CC138">
        <v>2.3136899999999998</v>
      </c>
      <c r="CD138">
        <v>2.3137099999999999</v>
      </c>
      <c r="CE138">
        <v>2.31359</v>
      </c>
      <c r="CF138">
        <v>2.3136000000000001</v>
      </c>
      <c r="CG138">
        <v>2.30707</v>
      </c>
      <c r="CH138">
        <v>2.3060999999999998</v>
      </c>
      <c r="CI138">
        <v>2.3083999999999998</v>
      </c>
      <c r="CJ138">
        <v>2.3084099999999999</v>
      </c>
      <c r="CK138">
        <v>2.3080599999999998</v>
      </c>
      <c r="CL138">
        <v>2.3080699999999998</v>
      </c>
      <c r="CM138">
        <v>2.3080799999999999</v>
      </c>
      <c r="CN138">
        <v>2.3170999999999999</v>
      </c>
      <c r="CO138">
        <v>2.3236500000000002</v>
      </c>
      <c r="CP138">
        <v>2.3081</v>
      </c>
      <c r="CQ138">
        <v>2.3136700000000001</v>
      </c>
      <c r="CS138">
        <v>2.3031299999999999</v>
      </c>
      <c r="CT138">
        <v>2.3046700000000002</v>
      </c>
      <c r="CU138">
        <v>2.3046700000000002</v>
      </c>
      <c r="CV138">
        <v>2.3046799999999998</v>
      </c>
      <c r="CW138">
        <v>2.29372</v>
      </c>
      <c r="CX138">
        <v>2.29373</v>
      </c>
      <c r="CY138">
        <v>2.29373</v>
      </c>
      <c r="CZ138">
        <v>2.2887400000000002</v>
      </c>
      <c r="DA138">
        <v>2.2837499999999999</v>
      </c>
      <c r="DB138">
        <v>2.28376</v>
      </c>
      <c r="DC138">
        <v>2.1822499999999998</v>
      </c>
    </row>
    <row r="139" spans="1:107" x14ac:dyDescent="0.25">
      <c r="A139">
        <f t="shared" si="2"/>
        <v>2</v>
      </c>
      <c r="B139" s="2">
        <v>42205</v>
      </c>
      <c r="F139">
        <v>0.44151000000000001</v>
      </c>
      <c r="G139">
        <v>0.53369</v>
      </c>
      <c r="H139">
        <v>0.49409999999999998</v>
      </c>
      <c r="I139">
        <v>0.51722000000000001</v>
      </c>
      <c r="J139">
        <v>0.45873000000000003</v>
      </c>
      <c r="K139">
        <v>0.51978000000000002</v>
      </c>
      <c r="L139">
        <v>0.49978</v>
      </c>
      <c r="M139">
        <v>0.52510000000000001</v>
      </c>
      <c r="N139">
        <v>0.45473999999999998</v>
      </c>
      <c r="O139">
        <v>0.61336000000000002</v>
      </c>
      <c r="P139">
        <v>0.58584000000000003</v>
      </c>
      <c r="Q139">
        <v>0.47769</v>
      </c>
      <c r="R139">
        <v>0.52627000000000002</v>
      </c>
      <c r="S139">
        <v>0.61878</v>
      </c>
      <c r="T139">
        <v>0.62395999999999996</v>
      </c>
      <c r="U139">
        <v>0.48364000000000001</v>
      </c>
      <c r="V139">
        <v>0.52829000000000004</v>
      </c>
      <c r="W139">
        <v>0.57650999999999997</v>
      </c>
      <c r="X139">
        <v>0.63426000000000005</v>
      </c>
      <c r="Y139">
        <v>0.74080000000000001</v>
      </c>
      <c r="Z139">
        <v>0.68679999999999997</v>
      </c>
      <c r="AA139">
        <v>0.73531000000000002</v>
      </c>
      <c r="AB139">
        <v>0.77422999999999997</v>
      </c>
      <c r="AC139">
        <v>0.87141000000000002</v>
      </c>
      <c r="AD139">
        <v>0.93132999999999999</v>
      </c>
      <c r="AE139">
        <v>0.80559000000000003</v>
      </c>
      <c r="AF139">
        <v>0.96562999999999999</v>
      </c>
      <c r="AG139">
        <v>1.02197</v>
      </c>
      <c r="AH139">
        <v>1.12523</v>
      </c>
      <c r="AI139">
        <v>1.11961</v>
      </c>
      <c r="AJ139">
        <v>1.14279</v>
      </c>
      <c r="AK139">
        <v>0.98063</v>
      </c>
      <c r="AL139">
        <v>1.2394700000000001</v>
      </c>
      <c r="AM139">
        <v>1.3612599999999999</v>
      </c>
      <c r="AN139">
        <v>1.17971</v>
      </c>
      <c r="AO139">
        <v>1.4211400000000001</v>
      </c>
      <c r="AP139">
        <v>1.55515</v>
      </c>
      <c r="AQ139">
        <v>1.3846499999999999</v>
      </c>
      <c r="AR139">
        <v>1.60781</v>
      </c>
      <c r="AS139">
        <v>1.67181</v>
      </c>
      <c r="AT139">
        <v>1.71957</v>
      </c>
      <c r="AU139">
        <v>1.6737299999999999</v>
      </c>
      <c r="AV139">
        <v>1.5991599999999999</v>
      </c>
      <c r="AW139">
        <v>2.1357400000000002</v>
      </c>
      <c r="AX139">
        <v>2.1331600000000002</v>
      </c>
      <c r="AY139">
        <v>2.16873</v>
      </c>
      <c r="AZ139">
        <v>2.1903899999999998</v>
      </c>
      <c r="BA139">
        <v>2.2139099999999998</v>
      </c>
      <c r="BB139">
        <v>2.2968999999999999</v>
      </c>
      <c r="BC139">
        <v>2.3196400000000001</v>
      </c>
      <c r="BD139">
        <v>2.3511299999999999</v>
      </c>
      <c r="BE139">
        <v>2.2567499999999998</v>
      </c>
      <c r="BF139">
        <v>2.4078900000000001</v>
      </c>
      <c r="BG139">
        <v>2.4040900000000001</v>
      </c>
      <c r="BH139">
        <v>2.39744</v>
      </c>
      <c r="BI139">
        <v>2.3871199999999999</v>
      </c>
      <c r="BJ139">
        <v>2.3849</v>
      </c>
      <c r="BK139">
        <v>2.3734799999999998</v>
      </c>
      <c r="BL139">
        <v>2.3701500000000002</v>
      </c>
      <c r="BM139">
        <v>2.3689499999999999</v>
      </c>
      <c r="BN139">
        <v>2.3631899999999999</v>
      </c>
      <c r="BO139">
        <v>2.3151000000000002</v>
      </c>
      <c r="BP139">
        <v>2.3565299999999998</v>
      </c>
      <c r="BQ139">
        <v>2.3565399999999999</v>
      </c>
      <c r="BR139">
        <v>2.3532199999999999</v>
      </c>
      <c r="BS139">
        <v>2.3532199999999999</v>
      </c>
      <c r="BT139">
        <v>2.3570500000000001</v>
      </c>
      <c r="BW139">
        <v>2.3432499999999998</v>
      </c>
      <c r="BX139">
        <v>2.3470800000000001</v>
      </c>
      <c r="BY139">
        <v>2.3399399999999999</v>
      </c>
      <c r="BZ139">
        <v>2.3366199999999999</v>
      </c>
      <c r="CA139">
        <v>2.3366199999999999</v>
      </c>
      <c r="CB139">
        <v>2.33663</v>
      </c>
      <c r="CC139">
        <v>2.33331</v>
      </c>
      <c r="CD139">
        <v>2.3333200000000001</v>
      </c>
      <c r="CE139">
        <v>2.3359700000000001</v>
      </c>
      <c r="CF139">
        <v>2.3359800000000002</v>
      </c>
      <c r="CG139">
        <v>2.32666</v>
      </c>
      <c r="CH139">
        <v>2.3246899999999999</v>
      </c>
      <c r="CI139">
        <v>2.32579</v>
      </c>
      <c r="CJ139">
        <v>2.32579</v>
      </c>
      <c r="CK139">
        <v>2.32877</v>
      </c>
      <c r="CL139">
        <v>2.32877</v>
      </c>
      <c r="CM139">
        <v>2.3287800000000001</v>
      </c>
      <c r="CN139">
        <v>2.3452700000000002</v>
      </c>
      <c r="CO139">
        <v>2.3452799999999998</v>
      </c>
      <c r="CP139">
        <v>2.3402799999999999</v>
      </c>
      <c r="CQ139">
        <v>2.3352900000000001</v>
      </c>
      <c r="CS139">
        <v>2.32382</v>
      </c>
      <c r="CT139">
        <v>2.3252999999999999</v>
      </c>
      <c r="CU139">
        <v>2.32531</v>
      </c>
      <c r="CV139">
        <v>2.32531</v>
      </c>
      <c r="CW139">
        <v>2.3153199999999998</v>
      </c>
      <c r="CX139">
        <v>2.3153199999999998</v>
      </c>
      <c r="CY139">
        <v>2.3153299999999999</v>
      </c>
      <c r="CZ139">
        <v>2.3188499999999999</v>
      </c>
      <c r="DA139">
        <v>2.3053400000000002</v>
      </c>
      <c r="DB139">
        <v>2.3053400000000002</v>
      </c>
      <c r="DC139">
        <v>2.2037499999999999</v>
      </c>
    </row>
    <row r="140" spans="1:107" x14ac:dyDescent="0.25">
      <c r="A140">
        <f t="shared" si="2"/>
        <v>3</v>
      </c>
      <c r="B140" s="2">
        <v>42206</v>
      </c>
      <c r="F140">
        <v>0.43142999999999998</v>
      </c>
      <c r="G140">
        <v>0.4632</v>
      </c>
      <c r="H140">
        <v>0.49186000000000002</v>
      </c>
      <c r="I140">
        <v>0.44907000000000002</v>
      </c>
      <c r="J140">
        <v>0.44884000000000002</v>
      </c>
      <c r="K140">
        <v>0.51749000000000001</v>
      </c>
      <c r="L140">
        <v>0.49603999999999998</v>
      </c>
      <c r="M140">
        <v>0.52607999999999999</v>
      </c>
      <c r="N140">
        <v>0.45467999999999997</v>
      </c>
      <c r="O140">
        <v>0.61228000000000005</v>
      </c>
      <c r="P140">
        <v>0.58428000000000002</v>
      </c>
      <c r="Q140">
        <v>0.47710000000000002</v>
      </c>
      <c r="R140">
        <v>0.52593000000000001</v>
      </c>
      <c r="S140">
        <v>0.61768000000000001</v>
      </c>
      <c r="T140">
        <v>0.62285000000000001</v>
      </c>
      <c r="U140">
        <v>0.47996</v>
      </c>
      <c r="V140">
        <v>0.52546000000000004</v>
      </c>
      <c r="W140">
        <v>0.57403999999999999</v>
      </c>
      <c r="X140">
        <v>0.63126000000000004</v>
      </c>
      <c r="Y140">
        <v>0.72919</v>
      </c>
      <c r="Z140">
        <v>0.67132000000000003</v>
      </c>
      <c r="AA140">
        <v>0.72065000000000001</v>
      </c>
      <c r="AB140">
        <v>0.75978999999999997</v>
      </c>
      <c r="AC140">
        <v>0.85587000000000002</v>
      </c>
      <c r="AD140">
        <v>0.91496</v>
      </c>
      <c r="AE140">
        <v>0.78847999999999996</v>
      </c>
      <c r="AF140">
        <v>0.94938999999999996</v>
      </c>
      <c r="AG140">
        <v>1.0068900000000001</v>
      </c>
      <c r="AH140">
        <v>1.1172299999999999</v>
      </c>
      <c r="AI140">
        <v>1.1085</v>
      </c>
      <c r="AJ140">
        <v>1.13228</v>
      </c>
      <c r="AK140">
        <v>0.96892</v>
      </c>
      <c r="AL140">
        <v>1.22925</v>
      </c>
      <c r="AM140">
        <v>1.3486199999999999</v>
      </c>
      <c r="AN140">
        <v>1.16977</v>
      </c>
      <c r="AO140">
        <v>1.40849</v>
      </c>
      <c r="AP140">
        <v>1.54518</v>
      </c>
      <c r="AQ140">
        <v>1.37419</v>
      </c>
      <c r="AR140">
        <v>1.5979099999999999</v>
      </c>
      <c r="AS140">
        <v>1.6634500000000001</v>
      </c>
      <c r="AT140">
        <v>1.70886</v>
      </c>
      <c r="AU140">
        <v>1.6676</v>
      </c>
      <c r="AV140">
        <v>1.5920700000000001</v>
      </c>
      <c r="AW140">
        <v>2.1371600000000002</v>
      </c>
      <c r="AX140">
        <v>2.13456</v>
      </c>
      <c r="AY140">
        <v>2.1740200000000001</v>
      </c>
      <c r="AZ140">
        <v>2.1932900000000002</v>
      </c>
      <c r="BA140">
        <v>2.2161</v>
      </c>
      <c r="BB140">
        <v>2.2882699999999998</v>
      </c>
      <c r="BC140">
        <v>2.3155100000000002</v>
      </c>
      <c r="BD140">
        <v>2.3491499999999998</v>
      </c>
      <c r="BE140">
        <v>2.2597499999999999</v>
      </c>
      <c r="BF140">
        <v>2.4173300000000002</v>
      </c>
      <c r="BG140">
        <v>2.4014099999999998</v>
      </c>
      <c r="BH140">
        <v>2.3978600000000001</v>
      </c>
      <c r="BI140">
        <v>2.3847700000000001</v>
      </c>
      <c r="BJ140">
        <v>2.3864399999999999</v>
      </c>
      <c r="BK140">
        <v>2.37595</v>
      </c>
      <c r="BL140">
        <v>2.3764699999999999</v>
      </c>
      <c r="BM140">
        <v>2.3674300000000001</v>
      </c>
      <c r="BN140">
        <v>2.36151</v>
      </c>
      <c r="BO140">
        <v>2.3109500000000001</v>
      </c>
      <c r="BP140">
        <v>2.3548499999999999</v>
      </c>
      <c r="BQ140">
        <v>2.35486</v>
      </c>
      <c r="BR140">
        <v>2.35602</v>
      </c>
      <c r="BS140">
        <v>2.3560300000000001</v>
      </c>
      <c r="BT140">
        <v>2.35554</v>
      </c>
      <c r="BW140">
        <v>2.3455599999999999</v>
      </c>
      <c r="BX140">
        <v>2.3486099999999999</v>
      </c>
      <c r="BY140">
        <v>2.33826</v>
      </c>
      <c r="BZ140">
        <v>2.33527</v>
      </c>
      <c r="CA140">
        <v>2.33494</v>
      </c>
      <c r="CB140">
        <v>2.33528</v>
      </c>
      <c r="CC140">
        <v>2.3316300000000001</v>
      </c>
      <c r="CD140">
        <v>2.3319700000000001</v>
      </c>
      <c r="CE140">
        <v>2.33331</v>
      </c>
      <c r="CF140">
        <v>2.33365</v>
      </c>
      <c r="CG140">
        <v>2.3274300000000001</v>
      </c>
      <c r="CH140">
        <v>2.3220299999999998</v>
      </c>
      <c r="CI140">
        <v>2.3222900000000002</v>
      </c>
      <c r="CJ140">
        <v>2.3222999999999998</v>
      </c>
      <c r="CK140">
        <v>2.3161700000000001</v>
      </c>
      <c r="CL140">
        <v>2.3161700000000001</v>
      </c>
      <c r="CM140">
        <v>2.31568</v>
      </c>
      <c r="CN140">
        <v>2.3347600000000002</v>
      </c>
      <c r="CO140">
        <v>2.3422800000000001</v>
      </c>
      <c r="CP140">
        <v>2.3372799999999998</v>
      </c>
      <c r="CQ140">
        <v>2.33229</v>
      </c>
      <c r="CS140">
        <v>2.3218000000000001</v>
      </c>
      <c r="CT140">
        <v>2.3203499999999999</v>
      </c>
      <c r="CU140">
        <v>2.3203499999999999</v>
      </c>
      <c r="CV140">
        <v>2.32036</v>
      </c>
      <c r="CW140">
        <v>2.3123200000000002</v>
      </c>
      <c r="CX140">
        <v>2.3123200000000002</v>
      </c>
      <c r="CY140">
        <v>2.3123300000000002</v>
      </c>
      <c r="CZ140">
        <v>2.3168299999999999</v>
      </c>
      <c r="DA140">
        <v>2.3023400000000001</v>
      </c>
      <c r="DB140">
        <v>2.3023400000000001</v>
      </c>
      <c r="DC140">
        <v>2.2032600000000002</v>
      </c>
    </row>
    <row r="141" spans="1:107" x14ac:dyDescent="0.25">
      <c r="A141">
        <f t="shared" si="2"/>
        <v>4</v>
      </c>
      <c r="B141" s="2">
        <v>42207</v>
      </c>
      <c r="F141">
        <v>0.40769</v>
      </c>
      <c r="G141">
        <v>0.52415</v>
      </c>
      <c r="H141">
        <v>0.48871999999999999</v>
      </c>
      <c r="I141">
        <v>0.41444999999999999</v>
      </c>
      <c r="J141">
        <v>0.44468999999999997</v>
      </c>
      <c r="K141">
        <v>0.51737</v>
      </c>
      <c r="L141">
        <v>0.49617</v>
      </c>
      <c r="M141">
        <v>0.52839000000000003</v>
      </c>
      <c r="N141">
        <v>0.45898</v>
      </c>
      <c r="O141">
        <v>0.61309999999999998</v>
      </c>
      <c r="P141">
        <v>0.58726999999999996</v>
      </c>
      <c r="Q141">
        <v>0.49482999999999999</v>
      </c>
      <c r="R141">
        <v>0.53156999999999999</v>
      </c>
      <c r="S141">
        <v>0.62311000000000005</v>
      </c>
      <c r="T141">
        <v>0.62838000000000005</v>
      </c>
      <c r="U141">
        <v>0.48498000000000002</v>
      </c>
      <c r="V141">
        <v>0.52964999999999995</v>
      </c>
      <c r="W141">
        <v>0.56971000000000005</v>
      </c>
      <c r="X141">
        <v>0.63705000000000001</v>
      </c>
      <c r="Y141">
        <v>0.69691000000000003</v>
      </c>
      <c r="Z141">
        <v>0.65869999999999995</v>
      </c>
      <c r="AA141">
        <v>0.71606000000000003</v>
      </c>
      <c r="AB141">
        <v>0.74577000000000004</v>
      </c>
      <c r="AC141">
        <v>0.83767000000000003</v>
      </c>
      <c r="AD141">
        <v>0.89686999999999995</v>
      </c>
      <c r="AE141">
        <v>0.77232000000000001</v>
      </c>
      <c r="AF141">
        <v>0.93130000000000002</v>
      </c>
      <c r="AG141">
        <v>0.99199000000000004</v>
      </c>
      <c r="AH141">
        <v>1.10592</v>
      </c>
      <c r="AI141">
        <v>1.1033599999999999</v>
      </c>
      <c r="AJ141">
        <v>1.1176999999999999</v>
      </c>
      <c r="AK141">
        <v>0.97597999999999996</v>
      </c>
      <c r="AL141">
        <v>1.22143</v>
      </c>
      <c r="AM141">
        <v>1.3250200000000001</v>
      </c>
      <c r="AN141">
        <v>1.14438</v>
      </c>
      <c r="AO141">
        <v>1.3849199999999999</v>
      </c>
      <c r="AP141">
        <v>1.5167299999999999</v>
      </c>
      <c r="AQ141">
        <v>1.34571</v>
      </c>
      <c r="AR141">
        <v>1.5693999999999999</v>
      </c>
      <c r="AS141">
        <v>1.6303700000000001</v>
      </c>
      <c r="AT141">
        <v>1.6779299999999999</v>
      </c>
      <c r="AU141">
        <v>1.63815</v>
      </c>
      <c r="AV141">
        <v>1.56379</v>
      </c>
      <c r="AW141">
        <v>2.1038600000000001</v>
      </c>
      <c r="AX141">
        <v>2.1044399999999999</v>
      </c>
      <c r="AY141">
        <v>2.1442999999999999</v>
      </c>
      <c r="AZ141">
        <v>2.1626799999999999</v>
      </c>
      <c r="BA141">
        <v>2.1924899999999998</v>
      </c>
      <c r="BB141">
        <v>2.25718</v>
      </c>
      <c r="BC141">
        <v>2.27379</v>
      </c>
      <c r="BD141">
        <v>2.3151700000000002</v>
      </c>
      <c r="BE141">
        <v>2.2267100000000002</v>
      </c>
      <c r="BF141">
        <v>2.37798</v>
      </c>
      <c r="BG141">
        <v>2.3680099999999999</v>
      </c>
      <c r="BH141">
        <v>2.36321</v>
      </c>
      <c r="BI141">
        <v>2.3513999999999999</v>
      </c>
      <c r="BJ141">
        <v>2.3447499999999999</v>
      </c>
      <c r="BK141">
        <v>2.3432900000000001</v>
      </c>
      <c r="BL141">
        <v>2.3354599999999999</v>
      </c>
      <c r="BM141">
        <v>2.3324799999999999</v>
      </c>
      <c r="BN141">
        <v>2.32917</v>
      </c>
      <c r="BO141">
        <v>2.2793700000000001</v>
      </c>
      <c r="BP141">
        <v>2.3225199999999999</v>
      </c>
      <c r="BQ141">
        <v>2.32254</v>
      </c>
      <c r="BR141">
        <v>2.3239000000000001</v>
      </c>
      <c r="BS141">
        <v>2.3239100000000001</v>
      </c>
      <c r="BT141">
        <v>2.3239299999999998</v>
      </c>
      <c r="BW141">
        <v>2.3139599999999998</v>
      </c>
      <c r="BX141">
        <v>2.3139799999999999</v>
      </c>
      <c r="BY141">
        <v>2.3089900000000001</v>
      </c>
      <c r="BZ141">
        <v>2.3026599999999999</v>
      </c>
      <c r="CA141">
        <v>2.30267</v>
      </c>
      <c r="CB141">
        <v>2.3026900000000001</v>
      </c>
      <c r="CC141">
        <v>2.2993700000000001</v>
      </c>
      <c r="CD141">
        <v>2.2993800000000002</v>
      </c>
      <c r="CE141">
        <v>2.2980999999999998</v>
      </c>
      <c r="CF141">
        <v>2.2981099999999999</v>
      </c>
      <c r="CG141">
        <v>2.2960199999999999</v>
      </c>
      <c r="CH141">
        <v>2.2930700000000002</v>
      </c>
      <c r="CI141">
        <v>2.29541</v>
      </c>
      <c r="CJ141">
        <v>2.29542</v>
      </c>
      <c r="CK141">
        <v>2.2960600000000002</v>
      </c>
      <c r="CL141">
        <v>2.2960699999999998</v>
      </c>
      <c r="CM141">
        <v>2.2960799999999999</v>
      </c>
      <c r="CN141">
        <v>2.30965</v>
      </c>
      <c r="CO141">
        <v>2.30966</v>
      </c>
      <c r="CP141">
        <v>2.2961100000000001</v>
      </c>
      <c r="CQ141">
        <v>2.2996799999999999</v>
      </c>
      <c r="CS141">
        <v>2.29114</v>
      </c>
      <c r="CT141">
        <v>2.2896999999999998</v>
      </c>
      <c r="CU141">
        <v>2.2897099999999999</v>
      </c>
      <c r="CV141">
        <v>2.28972</v>
      </c>
      <c r="CW141">
        <v>2.2797299999999998</v>
      </c>
      <c r="CX141">
        <v>2.2797399999999999</v>
      </c>
      <c r="CY141">
        <v>2.2797399999999999</v>
      </c>
      <c r="CZ141">
        <v>2.27474</v>
      </c>
      <c r="DA141">
        <v>2.2697600000000002</v>
      </c>
      <c r="DB141">
        <v>2.2697699999999998</v>
      </c>
      <c r="DC141">
        <v>2.1729500000000002</v>
      </c>
    </row>
    <row r="142" spans="1:107" x14ac:dyDescent="0.25">
      <c r="A142">
        <f t="shared" si="2"/>
        <v>5</v>
      </c>
      <c r="B142" s="2">
        <v>42208</v>
      </c>
      <c r="F142">
        <v>0.40625</v>
      </c>
      <c r="G142">
        <v>0.51407000000000003</v>
      </c>
      <c r="H142">
        <v>0.48388999999999999</v>
      </c>
      <c r="I142">
        <v>0.38950000000000001</v>
      </c>
      <c r="J142">
        <v>0.44463999999999998</v>
      </c>
      <c r="K142">
        <v>0.51415999999999995</v>
      </c>
      <c r="L142">
        <v>0.49335000000000001</v>
      </c>
      <c r="M142">
        <v>0.52046999999999999</v>
      </c>
      <c r="N142">
        <v>0.44994000000000001</v>
      </c>
      <c r="O142">
        <v>0.60975000000000001</v>
      </c>
      <c r="P142">
        <v>0.58311000000000002</v>
      </c>
      <c r="Q142">
        <v>0.47513</v>
      </c>
      <c r="R142">
        <v>0.52337999999999996</v>
      </c>
      <c r="S142">
        <v>0.61623000000000006</v>
      </c>
      <c r="T142">
        <v>0.62151999999999996</v>
      </c>
      <c r="U142">
        <v>0.47855999999999999</v>
      </c>
      <c r="V142">
        <v>0.52403</v>
      </c>
      <c r="W142">
        <v>0.57084999999999997</v>
      </c>
      <c r="X142">
        <v>0.62863999999999998</v>
      </c>
      <c r="Y142">
        <v>0.66356000000000004</v>
      </c>
      <c r="Z142">
        <v>0.62012</v>
      </c>
      <c r="AA142">
        <v>0.67866000000000004</v>
      </c>
      <c r="AB142">
        <v>0.71801999999999999</v>
      </c>
      <c r="AC142">
        <v>0.80337000000000003</v>
      </c>
      <c r="AD142">
        <v>0.86177000000000004</v>
      </c>
      <c r="AE142">
        <v>0.73399000000000003</v>
      </c>
      <c r="AF142">
        <v>0.86995</v>
      </c>
      <c r="AG142">
        <v>0.95581000000000005</v>
      </c>
      <c r="AH142">
        <v>1.0713900000000001</v>
      </c>
      <c r="AI142">
        <v>1.0665</v>
      </c>
      <c r="AJ142">
        <v>1.0809899999999999</v>
      </c>
      <c r="AK142">
        <v>0.92864000000000002</v>
      </c>
      <c r="AL142">
        <v>1.1860299999999999</v>
      </c>
      <c r="AM142">
        <v>1.2890200000000001</v>
      </c>
      <c r="AN142">
        <v>1.0938399999999999</v>
      </c>
      <c r="AO142">
        <v>1.3434299999999999</v>
      </c>
      <c r="AP142">
        <v>1.4729399999999999</v>
      </c>
      <c r="AQ142">
        <v>1.3017000000000001</v>
      </c>
      <c r="AR142">
        <v>1.5213399999999999</v>
      </c>
      <c r="AS142">
        <v>1.58</v>
      </c>
      <c r="AT142">
        <v>1.6348499999999999</v>
      </c>
      <c r="AU142">
        <v>1.59355</v>
      </c>
      <c r="AV142">
        <v>1.5266900000000001</v>
      </c>
      <c r="AW142">
        <v>2.06149</v>
      </c>
      <c r="AX142">
        <v>2.0620599999999998</v>
      </c>
      <c r="AY142">
        <v>2.1040999999999999</v>
      </c>
      <c r="AZ142">
        <v>2.1219000000000001</v>
      </c>
      <c r="BA142">
        <v>2.15158</v>
      </c>
      <c r="BB142">
        <v>2.1976399999999998</v>
      </c>
      <c r="BC142">
        <v>2.2156600000000002</v>
      </c>
      <c r="BD142">
        <v>2.26064</v>
      </c>
      <c r="BE142">
        <v>2.1742400000000002</v>
      </c>
      <c r="BF142">
        <v>2.3277199999999998</v>
      </c>
      <c r="BG142">
        <v>2.3117299999999998</v>
      </c>
      <c r="BH142">
        <v>2.30701</v>
      </c>
      <c r="BI142">
        <v>2.29711</v>
      </c>
      <c r="BJ142">
        <v>2.29982</v>
      </c>
      <c r="BK142">
        <v>2.29034</v>
      </c>
      <c r="BL142">
        <v>2.2821699999999998</v>
      </c>
      <c r="BM142">
        <v>2.2823699999999998</v>
      </c>
      <c r="BN142">
        <v>2.2768799999999998</v>
      </c>
      <c r="BO142">
        <v>2.22587</v>
      </c>
      <c r="BP142">
        <v>2.2702300000000002</v>
      </c>
      <c r="BQ142">
        <v>2.2702499999999999</v>
      </c>
      <c r="BR142">
        <v>2.2724500000000001</v>
      </c>
      <c r="BS142">
        <v>2.2724600000000001</v>
      </c>
      <c r="BT142">
        <v>2.2840199999999999</v>
      </c>
      <c r="BW142">
        <v>2.2625099999999998</v>
      </c>
      <c r="BX142">
        <v>2.2646999999999999</v>
      </c>
      <c r="BY142">
        <v>2.2575500000000002</v>
      </c>
      <c r="BZ142">
        <v>2.2503700000000002</v>
      </c>
      <c r="CA142">
        <v>2.2503799999999998</v>
      </c>
      <c r="CB142">
        <v>2.2503899999999999</v>
      </c>
      <c r="CC142">
        <v>2.24708</v>
      </c>
      <c r="CD142">
        <v>2.24709</v>
      </c>
      <c r="CE142">
        <v>2.2481300000000002</v>
      </c>
      <c r="CF142">
        <v>2.2481399999999998</v>
      </c>
      <c r="CG142">
        <v>2.2426400000000002</v>
      </c>
      <c r="CH142">
        <v>2.2381600000000001</v>
      </c>
      <c r="CI142">
        <v>2.2376499999999999</v>
      </c>
      <c r="CJ142">
        <v>2.23766</v>
      </c>
      <c r="CK142">
        <v>2.2326800000000002</v>
      </c>
      <c r="CL142">
        <v>2.2326899999999998</v>
      </c>
      <c r="CM142">
        <v>2.2326999999999999</v>
      </c>
      <c r="CN142">
        <v>2.2488299999999999</v>
      </c>
      <c r="CO142">
        <v>2.2551999999999999</v>
      </c>
      <c r="CP142">
        <v>2.2411599999999998</v>
      </c>
      <c r="CQ142">
        <v>2.2422</v>
      </c>
      <c r="CS142">
        <v>2.2361900000000001</v>
      </c>
      <c r="CT142">
        <v>2.23556</v>
      </c>
      <c r="CU142">
        <v>2.2355700000000001</v>
      </c>
      <c r="CV142">
        <v>2.2355800000000001</v>
      </c>
      <c r="CW142">
        <v>2.2252700000000001</v>
      </c>
      <c r="CX142">
        <v>2.2252700000000001</v>
      </c>
      <c r="CY142">
        <v>2.2252800000000001</v>
      </c>
      <c r="CZ142">
        <v>2.2202799999999998</v>
      </c>
      <c r="DA142">
        <v>2.2153</v>
      </c>
      <c r="DB142">
        <v>2.2153</v>
      </c>
      <c r="DC142">
        <v>2.1187800000000001</v>
      </c>
    </row>
    <row r="143" spans="1:107" x14ac:dyDescent="0.25">
      <c r="A143">
        <f t="shared" si="2"/>
        <v>6</v>
      </c>
      <c r="B143" s="2">
        <v>42209</v>
      </c>
      <c r="F143">
        <v>0.40475</v>
      </c>
      <c r="G143">
        <v>0.50948000000000004</v>
      </c>
      <c r="H143">
        <v>0.48330000000000001</v>
      </c>
      <c r="I143">
        <v>0.50280000000000002</v>
      </c>
      <c r="J143">
        <v>0.44458999999999999</v>
      </c>
      <c r="K143">
        <v>0.51366999999999996</v>
      </c>
      <c r="L143">
        <v>0.49532999999999999</v>
      </c>
      <c r="M143">
        <v>0.52637999999999996</v>
      </c>
      <c r="N143">
        <v>0.45356000000000002</v>
      </c>
      <c r="O143">
        <v>0.61011000000000004</v>
      </c>
      <c r="P143">
        <v>0.58287</v>
      </c>
      <c r="Q143">
        <v>0.47726000000000002</v>
      </c>
      <c r="R143">
        <v>0.51704000000000006</v>
      </c>
      <c r="S143">
        <v>0.61758000000000002</v>
      </c>
      <c r="T143">
        <v>0.62287000000000003</v>
      </c>
      <c r="U143">
        <v>0.47970000000000002</v>
      </c>
      <c r="V143">
        <v>0.52424999999999999</v>
      </c>
      <c r="W143">
        <v>0.56660999999999995</v>
      </c>
      <c r="X143">
        <v>0.63793999999999995</v>
      </c>
      <c r="Y143">
        <v>0.68384999999999996</v>
      </c>
      <c r="Z143">
        <v>0.64488999999999996</v>
      </c>
      <c r="AA143">
        <v>0.69403999999999999</v>
      </c>
      <c r="AB143">
        <v>0.72958000000000001</v>
      </c>
      <c r="AC143">
        <v>0.82113999999999998</v>
      </c>
      <c r="AD143">
        <v>0.86162000000000005</v>
      </c>
      <c r="AE143">
        <v>0.73667000000000005</v>
      </c>
      <c r="AF143">
        <v>0.87107000000000001</v>
      </c>
      <c r="AG143">
        <v>0.95633000000000001</v>
      </c>
      <c r="AH143">
        <v>1.0707500000000001</v>
      </c>
      <c r="AI143">
        <v>1.06572</v>
      </c>
      <c r="AJ143">
        <v>1.0832599999999999</v>
      </c>
      <c r="AK143">
        <v>0.92547000000000001</v>
      </c>
      <c r="AL143">
        <v>1.1849099999999999</v>
      </c>
      <c r="AM143">
        <v>1.2760499999999999</v>
      </c>
      <c r="AN143">
        <v>1.09883</v>
      </c>
      <c r="AO143">
        <v>1.33725</v>
      </c>
      <c r="AP143">
        <v>1.45516</v>
      </c>
      <c r="AQ143">
        <v>1.28498</v>
      </c>
      <c r="AR143">
        <v>1.50769</v>
      </c>
      <c r="AS143">
        <v>1.5645199999999999</v>
      </c>
      <c r="AT143">
        <v>1.6174299999999999</v>
      </c>
      <c r="AU143">
        <v>1.5719399999999999</v>
      </c>
      <c r="AV143">
        <v>1.5099</v>
      </c>
      <c r="AW143">
        <v>2.0491600000000001</v>
      </c>
      <c r="AX143">
        <v>2.0501399999999999</v>
      </c>
      <c r="AY143">
        <v>2.0889199999999999</v>
      </c>
      <c r="AZ143">
        <v>2.1101700000000001</v>
      </c>
      <c r="BA143">
        <v>2.1326999999999998</v>
      </c>
      <c r="BB143">
        <v>2.18506</v>
      </c>
      <c r="BC143">
        <v>2.20506</v>
      </c>
      <c r="BD143">
        <v>2.2431999999999999</v>
      </c>
      <c r="BE143">
        <v>2.1545000000000001</v>
      </c>
      <c r="BF143">
        <v>2.30816</v>
      </c>
      <c r="BG143">
        <v>2.29264</v>
      </c>
      <c r="BH143">
        <v>2.2845800000000001</v>
      </c>
      <c r="BI143">
        <v>2.2776900000000002</v>
      </c>
      <c r="BJ143">
        <v>2.2757499999999999</v>
      </c>
      <c r="BK143">
        <v>2.2707799999999998</v>
      </c>
      <c r="BL143">
        <v>2.26275</v>
      </c>
      <c r="BM143">
        <v>2.2632500000000002</v>
      </c>
      <c r="BN143">
        <v>2.25746</v>
      </c>
      <c r="BO143">
        <v>2.2063899999999999</v>
      </c>
      <c r="BP143">
        <v>2.25081</v>
      </c>
      <c r="BQ143">
        <v>2.25082</v>
      </c>
      <c r="BR143">
        <v>2.2528800000000002</v>
      </c>
      <c r="BS143">
        <v>2.2528999999999999</v>
      </c>
      <c r="BT143">
        <v>2.26491</v>
      </c>
      <c r="BW143">
        <v>2.24295</v>
      </c>
      <c r="BX143">
        <v>2.2455799999999999</v>
      </c>
      <c r="BY143">
        <v>2.2379799999999999</v>
      </c>
      <c r="BZ143">
        <v>2.2309399999999999</v>
      </c>
      <c r="CA143">
        <v>2.2309600000000001</v>
      </c>
      <c r="CB143">
        <v>2.2309700000000001</v>
      </c>
      <c r="CC143">
        <v>2.2276500000000001</v>
      </c>
      <c r="CD143">
        <v>2.2276600000000002</v>
      </c>
      <c r="CE143">
        <v>2.2290100000000002</v>
      </c>
      <c r="CF143">
        <v>2.2290199999999998</v>
      </c>
      <c r="CG143">
        <v>2.2230699999999999</v>
      </c>
      <c r="CH143">
        <v>2.2190400000000001</v>
      </c>
      <c r="CI143">
        <v>2.21896</v>
      </c>
      <c r="CJ143">
        <v>2.2189700000000001</v>
      </c>
      <c r="CK143">
        <v>2.21312</v>
      </c>
      <c r="CL143">
        <v>2.21312</v>
      </c>
      <c r="CM143">
        <v>2.21313</v>
      </c>
      <c r="CN143">
        <v>2.2303199999999999</v>
      </c>
      <c r="CO143">
        <v>2.2370100000000002</v>
      </c>
      <c r="CP143">
        <v>2.2220200000000001</v>
      </c>
      <c r="CQ143">
        <v>2.2270300000000001</v>
      </c>
      <c r="CS143">
        <v>2.21705</v>
      </c>
      <c r="CT143">
        <v>2.21706</v>
      </c>
      <c r="CU143">
        <v>2.21706</v>
      </c>
      <c r="CV143">
        <v>2.2170700000000001</v>
      </c>
      <c r="CW143">
        <v>2.2070799999999999</v>
      </c>
      <c r="CX143">
        <v>2.20709</v>
      </c>
      <c r="CY143">
        <v>2.20709</v>
      </c>
      <c r="CZ143">
        <v>2.2120899999999999</v>
      </c>
      <c r="DA143">
        <v>2.1971099999999999</v>
      </c>
      <c r="DB143">
        <v>2.19712</v>
      </c>
      <c r="DC143">
        <v>2.0995599999999999</v>
      </c>
    </row>
    <row r="144" spans="1:107" x14ac:dyDescent="0.25">
      <c r="A144">
        <f t="shared" si="2"/>
        <v>2</v>
      </c>
      <c r="B144" s="2">
        <v>42212</v>
      </c>
      <c r="F144">
        <v>0.42582999999999999</v>
      </c>
      <c r="G144">
        <v>0.52964999999999995</v>
      </c>
      <c r="H144">
        <v>0.49036000000000002</v>
      </c>
      <c r="I144">
        <v>0.43176999999999999</v>
      </c>
      <c r="J144">
        <v>0.44867000000000001</v>
      </c>
      <c r="K144">
        <v>0.51829000000000003</v>
      </c>
      <c r="L144">
        <v>0.50026999999999999</v>
      </c>
      <c r="M144">
        <v>0.51907000000000003</v>
      </c>
      <c r="N144">
        <v>0.44538</v>
      </c>
      <c r="O144">
        <v>0.61109000000000002</v>
      </c>
      <c r="P144">
        <v>0.60092999999999996</v>
      </c>
      <c r="Q144">
        <v>0.46601999999999999</v>
      </c>
      <c r="R144">
        <v>0.51624000000000003</v>
      </c>
      <c r="S144">
        <v>0.60694000000000004</v>
      </c>
      <c r="T144">
        <v>0.61211000000000004</v>
      </c>
      <c r="U144">
        <v>0.47143000000000002</v>
      </c>
      <c r="V144">
        <v>0.51570000000000005</v>
      </c>
      <c r="W144">
        <v>0.56613000000000002</v>
      </c>
      <c r="X144">
        <v>0.62343000000000004</v>
      </c>
      <c r="Y144">
        <v>0.66800000000000004</v>
      </c>
      <c r="Z144">
        <v>0.62814000000000003</v>
      </c>
      <c r="AA144">
        <v>0.68730000000000002</v>
      </c>
      <c r="AB144">
        <v>0.71269000000000005</v>
      </c>
      <c r="AC144">
        <v>0.80422000000000005</v>
      </c>
      <c r="AD144">
        <v>0.84123999999999999</v>
      </c>
      <c r="AE144">
        <v>0.71482000000000001</v>
      </c>
      <c r="AF144">
        <v>0.85175000000000001</v>
      </c>
      <c r="AG144">
        <v>0.93427000000000004</v>
      </c>
      <c r="AH144">
        <v>1.04742</v>
      </c>
      <c r="AI144">
        <v>1.0445199999999999</v>
      </c>
      <c r="AJ144">
        <v>1.0617399999999999</v>
      </c>
      <c r="AK144">
        <v>0.90410000000000001</v>
      </c>
      <c r="AL144">
        <v>1.1633199999999999</v>
      </c>
      <c r="AM144">
        <v>1.25461</v>
      </c>
      <c r="AN144">
        <v>1.07585</v>
      </c>
      <c r="AO144">
        <v>1.3168500000000001</v>
      </c>
      <c r="AP144">
        <v>1.4279500000000001</v>
      </c>
      <c r="AQ144">
        <v>1.2489399999999999</v>
      </c>
      <c r="AR144">
        <v>1.48054</v>
      </c>
      <c r="AS144">
        <v>1.5348900000000001</v>
      </c>
      <c r="AT144">
        <v>1.5890599999999999</v>
      </c>
      <c r="AU144">
        <v>1.54897</v>
      </c>
      <c r="AV144">
        <v>1.48228</v>
      </c>
      <c r="AW144">
        <v>2.0288900000000001</v>
      </c>
      <c r="AX144">
        <v>2.0263100000000001</v>
      </c>
      <c r="AY144">
        <v>2.0700699999999999</v>
      </c>
      <c r="AZ144">
        <v>2.0855800000000002</v>
      </c>
      <c r="BA144">
        <v>2.1080899999999998</v>
      </c>
      <c r="BB144">
        <v>2.1561599999999999</v>
      </c>
      <c r="BC144">
        <v>2.1737000000000002</v>
      </c>
      <c r="BD144">
        <v>2.21496</v>
      </c>
      <c r="BE144">
        <v>2.1208399999999998</v>
      </c>
      <c r="BF144">
        <v>2.2788300000000001</v>
      </c>
      <c r="BG144">
        <v>2.2640400000000001</v>
      </c>
      <c r="BH144">
        <v>2.2564199999999999</v>
      </c>
      <c r="BI144">
        <v>2.2494000000000001</v>
      </c>
      <c r="BJ144">
        <v>2.2473900000000002</v>
      </c>
      <c r="BK144">
        <v>2.24241</v>
      </c>
      <c r="BL144">
        <v>2.2351000000000001</v>
      </c>
      <c r="BM144">
        <v>2.2357100000000001</v>
      </c>
      <c r="BN144">
        <v>2.2304599999999999</v>
      </c>
      <c r="BO144">
        <v>2.1782300000000001</v>
      </c>
      <c r="BP144">
        <v>2.2238000000000002</v>
      </c>
      <c r="BQ144">
        <v>2.2238099999999998</v>
      </c>
      <c r="BR144">
        <v>2.2254700000000001</v>
      </c>
      <c r="BS144">
        <v>2.2254800000000001</v>
      </c>
      <c r="BT144">
        <v>2.2254900000000002</v>
      </c>
      <c r="BW144">
        <v>2.2155100000000001</v>
      </c>
      <c r="BX144">
        <v>2.21753</v>
      </c>
      <c r="BY144">
        <v>2.2105299999999999</v>
      </c>
      <c r="BZ144">
        <v>2.2038799999999998</v>
      </c>
      <c r="CA144">
        <v>2.2038899999999999</v>
      </c>
      <c r="CB144">
        <v>2.2039</v>
      </c>
      <c r="CC144">
        <v>2.20058</v>
      </c>
      <c r="CD144">
        <v>2.20058</v>
      </c>
      <c r="CE144">
        <v>2.20092</v>
      </c>
      <c r="CF144">
        <v>2.2009300000000001</v>
      </c>
      <c r="CG144">
        <v>2.1958600000000001</v>
      </c>
      <c r="CH144">
        <v>2.1909399999999999</v>
      </c>
      <c r="CI144">
        <v>2.1911499999999999</v>
      </c>
      <c r="CJ144">
        <v>2.19116</v>
      </c>
      <c r="CK144">
        <v>2.1956600000000002</v>
      </c>
      <c r="CL144">
        <v>2.1956600000000002</v>
      </c>
      <c r="CM144">
        <v>2.1956699999999998</v>
      </c>
      <c r="CN144">
        <v>2.2043200000000001</v>
      </c>
      <c r="CO144">
        <v>2.2111800000000001</v>
      </c>
      <c r="CP144">
        <v>2.1956799999999999</v>
      </c>
      <c r="CQ144">
        <v>2.20119</v>
      </c>
      <c r="CS144">
        <v>2.1907000000000001</v>
      </c>
      <c r="CT144">
        <v>2.1907100000000002</v>
      </c>
      <c r="CU144">
        <v>2.1907100000000002</v>
      </c>
      <c r="CV144">
        <v>2.1907100000000002</v>
      </c>
      <c r="CW144">
        <v>2.1812200000000002</v>
      </c>
      <c r="CX144">
        <v>2.1812200000000002</v>
      </c>
      <c r="CY144">
        <v>2.1812299999999998</v>
      </c>
      <c r="CZ144">
        <v>2.1762299999999999</v>
      </c>
      <c r="DA144">
        <v>2.1712400000000001</v>
      </c>
      <c r="DB144">
        <v>2.1712400000000001</v>
      </c>
      <c r="DC144">
        <v>2.0687000000000002</v>
      </c>
    </row>
    <row r="145" spans="1:107" x14ac:dyDescent="0.25">
      <c r="A145">
        <f t="shared" si="2"/>
        <v>3</v>
      </c>
      <c r="B145" s="2">
        <v>42213</v>
      </c>
      <c r="F145">
        <v>0.42471999999999999</v>
      </c>
      <c r="G145">
        <v>0.53086</v>
      </c>
      <c r="H145">
        <v>0.49630000000000002</v>
      </c>
      <c r="I145">
        <v>0.4234</v>
      </c>
      <c r="J145">
        <v>0.44863999999999998</v>
      </c>
      <c r="K145">
        <v>0.52510000000000001</v>
      </c>
      <c r="L145">
        <v>0.50690999999999997</v>
      </c>
      <c r="M145">
        <v>0.53593999999999997</v>
      </c>
      <c r="N145">
        <v>0.46683000000000002</v>
      </c>
      <c r="O145">
        <v>0.59177000000000002</v>
      </c>
      <c r="P145">
        <v>0.59128000000000003</v>
      </c>
      <c r="Q145">
        <v>0.50832999999999995</v>
      </c>
      <c r="R145">
        <v>0.53005000000000002</v>
      </c>
      <c r="S145">
        <v>0.63251999999999997</v>
      </c>
      <c r="T145">
        <v>0.63280999999999998</v>
      </c>
      <c r="U145">
        <v>0.50439999999999996</v>
      </c>
      <c r="V145">
        <v>0.54691999999999996</v>
      </c>
      <c r="W145">
        <v>0.58880999999999994</v>
      </c>
      <c r="X145">
        <v>0.65402000000000005</v>
      </c>
      <c r="Y145">
        <v>0.71279000000000003</v>
      </c>
      <c r="Z145">
        <v>0.67030000000000001</v>
      </c>
      <c r="AA145">
        <v>0.73187999999999998</v>
      </c>
      <c r="AB145">
        <v>0.75727999999999995</v>
      </c>
      <c r="AC145">
        <v>0.84599999999999997</v>
      </c>
      <c r="AD145">
        <v>0.88700999999999997</v>
      </c>
      <c r="AE145">
        <v>0.75992000000000004</v>
      </c>
      <c r="AF145">
        <v>0.89466000000000001</v>
      </c>
      <c r="AG145">
        <v>0.97811000000000003</v>
      </c>
      <c r="AH145">
        <v>1.0895300000000001</v>
      </c>
      <c r="AI145">
        <v>1.08545</v>
      </c>
      <c r="AJ145">
        <v>1.1072200000000001</v>
      </c>
      <c r="AK145">
        <v>0.94482999999999995</v>
      </c>
      <c r="AL145">
        <v>1.2059</v>
      </c>
      <c r="AM145">
        <v>1.29494</v>
      </c>
      <c r="AN145">
        <v>1.1214299999999999</v>
      </c>
      <c r="AO145">
        <v>1.3586800000000001</v>
      </c>
      <c r="AP145">
        <v>1.4716400000000001</v>
      </c>
      <c r="AQ145">
        <v>1.30386</v>
      </c>
      <c r="AR145">
        <v>1.5250600000000001</v>
      </c>
      <c r="AS145">
        <v>1.5893299999999999</v>
      </c>
      <c r="AT145">
        <v>1.6352800000000001</v>
      </c>
      <c r="AU145">
        <v>1.5989500000000001</v>
      </c>
      <c r="AV145">
        <v>1.5349900000000001</v>
      </c>
      <c r="AW145">
        <v>2.0811999999999999</v>
      </c>
      <c r="AX145">
        <v>2.07917</v>
      </c>
      <c r="AY145">
        <v>2.1192899999999999</v>
      </c>
      <c r="AZ145">
        <v>2.1363500000000002</v>
      </c>
      <c r="BA145">
        <v>2.1588599999999998</v>
      </c>
      <c r="BB145">
        <v>2.1997100000000001</v>
      </c>
      <c r="BC145">
        <v>2.2246299999999999</v>
      </c>
      <c r="BD145">
        <v>2.2671999999999999</v>
      </c>
      <c r="BE145">
        <v>2.1725500000000002</v>
      </c>
      <c r="BF145">
        <v>2.3265500000000001</v>
      </c>
      <c r="BG145">
        <v>2.3097599999999998</v>
      </c>
      <c r="BH145">
        <v>2.3079900000000002</v>
      </c>
      <c r="BI145">
        <v>2.2951199999999998</v>
      </c>
      <c r="BJ145">
        <v>2.2884600000000002</v>
      </c>
      <c r="BK145">
        <v>2.2841399999999998</v>
      </c>
      <c r="BL145">
        <v>2.2851400000000002</v>
      </c>
      <c r="BM145">
        <v>2.2826499999999998</v>
      </c>
      <c r="BN145">
        <v>2.2758500000000002</v>
      </c>
      <c r="BO145">
        <v>2.2241399999999998</v>
      </c>
      <c r="BP145">
        <v>2.26919</v>
      </c>
      <c r="BQ145">
        <v>2.2692000000000001</v>
      </c>
      <c r="BR145">
        <v>2.2658700000000001</v>
      </c>
      <c r="BS145">
        <v>2.2658800000000001</v>
      </c>
      <c r="BT145">
        <v>2.2698399999999999</v>
      </c>
      <c r="BW145">
        <v>2.2559100000000001</v>
      </c>
      <c r="BX145">
        <v>2.2598600000000002</v>
      </c>
      <c r="BY145">
        <v>2.2526000000000002</v>
      </c>
      <c r="BZ145">
        <v>2.2492700000000001</v>
      </c>
      <c r="CA145">
        <v>2.2492800000000002</v>
      </c>
      <c r="CB145">
        <v>2.2492899999999998</v>
      </c>
      <c r="CC145">
        <v>2.2459699999999998</v>
      </c>
      <c r="CD145">
        <v>2.2459699999999998</v>
      </c>
      <c r="CE145">
        <v>2.2488600000000001</v>
      </c>
      <c r="CF145">
        <v>2.2488700000000001</v>
      </c>
      <c r="CG145">
        <v>2.2455400000000001</v>
      </c>
      <c r="CH145">
        <v>2.2392699999999999</v>
      </c>
      <c r="CI145">
        <v>2.2366899999999998</v>
      </c>
      <c r="CJ145">
        <v>2.2366999999999999</v>
      </c>
      <c r="CK145">
        <v>2.2299699999999998</v>
      </c>
      <c r="CL145">
        <v>2.2299699999999998</v>
      </c>
      <c r="CM145">
        <v>2.2299799999999999</v>
      </c>
      <c r="CN145">
        <v>2.2447400000000002</v>
      </c>
      <c r="CO145">
        <v>2.2595900000000002</v>
      </c>
      <c r="CP145">
        <v>2.2402600000000001</v>
      </c>
      <c r="CQ145">
        <v>2.2496100000000001</v>
      </c>
      <c r="CS145">
        <v>2.23529</v>
      </c>
      <c r="CT145">
        <v>2.2396199999999999</v>
      </c>
      <c r="CU145">
        <v>2.23963</v>
      </c>
      <c r="CV145">
        <v>2.23963</v>
      </c>
      <c r="CW145">
        <v>2.23177</v>
      </c>
      <c r="CX145">
        <v>2.23177</v>
      </c>
      <c r="CY145">
        <v>2.2317800000000001</v>
      </c>
      <c r="CZ145">
        <v>2.2303199999999999</v>
      </c>
      <c r="DA145">
        <v>2.2196500000000001</v>
      </c>
      <c r="DB145">
        <v>2.2196600000000002</v>
      </c>
      <c r="DC145">
        <v>2.1190000000000002</v>
      </c>
    </row>
    <row r="146" spans="1:107" x14ac:dyDescent="0.25">
      <c r="A146">
        <f t="shared" si="2"/>
        <v>4</v>
      </c>
      <c r="B146" s="2">
        <v>42214</v>
      </c>
      <c r="F146">
        <v>0.38206000000000001</v>
      </c>
      <c r="G146">
        <v>0.51173000000000002</v>
      </c>
      <c r="H146">
        <v>0.49582999999999999</v>
      </c>
      <c r="I146">
        <v>0.40693000000000001</v>
      </c>
      <c r="J146">
        <v>0.44222</v>
      </c>
      <c r="K146">
        <v>0.52897000000000005</v>
      </c>
      <c r="L146">
        <v>0.51105999999999996</v>
      </c>
      <c r="M146">
        <v>0.53874999999999995</v>
      </c>
      <c r="N146">
        <v>0.47936000000000001</v>
      </c>
      <c r="O146">
        <v>0.59384000000000003</v>
      </c>
      <c r="P146">
        <v>0.60962000000000005</v>
      </c>
      <c r="Q146">
        <v>0.52729999999999999</v>
      </c>
      <c r="R146">
        <v>0.54879999999999995</v>
      </c>
      <c r="S146">
        <v>0.63741000000000003</v>
      </c>
      <c r="T146">
        <v>0.65107999999999999</v>
      </c>
      <c r="U146">
        <v>0.53276000000000001</v>
      </c>
      <c r="V146">
        <v>0.57708999999999999</v>
      </c>
      <c r="W146">
        <v>0.61909999999999998</v>
      </c>
      <c r="X146">
        <v>0.68384999999999996</v>
      </c>
      <c r="Y146">
        <v>0.73570999999999998</v>
      </c>
      <c r="Z146">
        <v>0.69425999999999999</v>
      </c>
      <c r="AA146">
        <v>0.75456000000000001</v>
      </c>
      <c r="AB146">
        <v>0.77981999999999996</v>
      </c>
      <c r="AC146">
        <v>0.86931999999999998</v>
      </c>
      <c r="AD146">
        <v>0.90864999999999996</v>
      </c>
      <c r="AE146">
        <v>0.78276999999999997</v>
      </c>
      <c r="AF146">
        <v>0.91893999999999998</v>
      </c>
      <c r="AG146">
        <v>1.00356</v>
      </c>
      <c r="AH146">
        <v>1.11378</v>
      </c>
      <c r="AI146">
        <v>1.11269</v>
      </c>
      <c r="AJ146">
        <v>1.12975</v>
      </c>
      <c r="AK146">
        <v>0.9849</v>
      </c>
      <c r="AL146">
        <v>1.23045</v>
      </c>
      <c r="AM146">
        <v>1.31863</v>
      </c>
      <c r="AN146">
        <v>1.12303</v>
      </c>
      <c r="AO146">
        <v>1.3828400000000001</v>
      </c>
      <c r="AP146">
        <v>1.49251</v>
      </c>
      <c r="AQ146">
        <v>1.31698</v>
      </c>
      <c r="AR146">
        <v>1.5411699999999999</v>
      </c>
      <c r="AS146">
        <v>1.5926</v>
      </c>
      <c r="AT146">
        <v>1.65015</v>
      </c>
      <c r="AU146">
        <v>1.6110100000000001</v>
      </c>
      <c r="AV146">
        <v>1.54433</v>
      </c>
      <c r="AW146">
        <v>2.0964100000000001</v>
      </c>
      <c r="AX146">
        <v>2.0980500000000002</v>
      </c>
      <c r="AY146">
        <v>2.1372200000000001</v>
      </c>
      <c r="AZ146">
        <v>2.1550699999999998</v>
      </c>
      <c r="BA146">
        <v>2.17761</v>
      </c>
      <c r="BB146">
        <v>2.2348499999999998</v>
      </c>
      <c r="BC146">
        <v>2.2482600000000001</v>
      </c>
      <c r="BD146">
        <v>2.2880199999999999</v>
      </c>
      <c r="BE146">
        <v>2.1945399999999999</v>
      </c>
      <c r="BF146">
        <v>2.3520699999999999</v>
      </c>
      <c r="BG146">
        <v>2.3372999999999999</v>
      </c>
      <c r="BH146">
        <v>2.3300200000000002</v>
      </c>
      <c r="BI146">
        <v>2.32667</v>
      </c>
      <c r="BJ146">
        <v>2.3112499999999998</v>
      </c>
      <c r="BK146">
        <v>2.3167200000000001</v>
      </c>
      <c r="BL146">
        <v>2.3097599999999998</v>
      </c>
      <c r="BM146">
        <v>2.3091200000000001</v>
      </c>
      <c r="BN146">
        <v>2.30585</v>
      </c>
      <c r="BO146">
        <v>2.25387</v>
      </c>
      <c r="BP146">
        <v>2.2958699999999999</v>
      </c>
      <c r="BQ146">
        <v>2.29589</v>
      </c>
      <c r="BR146">
        <v>2.3008500000000001</v>
      </c>
      <c r="BS146">
        <v>2.3008700000000002</v>
      </c>
      <c r="BT146">
        <v>2.3008899999999999</v>
      </c>
      <c r="BW146">
        <v>2.2909299999999999</v>
      </c>
      <c r="BX146">
        <v>2.29094</v>
      </c>
      <c r="BY146">
        <v>2.2859699999999998</v>
      </c>
      <c r="BZ146">
        <v>2.2760400000000001</v>
      </c>
      <c r="CA146">
        <v>2.2760500000000001</v>
      </c>
      <c r="CB146">
        <v>2.2760699999999998</v>
      </c>
      <c r="CC146">
        <v>2.2760500000000001</v>
      </c>
      <c r="CD146">
        <v>2.2760600000000002</v>
      </c>
      <c r="CE146">
        <v>2.2760600000000002</v>
      </c>
      <c r="CF146">
        <v>2.2760699999999998</v>
      </c>
      <c r="CG146">
        <v>2.2694299999999998</v>
      </c>
      <c r="CH146">
        <v>2.2694399999999999</v>
      </c>
      <c r="CI146">
        <v>2.2711600000000001</v>
      </c>
      <c r="CJ146">
        <v>2.2711700000000001</v>
      </c>
      <c r="CK146">
        <v>2.2711800000000002</v>
      </c>
      <c r="CL146">
        <v>2.2711899999999998</v>
      </c>
      <c r="CM146">
        <v>2.2711999999999999</v>
      </c>
      <c r="CN146">
        <v>2.2882099999999999</v>
      </c>
      <c r="CO146">
        <v>2.2882199999999999</v>
      </c>
      <c r="CP146">
        <v>2.2712300000000001</v>
      </c>
      <c r="CQ146">
        <v>2.2782399999999998</v>
      </c>
      <c r="CS146">
        <v>2.26627</v>
      </c>
      <c r="CT146">
        <v>2.2662800000000001</v>
      </c>
      <c r="CU146">
        <v>2.2662900000000001</v>
      </c>
      <c r="CV146">
        <v>2.2662900000000001</v>
      </c>
      <c r="CW146">
        <v>2.2583099999999998</v>
      </c>
      <c r="CX146">
        <v>2.2583099999999998</v>
      </c>
      <c r="CY146">
        <v>2.2583199999999999</v>
      </c>
      <c r="CZ146">
        <v>2.2533300000000001</v>
      </c>
      <c r="DA146">
        <v>2.2483399999999998</v>
      </c>
      <c r="DB146">
        <v>2.2483499999999998</v>
      </c>
      <c r="DC146">
        <v>2.1408299999999998</v>
      </c>
    </row>
    <row r="147" spans="1:107" x14ac:dyDescent="0.25">
      <c r="A147">
        <f t="shared" si="2"/>
        <v>5</v>
      </c>
      <c r="B147" s="2">
        <v>42215</v>
      </c>
      <c r="F147">
        <v>0.37136999999999998</v>
      </c>
      <c r="G147">
        <v>0.49174000000000001</v>
      </c>
      <c r="H147">
        <v>0.47547</v>
      </c>
      <c r="I147">
        <v>0.49362</v>
      </c>
      <c r="J147">
        <v>0.44216</v>
      </c>
      <c r="K147">
        <v>0.51615999999999995</v>
      </c>
      <c r="L147">
        <v>0.49320999999999998</v>
      </c>
      <c r="M147">
        <v>0.52100000000000002</v>
      </c>
      <c r="N147">
        <v>0.46626000000000001</v>
      </c>
      <c r="O147">
        <v>0.61309999999999998</v>
      </c>
      <c r="P147">
        <v>0.58401999999999998</v>
      </c>
      <c r="Q147">
        <v>0.52171999999999996</v>
      </c>
      <c r="R147">
        <v>0.53927000000000003</v>
      </c>
      <c r="S147">
        <v>0.64546000000000003</v>
      </c>
      <c r="T147">
        <v>0.64598</v>
      </c>
      <c r="U147">
        <v>0.52510000000000001</v>
      </c>
      <c r="V147">
        <v>0.56820999999999999</v>
      </c>
      <c r="W147">
        <v>0.60816000000000003</v>
      </c>
      <c r="X147">
        <v>0.67622000000000004</v>
      </c>
      <c r="Y147">
        <v>0.72897999999999996</v>
      </c>
      <c r="Z147">
        <v>0.68935000000000002</v>
      </c>
      <c r="AA147">
        <v>0.74826999999999999</v>
      </c>
      <c r="AB147">
        <v>0.77356000000000003</v>
      </c>
      <c r="AC147">
        <v>0.86029</v>
      </c>
      <c r="AD147">
        <v>0.87716000000000005</v>
      </c>
      <c r="AE147">
        <v>0.77410999999999996</v>
      </c>
      <c r="AF147">
        <v>0.93522000000000005</v>
      </c>
      <c r="AG147">
        <v>0.99339999999999995</v>
      </c>
      <c r="AH147">
        <v>1.09944</v>
      </c>
      <c r="AI147">
        <v>1.0994900000000001</v>
      </c>
      <c r="AJ147">
        <v>1.1180099999999999</v>
      </c>
      <c r="AK147">
        <v>0.95811999999999997</v>
      </c>
      <c r="AL147">
        <v>1.2170099999999999</v>
      </c>
      <c r="AM147">
        <v>1.29861</v>
      </c>
      <c r="AN147">
        <v>1.1170500000000001</v>
      </c>
      <c r="AO147">
        <v>1.35547</v>
      </c>
      <c r="AP147">
        <v>1.4646300000000001</v>
      </c>
      <c r="AQ147">
        <v>1.29108</v>
      </c>
      <c r="AR147">
        <v>1.51329</v>
      </c>
      <c r="AS147">
        <v>1.5668200000000001</v>
      </c>
      <c r="AT147">
        <v>1.61961</v>
      </c>
      <c r="AU147">
        <v>1.57498</v>
      </c>
      <c r="AV147">
        <v>1.5169900000000001</v>
      </c>
      <c r="AW147">
        <v>2.0695399999999999</v>
      </c>
      <c r="AX147">
        <v>2.0704699999999998</v>
      </c>
      <c r="AY147">
        <v>2.1107200000000002</v>
      </c>
      <c r="AZ147">
        <v>2.1280299999999999</v>
      </c>
      <c r="BA147">
        <v>2.1505700000000001</v>
      </c>
      <c r="BB147">
        <v>2.1977099999999998</v>
      </c>
      <c r="BC147">
        <v>2.2070799999999999</v>
      </c>
      <c r="BD147">
        <v>2.25021</v>
      </c>
      <c r="BE147">
        <v>2.1581000000000001</v>
      </c>
      <c r="BF147">
        <v>2.3099699999999999</v>
      </c>
      <c r="BG147">
        <v>2.2954500000000002</v>
      </c>
      <c r="BH147">
        <v>2.2928000000000002</v>
      </c>
      <c r="BI147">
        <v>2.2860100000000001</v>
      </c>
      <c r="BJ147">
        <v>2.28104</v>
      </c>
      <c r="BK147">
        <v>2.2760699999999998</v>
      </c>
      <c r="BL147">
        <v>2.26451</v>
      </c>
      <c r="BM147">
        <v>2.2682699999999998</v>
      </c>
      <c r="BN147">
        <v>2.2656399999999999</v>
      </c>
      <c r="BO147">
        <v>2.2149899999999998</v>
      </c>
      <c r="BP147">
        <v>2.2545799999999998</v>
      </c>
      <c r="BQ147">
        <v>2.2545999999999999</v>
      </c>
      <c r="BR147">
        <v>2.2606899999999999</v>
      </c>
      <c r="BS147">
        <v>2.26071</v>
      </c>
      <c r="BT147">
        <v>2.2607300000000001</v>
      </c>
      <c r="BW147">
        <v>2.2507700000000002</v>
      </c>
      <c r="BX147">
        <v>2.2507799999999998</v>
      </c>
      <c r="BY147">
        <v>2.2458100000000001</v>
      </c>
      <c r="BZ147">
        <v>2.23475</v>
      </c>
      <c r="CA147">
        <v>2.2347600000000001</v>
      </c>
      <c r="CB147">
        <v>2.2347700000000001</v>
      </c>
      <c r="CC147">
        <v>2.2358699999999998</v>
      </c>
      <c r="CD147">
        <v>2.2358799999999999</v>
      </c>
      <c r="CE147">
        <v>2.2318799999999999</v>
      </c>
      <c r="CF147">
        <v>2.2318899999999999</v>
      </c>
      <c r="CG147">
        <v>2.2259199999999999</v>
      </c>
      <c r="CH147">
        <v>2.2285900000000001</v>
      </c>
      <c r="CI147">
        <v>2.22986</v>
      </c>
      <c r="CJ147">
        <v>2.22987</v>
      </c>
      <c r="CK147">
        <v>2.2298800000000001</v>
      </c>
      <c r="CL147">
        <v>2.2299000000000002</v>
      </c>
      <c r="CM147">
        <v>2.2299099999999998</v>
      </c>
      <c r="CN147">
        <v>2.2395800000000001</v>
      </c>
      <c r="CO147">
        <v>2.24647</v>
      </c>
      <c r="CP147">
        <v>2.22994</v>
      </c>
      <c r="CQ147">
        <v>2.2364899999999999</v>
      </c>
      <c r="CS147">
        <v>2.2249699999999999</v>
      </c>
      <c r="CT147">
        <v>2.22498</v>
      </c>
      <c r="CU147">
        <v>2.22499</v>
      </c>
      <c r="CV147">
        <v>2.2250000000000001</v>
      </c>
      <c r="CW147">
        <v>2.2165499999999998</v>
      </c>
      <c r="CX147">
        <v>2.2165599999999999</v>
      </c>
      <c r="CY147">
        <v>2.2165699999999999</v>
      </c>
      <c r="CZ147">
        <v>2.2115800000000001</v>
      </c>
      <c r="DA147">
        <v>2.2065899999999998</v>
      </c>
      <c r="DB147">
        <v>2.2065999999999999</v>
      </c>
      <c r="DC147">
        <v>2.1002000000000001</v>
      </c>
    </row>
    <row r="148" spans="1:107" x14ac:dyDescent="0.25">
      <c r="A148">
        <f t="shared" si="2"/>
        <v>6</v>
      </c>
      <c r="B148" s="2">
        <v>42216</v>
      </c>
      <c r="F148">
        <v>0.35249999999999998</v>
      </c>
      <c r="G148">
        <v>0.40388000000000002</v>
      </c>
      <c r="H148">
        <v>0.45124999999999998</v>
      </c>
      <c r="I148">
        <v>0.39147999999999999</v>
      </c>
      <c r="J148">
        <v>0.42265999999999998</v>
      </c>
      <c r="K148">
        <v>0.47154000000000001</v>
      </c>
      <c r="L148">
        <v>0.48538999999999999</v>
      </c>
      <c r="M148">
        <v>0.48946000000000001</v>
      </c>
      <c r="N148">
        <v>0.42770999999999998</v>
      </c>
      <c r="O148">
        <v>0.57313000000000003</v>
      </c>
      <c r="P148">
        <v>0.55062</v>
      </c>
      <c r="Q148">
        <v>0.44663000000000003</v>
      </c>
      <c r="R148">
        <v>0.49952000000000002</v>
      </c>
      <c r="S148">
        <v>0.58079999999999998</v>
      </c>
      <c r="T148">
        <v>0.59521000000000002</v>
      </c>
      <c r="U148">
        <v>0.47459000000000001</v>
      </c>
      <c r="V148">
        <v>0.52146999999999999</v>
      </c>
      <c r="W148">
        <v>0.56589999999999996</v>
      </c>
      <c r="X148">
        <v>0.62375000000000003</v>
      </c>
      <c r="Y148">
        <v>0.70050999999999997</v>
      </c>
      <c r="Z148">
        <v>0.64092000000000005</v>
      </c>
      <c r="AA148">
        <v>0.70889000000000002</v>
      </c>
      <c r="AB148">
        <v>0.73048999999999997</v>
      </c>
      <c r="AC148">
        <v>0.80606</v>
      </c>
      <c r="AD148">
        <v>0.85009999999999997</v>
      </c>
      <c r="AE148">
        <v>0.71462999999999999</v>
      </c>
      <c r="AF148">
        <v>0.86073999999999995</v>
      </c>
      <c r="AG148">
        <v>0.93213000000000001</v>
      </c>
      <c r="AH148">
        <v>1.0424199999999999</v>
      </c>
      <c r="AI148">
        <v>1.0378099999999999</v>
      </c>
      <c r="AJ148">
        <v>1.06921</v>
      </c>
      <c r="AK148">
        <v>0.88351000000000002</v>
      </c>
      <c r="AL148">
        <v>1.15733</v>
      </c>
      <c r="AM148">
        <v>1.23993</v>
      </c>
      <c r="AN148">
        <v>1.0612699999999999</v>
      </c>
      <c r="AO148">
        <v>1.3017700000000001</v>
      </c>
      <c r="AP148">
        <v>1.4034</v>
      </c>
      <c r="AQ148">
        <v>1.2242599999999999</v>
      </c>
      <c r="AR148">
        <v>1.45181</v>
      </c>
      <c r="AS148">
        <v>1.5128600000000001</v>
      </c>
      <c r="AT148">
        <v>1.56142</v>
      </c>
      <c r="AU148">
        <v>1.5127200000000001</v>
      </c>
      <c r="AV148">
        <v>1.4616899999999999</v>
      </c>
      <c r="AW148">
        <v>2.0398100000000001</v>
      </c>
      <c r="AX148">
        <v>2.0347400000000002</v>
      </c>
      <c r="AY148">
        <v>2.0676899999999998</v>
      </c>
      <c r="AZ148">
        <v>2.08874</v>
      </c>
      <c r="BA148">
        <v>2.1120299999999999</v>
      </c>
      <c r="BB148">
        <v>2.1477499999999998</v>
      </c>
      <c r="BC148">
        <v>2.1650299999999998</v>
      </c>
      <c r="BD148">
        <v>2.2050000000000001</v>
      </c>
      <c r="BE148">
        <v>2.1150199999999999</v>
      </c>
      <c r="BF148">
        <v>2.2757999999999998</v>
      </c>
      <c r="BG148">
        <v>2.26125</v>
      </c>
      <c r="BH148">
        <v>2.25285</v>
      </c>
      <c r="BI148">
        <v>2.2509000000000001</v>
      </c>
      <c r="BJ148">
        <v>2.2410000000000001</v>
      </c>
      <c r="BK148">
        <v>2.2409500000000002</v>
      </c>
      <c r="BL148">
        <v>2.2343899999999999</v>
      </c>
      <c r="BM148">
        <v>2.23407</v>
      </c>
      <c r="BN148">
        <v>2.2312500000000002</v>
      </c>
      <c r="BO148">
        <v>2.17422</v>
      </c>
      <c r="BP148">
        <v>2.2241200000000001</v>
      </c>
      <c r="BQ148">
        <v>2.2241399999999998</v>
      </c>
      <c r="BR148">
        <v>2.2255799999999999</v>
      </c>
      <c r="BS148">
        <v>2.22559</v>
      </c>
      <c r="BT148">
        <v>2.2256100000000001</v>
      </c>
      <c r="BW148">
        <v>2.2156500000000001</v>
      </c>
      <c r="BX148">
        <v>2.2156699999999998</v>
      </c>
      <c r="BY148">
        <v>2.2075999999999998</v>
      </c>
      <c r="BZ148">
        <v>2.2014399999999998</v>
      </c>
      <c r="CA148">
        <v>2.20146</v>
      </c>
      <c r="CB148">
        <v>2.20147</v>
      </c>
      <c r="CC148">
        <v>2.20099</v>
      </c>
      <c r="CD148">
        <v>2.2010100000000001</v>
      </c>
      <c r="CE148">
        <v>2.2007699999999999</v>
      </c>
      <c r="CF148">
        <v>2.20079</v>
      </c>
      <c r="CG148">
        <v>2.1943700000000002</v>
      </c>
      <c r="CH148">
        <v>2.1943899999999998</v>
      </c>
      <c r="CI148">
        <v>2.1996199999999999</v>
      </c>
      <c r="CJ148">
        <v>2.19964</v>
      </c>
      <c r="CK148">
        <v>2.19658</v>
      </c>
      <c r="CL148">
        <v>2.19659</v>
      </c>
      <c r="CM148">
        <v>2.1966000000000001</v>
      </c>
      <c r="CN148">
        <v>2.2117200000000001</v>
      </c>
      <c r="CO148">
        <v>2.2117300000000002</v>
      </c>
      <c r="CP148">
        <v>2.1966299999999999</v>
      </c>
      <c r="CQ148">
        <v>2.2017500000000001</v>
      </c>
      <c r="CS148">
        <v>2.1916600000000002</v>
      </c>
      <c r="CT148">
        <v>2.1916699999999998</v>
      </c>
      <c r="CU148">
        <v>2.1916799999999999</v>
      </c>
      <c r="CV148">
        <v>2.1916899999999999</v>
      </c>
      <c r="CW148">
        <v>2.18181</v>
      </c>
      <c r="CX148">
        <v>2.1818200000000001</v>
      </c>
      <c r="CY148">
        <v>2.1818300000000002</v>
      </c>
      <c r="CZ148">
        <v>2.1768299999999998</v>
      </c>
      <c r="DA148">
        <v>2.1718500000000001</v>
      </c>
      <c r="DB148">
        <v>2.1718500000000001</v>
      </c>
      <c r="DC148">
        <v>2.0601799999999999</v>
      </c>
    </row>
    <row r="149" spans="1:107" x14ac:dyDescent="0.25">
      <c r="A149">
        <f t="shared" si="2"/>
        <v>3</v>
      </c>
      <c r="B149" s="2">
        <v>42220</v>
      </c>
      <c r="F149">
        <v>0.38785999999999998</v>
      </c>
      <c r="G149">
        <v>0.43151</v>
      </c>
      <c r="H149">
        <v>0.45557999999999998</v>
      </c>
      <c r="I149">
        <v>0.47785</v>
      </c>
      <c r="J149">
        <v>0.43857000000000002</v>
      </c>
      <c r="K149">
        <v>0.44585999999999998</v>
      </c>
      <c r="L149">
        <v>0.46377000000000002</v>
      </c>
      <c r="M149">
        <v>0.48127999999999999</v>
      </c>
      <c r="N149">
        <v>0.42197000000000001</v>
      </c>
      <c r="O149">
        <v>0.56483000000000005</v>
      </c>
      <c r="P149">
        <v>0.56540000000000001</v>
      </c>
      <c r="Q149">
        <v>0.43547000000000002</v>
      </c>
      <c r="R149">
        <v>0.50414999999999999</v>
      </c>
      <c r="S149">
        <v>0.56183000000000005</v>
      </c>
      <c r="T149">
        <v>0.60616999999999999</v>
      </c>
      <c r="U149">
        <v>0.47184999999999999</v>
      </c>
      <c r="V149">
        <v>0.51449999999999996</v>
      </c>
      <c r="W149">
        <v>0.56657000000000002</v>
      </c>
      <c r="X149">
        <v>0.61878999999999995</v>
      </c>
      <c r="Y149">
        <v>0.68549000000000004</v>
      </c>
      <c r="Z149">
        <v>0.61980999999999997</v>
      </c>
      <c r="AA149">
        <v>0.67901</v>
      </c>
      <c r="AB149">
        <v>0.70509999999999995</v>
      </c>
      <c r="AC149">
        <v>0.78022999999999998</v>
      </c>
      <c r="AD149">
        <v>0.79629000000000005</v>
      </c>
      <c r="AE149">
        <v>0.69813000000000003</v>
      </c>
      <c r="AF149">
        <v>0.83138999999999996</v>
      </c>
      <c r="AG149">
        <v>0.91605999999999999</v>
      </c>
      <c r="AH149">
        <v>1.0008600000000001</v>
      </c>
      <c r="AI149">
        <v>1.0354699999999999</v>
      </c>
      <c r="AJ149">
        <v>1.0404199999999999</v>
      </c>
      <c r="AK149">
        <v>0.89136000000000004</v>
      </c>
      <c r="AL149">
        <v>1.1431199999999999</v>
      </c>
      <c r="AM149">
        <v>1.22868</v>
      </c>
      <c r="AN149">
        <v>1.0583100000000001</v>
      </c>
      <c r="AO149">
        <v>1.28779</v>
      </c>
      <c r="AP149">
        <v>1.3831</v>
      </c>
      <c r="AQ149">
        <v>1.2133100000000001</v>
      </c>
      <c r="AR149">
        <v>1.43696</v>
      </c>
      <c r="AS149">
        <v>1.4930099999999999</v>
      </c>
      <c r="AT149">
        <v>1.5508</v>
      </c>
      <c r="AU149">
        <v>1.5010699999999999</v>
      </c>
      <c r="AV149">
        <v>1.4515</v>
      </c>
      <c r="AW149">
        <v>2.0177</v>
      </c>
      <c r="AX149">
        <v>2.0036800000000001</v>
      </c>
      <c r="AY149">
        <v>2.0492499999999998</v>
      </c>
      <c r="AZ149">
        <v>2.0792700000000002</v>
      </c>
      <c r="BA149">
        <v>2.09877</v>
      </c>
      <c r="BB149">
        <v>2.13775</v>
      </c>
      <c r="BC149">
        <v>2.1556999999999999</v>
      </c>
      <c r="BD149">
        <v>2.1885699999999999</v>
      </c>
      <c r="BE149">
        <v>2.1006300000000002</v>
      </c>
      <c r="BF149">
        <v>2.2589899999999998</v>
      </c>
      <c r="BG149">
        <v>2.2439100000000001</v>
      </c>
      <c r="BH149">
        <v>2.23922</v>
      </c>
      <c r="BI149">
        <v>2.23454</v>
      </c>
      <c r="BJ149">
        <v>2.2295500000000001</v>
      </c>
      <c r="BK149">
        <v>2.2245699999999999</v>
      </c>
      <c r="BL149">
        <v>2.2147800000000002</v>
      </c>
      <c r="BM149">
        <v>2.2179899999999999</v>
      </c>
      <c r="BN149">
        <v>2.2147999999999999</v>
      </c>
      <c r="BO149">
        <v>2.1600600000000001</v>
      </c>
      <c r="BP149">
        <v>2.2048199999999998</v>
      </c>
      <c r="BQ149">
        <v>2.2048299999999998</v>
      </c>
      <c r="BR149">
        <v>2.2096300000000002</v>
      </c>
      <c r="BS149">
        <v>2.2096399999999998</v>
      </c>
      <c r="BT149">
        <v>2.2096399999999998</v>
      </c>
      <c r="BW149">
        <v>2.1996600000000002</v>
      </c>
      <c r="BX149">
        <v>2.1996699999999998</v>
      </c>
      <c r="BY149">
        <v>2.19468</v>
      </c>
      <c r="BZ149">
        <v>2.1848999999999998</v>
      </c>
      <c r="CA149">
        <v>2.1848999999999998</v>
      </c>
      <c r="CB149">
        <v>2.1849099999999999</v>
      </c>
      <c r="CC149">
        <v>2.18492</v>
      </c>
      <c r="CD149">
        <v>2.18492</v>
      </c>
      <c r="CE149">
        <v>2.18146</v>
      </c>
      <c r="CF149">
        <v>2.18146</v>
      </c>
      <c r="CG149">
        <v>2.1747399999999999</v>
      </c>
      <c r="CH149">
        <v>2.17814</v>
      </c>
      <c r="CI149">
        <v>2.1799499999999998</v>
      </c>
      <c r="CJ149">
        <v>2.1799599999999999</v>
      </c>
      <c r="CK149">
        <v>2.1799599999999999</v>
      </c>
      <c r="CL149">
        <v>2.17997</v>
      </c>
      <c r="CM149">
        <v>2.17997</v>
      </c>
      <c r="CN149">
        <v>2.19767</v>
      </c>
      <c r="CO149">
        <v>2.1849699999999999</v>
      </c>
      <c r="CP149">
        <v>2.1799900000000001</v>
      </c>
      <c r="CQ149">
        <v>2.1876799999999998</v>
      </c>
      <c r="CS149">
        <v>2.1750099999999999</v>
      </c>
      <c r="CT149">
        <v>2.1750099999999999</v>
      </c>
      <c r="CU149">
        <v>2.17502</v>
      </c>
      <c r="CV149">
        <v>2.17502</v>
      </c>
      <c r="CW149">
        <v>2.1727099999999999</v>
      </c>
      <c r="CX149">
        <v>2.17272</v>
      </c>
      <c r="CY149">
        <v>2.17272</v>
      </c>
      <c r="CZ149">
        <v>2.1627299999999998</v>
      </c>
      <c r="DA149">
        <v>2.1577299999999999</v>
      </c>
      <c r="DB149">
        <v>2.1577299999999999</v>
      </c>
      <c r="DC149">
        <v>2.0477500000000002</v>
      </c>
    </row>
    <row r="150" spans="1:107" x14ac:dyDescent="0.25">
      <c r="A150">
        <f t="shared" si="2"/>
        <v>4</v>
      </c>
      <c r="B150" s="2">
        <v>42221</v>
      </c>
      <c r="F150">
        <v>0.35353000000000001</v>
      </c>
      <c r="G150">
        <v>0.43269000000000002</v>
      </c>
      <c r="H150">
        <v>0.46661000000000002</v>
      </c>
      <c r="I150">
        <v>0.53554999999999997</v>
      </c>
      <c r="J150">
        <v>0.43423</v>
      </c>
      <c r="K150">
        <v>0.46281</v>
      </c>
      <c r="L150">
        <v>0.48885000000000001</v>
      </c>
      <c r="M150">
        <v>0.50248999999999999</v>
      </c>
      <c r="N150">
        <v>0.44824999999999998</v>
      </c>
      <c r="O150">
        <v>0.58045999999999998</v>
      </c>
      <c r="P150">
        <v>0.58106999999999998</v>
      </c>
      <c r="Q150">
        <v>0.45816000000000001</v>
      </c>
      <c r="R150">
        <v>0.51919999999999999</v>
      </c>
      <c r="S150">
        <v>0.59297999999999995</v>
      </c>
      <c r="T150">
        <v>0.62521000000000004</v>
      </c>
      <c r="U150">
        <v>0.50963000000000003</v>
      </c>
      <c r="V150">
        <v>0.55201999999999996</v>
      </c>
      <c r="W150">
        <v>0.59306000000000003</v>
      </c>
      <c r="X150">
        <v>0.65963000000000005</v>
      </c>
      <c r="Y150">
        <v>0.69820000000000004</v>
      </c>
      <c r="Z150">
        <v>0.65630999999999995</v>
      </c>
      <c r="AA150">
        <v>0.71628000000000003</v>
      </c>
      <c r="AB150">
        <v>0.74143999999999999</v>
      </c>
      <c r="AC150">
        <v>0.82164000000000004</v>
      </c>
      <c r="AD150">
        <v>0.86009999999999998</v>
      </c>
      <c r="AE150">
        <v>0.73448000000000002</v>
      </c>
      <c r="AF150">
        <v>0.87334000000000001</v>
      </c>
      <c r="AG150">
        <v>0.95650999999999997</v>
      </c>
      <c r="AH150">
        <v>1.07023</v>
      </c>
      <c r="AI150">
        <v>1.0694900000000001</v>
      </c>
      <c r="AJ150">
        <v>1.08592</v>
      </c>
      <c r="AK150">
        <v>0.92047999999999996</v>
      </c>
      <c r="AL150">
        <v>1.1856800000000001</v>
      </c>
      <c r="AM150">
        <v>1.2664899999999999</v>
      </c>
      <c r="AN150">
        <v>1.0956300000000001</v>
      </c>
      <c r="AO150">
        <v>1.3281799999999999</v>
      </c>
      <c r="AP150">
        <v>1.42425</v>
      </c>
      <c r="AQ150">
        <v>1.25265</v>
      </c>
      <c r="AR150">
        <v>1.4766699999999999</v>
      </c>
      <c r="AS150">
        <v>1.53003</v>
      </c>
      <c r="AT150">
        <v>1.5822000000000001</v>
      </c>
      <c r="AU150">
        <v>1.54278</v>
      </c>
      <c r="AV150">
        <v>1.4851099999999999</v>
      </c>
      <c r="AW150">
        <v>2.0390299999999999</v>
      </c>
      <c r="AX150">
        <v>2.0411800000000002</v>
      </c>
      <c r="AY150">
        <v>2.0764999999999998</v>
      </c>
      <c r="AZ150">
        <v>2.09843</v>
      </c>
      <c r="BA150">
        <v>2.1209600000000002</v>
      </c>
      <c r="BB150">
        <v>2.1742499999999998</v>
      </c>
      <c r="BC150">
        <v>2.1895500000000001</v>
      </c>
      <c r="BD150">
        <v>2.2305799999999998</v>
      </c>
      <c r="BE150">
        <v>2.1364700000000001</v>
      </c>
      <c r="BF150">
        <v>2.2885200000000001</v>
      </c>
      <c r="BG150">
        <v>2.27312</v>
      </c>
      <c r="BH150">
        <v>2.2681800000000001</v>
      </c>
      <c r="BI150">
        <v>2.2641</v>
      </c>
      <c r="BJ150">
        <v>2.2591199999999998</v>
      </c>
      <c r="BK150">
        <v>2.25414</v>
      </c>
      <c r="BL150">
        <v>2.24438</v>
      </c>
      <c r="BM150">
        <v>2.2482500000000001</v>
      </c>
      <c r="BN150">
        <v>2.2444199999999999</v>
      </c>
      <c r="BO150">
        <v>2.19272</v>
      </c>
      <c r="BP150">
        <v>2.2344400000000002</v>
      </c>
      <c r="BQ150">
        <v>2.2344599999999999</v>
      </c>
      <c r="BR150">
        <v>2.2294700000000001</v>
      </c>
      <c r="BS150">
        <v>2.2294800000000001</v>
      </c>
      <c r="BT150">
        <v>2.2402700000000002</v>
      </c>
      <c r="BW150">
        <v>2.2195299999999998</v>
      </c>
      <c r="BX150">
        <v>2.2303199999999999</v>
      </c>
      <c r="BY150">
        <v>2.2253400000000001</v>
      </c>
      <c r="BZ150">
        <v>2.2145800000000002</v>
      </c>
      <c r="CA150">
        <v>2.2145899999999998</v>
      </c>
      <c r="CB150">
        <v>2.2145999999999999</v>
      </c>
      <c r="CC150">
        <v>2.21461</v>
      </c>
      <c r="CD150">
        <v>2.21462</v>
      </c>
      <c r="CE150">
        <v>2.2154099999999999</v>
      </c>
      <c r="CF150">
        <v>2.2154199999999999</v>
      </c>
      <c r="CG150">
        <v>2.2054399999999998</v>
      </c>
      <c r="CH150">
        <v>2.20852</v>
      </c>
      <c r="CI150">
        <v>2.20967</v>
      </c>
      <c r="CJ150">
        <v>2.2096800000000001</v>
      </c>
      <c r="CK150">
        <v>2.2004700000000001</v>
      </c>
      <c r="CL150">
        <v>2.2004800000000002</v>
      </c>
      <c r="CM150">
        <v>2.2004899999999998</v>
      </c>
      <c r="CN150">
        <v>2.2196899999999999</v>
      </c>
      <c r="CO150">
        <v>2.22722</v>
      </c>
      <c r="CP150">
        <v>2.20973</v>
      </c>
      <c r="CQ150">
        <v>2.2172399999999999</v>
      </c>
      <c r="CS150">
        <v>2.2047599999999998</v>
      </c>
      <c r="CT150">
        <v>2.2047699999999999</v>
      </c>
      <c r="CU150">
        <v>2.20478</v>
      </c>
      <c r="CV150">
        <v>2.20478</v>
      </c>
      <c r="CW150">
        <v>2.2022900000000001</v>
      </c>
      <c r="CX150">
        <v>2.2023000000000001</v>
      </c>
      <c r="CY150">
        <v>2.2023000000000001</v>
      </c>
      <c r="CZ150">
        <v>2.19231</v>
      </c>
      <c r="DA150">
        <v>2.1873200000000002</v>
      </c>
      <c r="DB150">
        <v>2.1873300000000002</v>
      </c>
      <c r="DC150">
        <v>2.0773600000000001</v>
      </c>
    </row>
    <row r="151" spans="1:107" x14ac:dyDescent="0.25">
      <c r="A151">
        <f t="shared" si="2"/>
        <v>5</v>
      </c>
      <c r="B151" s="2">
        <v>42222</v>
      </c>
      <c r="F151">
        <v>0.35038999999999998</v>
      </c>
      <c r="G151">
        <v>0.42271999999999998</v>
      </c>
      <c r="H151">
        <v>0.46111999999999997</v>
      </c>
      <c r="I151">
        <v>0.54744000000000004</v>
      </c>
      <c r="J151">
        <v>0.43418000000000001</v>
      </c>
      <c r="K151">
        <v>0.46105000000000002</v>
      </c>
      <c r="L151">
        <v>0.48705999999999999</v>
      </c>
      <c r="M151">
        <v>0.50148000000000004</v>
      </c>
      <c r="N151">
        <v>0.44853999999999999</v>
      </c>
      <c r="O151">
        <v>0.58118000000000003</v>
      </c>
      <c r="P151">
        <v>0.56537000000000004</v>
      </c>
      <c r="Q151">
        <v>0.45838000000000001</v>
      </c>
      <c r="R151">
        <v>0.52112000000000003</v>
      </c>
      <c r="S151">
        <v>0.59838000000000002</v>
      </c>
      <c r="T151">
        <v>0.62900999999999996</v>
      </c>
      <c r="U151">
        <v>0.53900999999999999</v>
      </c>
      <c r="V151">
        <v>0.56355</v>
      </c>
      <c r="W151">
        <v>0.60416000000000003</v>
      </c>
      <c r="X151">
        <v>0.67156000000000005</v>
      </c>
      <c r="Y151">
        <v>0.70240999999999998</v>
      </c>
      <c r="Z151">
        <v>0.66278000000000004</v>
      </c>
      <c r="AA151">
        <v>0.72318000000000005</v>
      </c>
      <c r="AB151">
        <v>0.74795</v>
      </c>
      <c r="AC151">
        <v>0.82006999999999997</v>
      </c>
      <c r="AD151">
        <v>0.83382999999999996</v>
      </c>
      <c r="AE151">
        <v>0.73082999999999998</v>
      </c>
      <c r="AF151">
        <v>0.87165999999999999</v>
      </c>
      <c r="AG151">
        <v>0.95137000000000005</v>
      </c>
      <c r="AH151">
        <v>1.0668899999999999</v>
      </c>
      <c r="AI151">
        <v>1.0742499999999999</v>
      </c>
      <c r="AJ151">
        <v>1.0824199999999999</v>
      </c>
      <c r="AK151">
        <v>0.91666999999999998</v>
      </c>
      <c r="AL151">
        <v>1.1818200000000001</v>
      </c>
      <c r="AM151">
        <v>1.2617799999999999</v>
      </c>
      <c r="AN151">
        <v>1.09091</v>
      </c>
      <c r="AO151">
        <v>1.3226100000000001</v>
      </c>
      <c r="AP151">
        <v>1.4192400000000001</v>
      </c>
      <c r="AQ151">
        <v>1.24322</v>
      </c>
      <c r="AR151">
        <v>1.4678800000000001</v>
      </c>
      <c r="AS151">
        <v>1.51709</v>
      </c>
      <c r="AT151">
        <v>1.5627800000000001</v>
      </c>
      <c r="AU151">
        <v>1.52955</v>
      </c>
      <c r="AV151">
        <v>1.4709700000000001</v>
      </c>
      <c r="AW151">
        <v>2.0274999999999999</v>
      </c>
      <c r="AX151">
        <v>2.0244900000000001</v>
      </c>
      <c r="AY151">
        <v>2.0600900000000002</v>
      </c>
      <c r="AZ151">
        <v>2.0817399999999999</v>
      </c>
      <c r="BA151">
        <v>2.11219</v>
      </c>
      <c r="BB151">
        <v>2.1618400000000002</v>
      </c>
      <c r="BC151">
        <v>2.1776599999999999</v>
      </c>
      <c r="BD151">
        <v>2.21733</v>
      </c>
      <c r="BE151">
        <v>2.1238299999999999</v>
      </c>
      <c r="BF151">
        <v>2.27535</v>
      </c>
      <c r="BG151">
        <v>2.2592699999999999</v>
      </c>
      <c r="BH151">
        <v>2.25692</v>
      </c>
      <c r="BI151">
        <v>2.2499899999999999</v>
      </c>
      <c r="BJ151">
        <v>2.2345600000000001</v>
      </c>
      <c r="BK151">
        <v>2.24003</v>
      </c>
      <c r="BL151">
        <v>2.2301000000000002</v>
      </c>
      <c r="BM151">
        <v>2.2343999999999999</v>
      </c>
      <c r="BN151">
        <v>2.23014</v>
      </c>
      <c r="BO151">
        <v>2.1797800000000001</v>
      </c>
      <c r="BP151">
        <v>2.2201599999999999</v>
      </c>
      <c r="BQ151">
        <v>2.22017</v>
      </c>
      <c r="BR151">
        <v>2.2151900000000002</v>
      </c>
      <c r="BS151">
        <v>2.2151999999999998</v>
      </c>
      <c r="BT151">
        <v>2.2261600000000001</v>
      </c>
      <c r="BW151">
        <v>2.2052499999999999</v>
      </c>
      <c r="BX151">
        <v>2.20526</v>
      </c>
      <c r="BY151">
        <v>2.21123</v>
      </c>
      <c r="BZ151">
        <v>2.2002899999999999</v>
      </c>
      <c r="CA151">
        <v>2.2002999999999999</v>
      </c>
      <c r="CB151">
        <v>2.2003200000000001</v>
      </c>
      <c r="CC151">
        <v>2.2003300000000001</v>
      </c>
      <c r="CD151">
        <v>2.2003400000000002</v>
      </c>
      <c r="CE151">
        <v>2.2022499999999998</v>
      </c>
      <c r="CF151">
        <v>2.2022599999999999</v>
      </c>
      <c r="CG151">
        <v>2.1913200000000002</v>
      </c>
      <c r="CH151">
        <v>2.1946599999999998</v>
      </c>
      <c r="CI151">
        <v>2.1953800000000001</v>
      </c>
      <c r="CJ151">
        <v>2.1953900000000002</v>
      </c>
      <c r="CK151">
        <v>2.1863600000000001</v>
      </c>
      <c r="CL151">
        <v>2.1863700000000001</v>
      </c>
      <c r="CM151">
        <v>2.1863800000000002</v>
      </c>
      <c r="CN151">
        <v>2.2004100000000002</v>
      </c>
      <c r="CO151">
        <v>2.2138800000000001</v>
      </c>
      <c r="CP151">
        <v>2.1954500000000001</v>
      </c>
      <c r="CQ151">
        <v>2.2039</v>
      </c>
      <c r="CS151">
        <v>2.19048</v>
      </c>
      <c r="CT151">
        <v>2.19048</v>
      </c>
      <c r="CU151">
        <v>2.19049</v>
      </c>
      <c r="CV151">
        <v>2.1905000000000001</v>
      </c>
      <c r="CW151">
        <v>2.1880099999999998</v>
      </c>
      <c r="CX151">
        <v>2.1880099999999998</v>
      </c>
      <c r="CY151">
        <v>2.1880199999999999</v>
      </c>
      <c r="CZ151">
        <v>2.1789700000000001</v>
      </c>
      <c r="DA151">
        <v>2.1739799999999998</v>
      </c>
      <c r="DB151">
        <v>2.1739899999999999</v>
      </c>
      <c r="DC151">
        <v>2.0640200000000002</v>
      </c>
    </row>
    <row r="152" spans="1:107" x14ac:dyDescent="0.25">
      <c r="A152">
        <f t="shared" si="2"/>
        <v>6</v>
      </c>
      <c r="B152" s="2">
        <v>42223</v>
      </c>
      <c r="F152">
        <v>0.34699999999999998</v>
      </c>
      <c r="G152">
        <v>0.42465999999999998</v>
      </c>
      <c r="H152">
        <v>0.46074999999999999</v>
      </c>
      <c r="I152">
        <v>0.55535000000000001</v>
      </c>
      <c r="J152">
        <v>0.43413000000000002</v>
      </c>
      <c r="K152">
        <v>0.46467000000000003</v>
      </c>
      <c r="L152">
        <v>0.49092999999999998</v>
      </c>
      <c r="M152">
        <v>0.50739000000000001</v>
      </c>
      <c r="N152">
        <v>0.45269999999999999</v>
      </c>
      <c r="O152">
        <v>0.58628000000000002</v>
      </c>
      <c r="P152">
        <v>0.57206999999999997</v>
      </c>
      <c r="Q152">
        <v>0.48152</v>
      </c>
      <c r="R152">
        <v>0.52764</v>
      </c>
      <c r="S152">
        <v>0.60570000000000002</v>
      </c>
      <c r="T152">
        <v>0.63483000000000001</v>
      </c>
      <c r="U152">
        <v>0.54866999999999999</v>
      </c>
      <c r="V152">
        <v>0.57487999999999995</v>
      </c>
      <c r="W152">
        <v>0.61392000000000002</v>
      </c>
      <c r="X152">
        <v>0.68040999999999996</v>
      </c>
      <c r="Y152">
        <v>0.70452999999999999</v>
      </c>
      <c r="Z152">
        <v>0.66332999999999998</v>
      </c>
      <c r="AA152">
        <v>0.72302999999999995</v>
      </c>
      <c r="AB152">
        <v>0.74782000000000004</v>
      </c>
      <c r="AC152">
        <v>0.81669000000000003</v>
      </c>
      <c r="AD152">
        <v>0.80896999999999997</v>
      </c>
      <c r="AE152">
        <v>0.72382000000000002</v>
      </c>
      <c r="AF152">
        <v>0.88275000000000003</v>
      </c>
      <c r="AG152">
        <v>0.94537000000000004</v>
      </c>
      <c r="AH152">
        <v>1.05074</v>
      </c>
      <c r="AI152">
        <v>1.0648500000000001</v>
      </c>
      <c r="AJ152">
        <v>1.0739000000000001</v>
      </c>
      <c r="AK152">
        <v>0.91068000000000005</v>
      </c>
      <c r="AL152">
        <v>1.1748099999999999</v>
      </c>
      <c r="AM152">
        <v>1.2496</v>
      </c>
      <c r="AN152">
        <v>1.0758000000000001</v>
      </c>
      <c r="AO152">
        <v>1.3002100000000001</v>
      </c>
      <c r="AP152">
        <v>1.3968</v>
      </c>
      <c r="AQ152">
        <v>1.22176</v>
      </c>
      <c r="AR152">
        <v>1.4454400000000001</v>
      </c>
      <c r="AS152">
        <v>1.49122</v>
      </c>
      <c r="AT152">
        <v>1.5431999999999999</v>
      </c>
      <c r="AU152">
        <v>1.5145599999999999</v>
      </c>
      <c r="AV152">
        <v>1.44831</v>
      </c>
      <c r="AW152">
        <v>1.99871</v>
      </c>
      <c r="AX152">
        <v>1.9974499999999999</v>
      </c>
      <c r="AY152">
        <v>2.03714</v>
      </c>
      <c r="AZ152">
        <v>2.0541999999999998</v>
      </c>
      <c r="BA152">
        <v>2.07673</v>
      </c>
      <c r="BB152">
        <v>2.1307299999999998</v>
      </c>
      <c r="BC152">
        <v>2.15164</v>
      </c>
      <c r="BD152">
        <v>2.1868099999999999</v>
      </c>
      <c r="BE152">
        <v>2.0961400000000001</v>
      </c>
      <c r="BF152">
        <v>2.24282</v>
      </c>
      <c r="BG152">
        <v>2.2278500000000001</v>
      </c>
      <c r="BH152">
        <v>2.2228699999999999</v>
      </c>
      <c r="BI152">
        <v>2.2183999999999999</v>
      </c>
      <c r="BJ152">
        <v>2.2134100000000001</v>
      </c>
      <c r="BK152">
        <v>2.20844</v>
      </c>
      <c r="BL152">
        <v>2.19895</v>
      </c>
      <c r="BM152">
        <v>2.2023000000000001</v>
      </c>
      <c r="BN152">
        <v>2.1989899999999998</v>
      </c>
      <c r="BO152">
        <v>2.14676</v>
      </c>
      <c r="BP152">
        <v>2.1890100000000001</v>
      </c>
      <c r="BQ152">
        <v>2.1890200000000002</v>
      </c>
      <c r="BR152">
        <v>2.1940400000000002</v>
      </c>
      <c r="BS152">
        <v>2.1940499999999998</v>
      </c>
      <c r="BT152">
        <v>2.19407</v>
      </c>
      <c r="BW152">
        <v>2.1840999999999999</v>
      </c>
      <c r="BX152">
        <v>2.18411</v>
      </c>
      <c r="BY152">
        <v>2.1791299999999998</v>
      </c>
      <c r="BZ152">
        <v>2.1691400000000001</v>
      </c>
      <c r="CA152">
        <v>2.1691500000000001</v>
      </c>
      <c r="CB152">
        <v>2.1691699999999998</v>
      </c>
      <c r="CC152">
        <v>2.1691799999999999</v>
      </c>
      <c r="CD152">
        <v>2.16919</v>
      </c>
      <c r="CE152">
        <v>2.16587</v>
      </c>
      <c r="CF152">
        <v>2.16588</v>
      </c>
      <c r="CG152">
        <v>2.15923</v>
      </c>
      <c r="CH152">
        <v>2.16256</v>
      </c>
      <c r="CI152">
        <v>2.1642299999999999</v>
      </c>
      <c r="CJ152">
        <v>2.1642399999999999</v>
      </c>
      <c r="CK152">
        <v>2.16425</v>
      </c>
      <c r="CL152">
        <v>2.1642600000000001</v>
      </c>
      <c r="CM152">
        <v>2.1642700000000001</v>
      </c>
      <c r="CN152">
        <v>2.1817799999999998</v>
      </c>
      <c r="CO152">
        <v>2.1817799999999998</v>
      </c>
      <c r="CP152">
        <v>2.1642899999999998</v>
      </c>
      <c r="CQ152">
        <v>2.1718000000000002</v>
      </c>
      <c r="CS152">
        <v>2.1593200000000001</v>
      </c>
      <c r="CT152">
        <v>2.1593300000000002</v>
      </c>
      <c r="CU152">
        <v>2.1593399999999998</v>
      </c>
      <c r="CV152">
        <v>2.1593499999999999</v>
      </c>
      <c r="CW152">
        <v>2.1568499999999999</v>
      </c>
      <c r="CX152">
        <v>2.15686</v>
      </c>
      <c r="CY152">
        <v>2.1568700000000001</v>
      </c>
      <c r="CZ152">
        <v>2.1468699999999998</v>
      </c>
      <c r="DA152">
        <v>2.14188</v>
      </c>
      <c r="DB152">
        <v>2.1418900000000001</v>
      </c>
      <c r="DC152">
        <v>2.0319199999999999</v>
      </c>
    </row>
    <row r="153" spans="1:107" x14ac:dyDescent="0.25">
      <c r="A153">
        <f t="shared" si="2"/>
        <v>2</v>
      </c>
      <c r="B153" s="2">
        <v>42226</v>
      </c>
      <c r="F153">
        <v>0.375</v>
      </c>
      <c r="G153">
        <v>0.45290999999999998</v>
      </c>
      <c r="H153">
        <v>0.47522999999999999</v>
      </c>
      <c r="I153">
        <v>0.57752999999999999</v>
      </c>
      <c r="J153">
        <v>0.45809</v>
      </c>
      <c r="K153">
        <v>0.47937000000000002</v>
      </c>
      <c r="L153">
        <v>0.49997000000000003</v>
      </c>
      <c r="M153">
        <v>0.51893</v>
      </c>
      <c r="N153">
        <v>0.46901999999999999</v>
      </c>
      <c r="O153">
        <v>0.59474000000000005</v>
      </c>
      <c r="P153">
        <v>0.59865999999999997</v>
      </c>
      <c r="Q153">
        <v>0.50114999999999998</v>
      </c>
      <c r="R153">
        <v>0.54764999999999997</v>
      </c>
      <c r="S153">
        <v>0.62568999999999997</v>
      </c>
      <c r="T153">
        <v>0.65463000000000005</v>
      </c>
      <c r="U153">
        <v>0.57011999999999996</v>
      </c>
      <c r="V153">
        <v>0.59679000000000004</v>
      </c>
      <c r="W153">
        <v>0.63544</v>
      </c>
      <c r="X153">
        <v>0.70267999999999997</v>
      </c>
      <c r="Y153">
        <v>0.73758999999999997</v>
      </c>
      <c r="Z153">
        <v>0.69511000000000001</v>
      </c>
      <c r="AA153">
        <v>0.74268999999999996</v>
      </c>
      <c r="AB153">
        <v>0.78064999999999996</v>
      </c>
      <c r="AC153">
        <v>0.85275000000000001</v>
      </c>
      <c r="AD153">
        <v>0.86584000000000005</v>
      </c>
      <c r="AE153">
        <v>0.76293</v>
      </c>
      <c r="AF153">
        <v>0.92247000000000001</v>
      </c>
      <c r="AG153">
        <v>0.98458999999999997</v>
      </c>
      <c r="AH153">
        <v>1.0905400000000001</v>
      </c>
      <c r="AI153">
        <v>1.1067499999999999</v>
      </c>
      <c r="AJ153">
        <v>1.1140000000000001</v>
      </c>
      <c r="AK153">
        <v>0.94969000000000003</v>
      </c>
      <c r="AL153">
        <v>1.21451</v>
      </c>
      <c r="AM153">
        <v>1.29756</v>
      </c>
      <c r="AN153">
        <v>1.1134500000000001</v>
      </c>
      <c r="AO153">
        <v>1.3524400000000001</v>
      </c>
      <c r="AP153">
        <v>1.44872</v>
      </c>
      <c r="AQ153">
        <v>1.2726500000000001</v>
      </c>
      <c r="AR153">
        <v>1.4973399999999999</v>
      </c>
      <c r="AS153">
        <v>1.54328</v>
      </c>
      <c r="AT153">
        <v>1.5908199999999999</v>
      </c>
      <c r="AU153">
        <v>1.5673699999999999</v>
      </c>
      <c r="AV153">
        <v>1.5024999999999999</v>
      </c>
      <c r="AW153">
        <v>2.05288</v>
      </c>
      <c r="AX153">
        <v>2.0465499999999999</v>
      </c>
      <c r="AY153">
        <v>2.0905499999999999</v>
      </c>
      <c r="AZ153">
        <v>2.10507</v>
      </c>
      <c r="BA153">
        <v>2.1275900000000001</v>
      </c>
      <c r="BB153">
        <v>2.1791900000000002</v>
      </c>
      <c r="BC153">
        <v>2.2004000000000001</v>
      </c>
      <c r="BD153">
        <v>2.2317</v>
      </c>
      <c r="BE153">
        <v>2.1438700000000002</v>
      </c>
      <c r="BF153">
        <v>2.29128</v>
      </c>
      <c r="BG153">
        <v>2.2750400000000002</v>
      </c>
      <c r="BH153">
        <v>2.27332</v>
      </c>
      <c r="BI153">
        <v>2.2649400000000002</v>
      </c>
      <c r="BJ153">
        <v>2.2509600000000001</v>
      </c>
      <c r="BK153">
        <v>2.2549600000000001</v>
      </c>
      <c r="BL153">
        <v>2.24648</v>
      </c>
      <c r="BM153">
        <v>2.2497799999999999</v>
      </c>
      <c r="BN153">
        <v>2.2454999999999998</v>
      </c>
      <c r="BO153">
        <v>2.1947100000000002</v>
      </c>
      <c r="BP153">
        <v>2.2365200000000001</v>
      </c>
      <c r="BQ153">
        <v>2.2365300000000001</v>
      </c>
      <c r="BR153">
        <v>2.2315399999999999</v>
      </c>
      <c r="BS153">
        <v>2.2315399999999999</v>
      </c>
      <c r="BT153">
        <v>2.2405400000000002</v>
      </c>
      <c r="BW153">
        <v>2.2215699999999998</v>
      </c>
      <c r="BX153">
        <v>2.2215799999999999</v>
      </c>
      <c r="BY153">
        <v>2.2255799999999999</v>
      </c>
      <c r="BZ153">
        <v>2.2166000000000001</v>
      </c>
      <c r="CA153">
        <v>2.2166000000000001</v>
      </c>
      <c r="CB153">
        <v>2.2166100000000002</v>
      </c>
      <c r="CC153">
        <v>2.2156099999999999</v>
      </c>
      <c r="CD153">
        <v>2.2156199999999999</v>
      </c>
      <c r="CE153">
        <v>2.2175199999999999</v>
      </c>
      <c r="CF153">
        <v>2.21753</v>
      </c>
      <c r="CG153">
        <v>2.2056399999999998</v>
      </c>
      <c r="CH153">
        <v>2.20994</v>
      </c>
      <c r="CI153">
        <v>2.2116500000000001</v>
      </c>
      <c r="CJ153">
        <v>2.2116500000000001</v>
      </c>
      <c r="CK153">
        <v>2.2116600000000002</v>
      </c>
      <c r="CL153">
        <v>2.2116600000000002</v>
      </c>
      <c r="CM153">
        <v>2.2116699999999998</v>
      </c>
      <c r="CN153">
        <v>2.23108</v>
      </c>
      <c r="CO153">
        <v>2.2166600000000001</v>
      </c>
      <c r="CP153">
        <v>2.2116799999999999</v>
      </c>
      <c r="CQ153">
        <v>2.2210999999999999</v>
      </c>
      <c r="CS153">
        <v>2.2067100000000002</v>
      </c>
      <c r="CT153">
        <v>2.2067100000000002</v>
      </c>
      <c r="CU153">
        <v>2.2067199999999998</v>
      </c>
      <c r="CV153">
        <v>2.2067199999999998</v>
      </c>
      <c r="CW153">
        <v>2.2042299999999999</v>
      </c>
      <c r="CX153">
        <v>2.2042299999999999</v>
      </c>
      <c r="CY153">
        <v>2.20424</v>
      </c>
      <c r="CZ153">
        <v>2.1961400000000002</v>
      </c>
      <c r="DA153">
        <v>2.1911399999999999</v>
      </c>
      <c r="DB153">
        <v>2.1911499999999999</v>
      </c>
      <c r="DC153">
        <v>2.0829900000000001</v>
      </c>
    </row>
    <row r="154" spans="1:107" x14ac:dyDescent="0.25">
      <c r="A154">
        <f t="shared" si="2"/>
        <v>3</v>
      </c>
      <c r="B154" s="2">
        <v>42227</v>
      </c>
      <c r="F154">
        <v>0.37214000000000003</v>
      </c>
      <c r="G154">
        <v>0.44888</v>
      </c>
      <c r="H154">
        <v>0.45721000000000001</v>
      </c>
      <c r="I154">
        <v>0.55530000000000002</v>
      </c>
      <c r="J154">
        <v>0.45805000000000001</v>
      </c>
      <c r="K154">
        <v>0.47603000000000001</v>
      </c>
      <c r="L154">
        <v>0.47642000000000001</v>
      </c>
      <c r="M154">
        <v>0.49708999999999998</v>
      </c>
      <c r="N154">
        <v>0.43741999999999998</v>
      </c>
      <c r="O154">
        <v>0.58152999999999999</v>
      </c>
      <c r="P154">
        <v>0.56623000000000001</v>
      </c>
      <c r="Q154">
        <v>0.45052999999999999</v>
      </c>
      <c r="R154">
        <v>0.50797999999999999</v>
      </c>
      <c r="S154">
        <v>0.58550000000000002</v>
      </c>
      <c r="T154">
        <v>0.61409000000000002</v>
      </c>
      <c r="U154">
        <v>0.52532999999999996</v>
      </c>
      <c r="V154">
        <v>0.55188000000000004</v>
      </c>
      <c r="W154">
        <v>0.59192999999999996</v>
      </c>
      <c r="X154">
        <v>0.65825</v>
      </c>
      <c r="Y154">
        <v>0.70333000000000001</v>
      </c>
      <c r="Z154">
        <v>0.63512999999999997</v>
      </c>
      <c r="AA154">
        <v>0.68247999999999998</v>
      </c>
      <c r="AB154">
        <v>0.72045000000000003</v>
      </c>
      <c r="AC154">
        <v>0.76568999999999998</v>
      </c>
      <c r="AD154">
        <v>0.78047999999999995</v>
      </c>
      <c r="AE154">
        <v>0.66193999999999997</v>
      </c>
      <c r="AF154">
        <v>0.83692</v>
      </c>
      <c r="AG154">
        <v>0.89912999999999998</v>
      </c>
      <c r="AH154">
        <v>1.01301</v>
      </c>
      <c r="AI154">
        <v>1.02315</v>
      </c>
      <c r="AJ154">
        <v>1.0381499999999999</v>
      </c>
      <c r="AK154">
        <v>0.86558999999999997</v>
      </c>
      <c r="AL154">
        <v>1.1234900000000001</v>
      </c>
      <c r="AM154">
        <v>1.2153</v>
      </c>
      <c r="AN154">
        <v>1.0294700000000001</v>
      </c>
      <c r="AO154">
        <v>1.27017</v>
      </c>
      <c r="AP154">
        <v>1.36151</v>
      </c>
      <c r="AQ154">
        <v>1.1907099999999999</v>
      </c>
      <c r="AR154">
        <v>1.41459</v>
      </c>
      <c r="AS154">
        <v>1.46258</v>
      </c>
      <c r="AT154">
        <v>1.5142199999999999</v>
      </c>
      <c r="AU154">
        <v>1.4777199999999999</v>
      </c>
      <c r="AV154">
        <v>1.42086</v>
      </c>
      <c r="AW154">
        <v>1.9747600000000001</v>
      </c>
      <c r="AX154">
        <v>1.96665</v>
      </c>
      <c r="AY154">
        <v>2.0051800000000002</v>
      </c>
      <c r="AZ154">
        <v>2.0238800000000001</v>
      </c>
      <c r="BA154">
        <v>2.0555099999999999</v>
      </c>
      <c r="BB154">
        <v>2.11083</v>
      </c>
      <c r="BC154">
        <v>2.13402</v>
      </c>
      <c r="BD154">
        <v>2.1680000000000001</v>
      </c>
      <c r="BE154">
        <v>2.0849199999999999</v>
      </c>
      <c r="BF154">
        <v>2.2364600000000001</v>
      </c>
      <c r="BG154">
        <v>2.2214999999999998</v>
      </c>
      <c r="BH154">
        <v>2.2130399999999999</v>
      </c>
      <c r="BI154">
        <v>2.2129500000000002</v>
      </c>
      <c r="BJ154">
        <v>2.2079599999999999</v>
      </c>
      <c r="BK154">
        <v>2.2029700000000001</v>
      </c>
      <c r="BL154">
        <v>2.1958899999999999</v>
      </c>
      <c r="BM154">
        <v>2.19624</v>
      </c>
      <c r="BN154">
        <v>2.1935099999999998</v>
      </c>
      <c r="BO154">
        <v>2.1394500000000001</v>
      </c>
      <c r="BP154">
        <v>2.1862599999999999</v>
      </c>
      <c r="BQ154">
        <v>2.1862699999999999</v>
      </c>
      <c r="BR154">
        <v>2.1885300000000001</v>
      </c>
      <c r="BS154">
        <v>2.1885400000000002</v>
      </c>
      <c r="BT154">
        <v>2.1885500000000002</v>
      </c>
      <c r="BW154">
        <v>2.1785700000000001</v>
      </c>
      <c r="BX154">
        <v>2.1785800000000002</v>
      </c>
      <c r="BY154">
        <v>2.1696599999999999</v>
      </c>
      <c r="BZ154">
        <v>2.1627700000000001</v>
      </c>
      <c r="CA154">
        <v>2.1627700000000001</v>
      </c>
      <c r="CB154">
        <v>2.1627800000000001</v>
      </c>
      <c r="CC154">
        <v>2.16303</v>
      </c>
      <c r="CD154">
        <v>2.1630400000000001</v>
      </c>
      <c r="CE154">
        <v>2.16269</v>
      </c>
      <c r="CF154">
        <v>2.1627000000000001</v>
      </c>
      <c r="CG154">
        <v>2.15639</v>
      </c>
      <c r="CH154">
        <v>2.15639</v>
      </c>
      <c r="CI154">
        <v>2.1578200000000001</v>
      </c>
      <c r="CJ154">
        <v>2.1578300000000001</v>
      </c>
      <c r="CK154">
        <v>2.1578300000000001</v>
      </c>
      <c r="CL154">
        <v>2.1578400000000002</v>
      </c>
      <c r="CM154">
        <v>2.1578400000000002</v>
      </c>
      <c r="CN154">
        <v>2.1662699999999999</v>
      </c>
      <c r="CO154">
        <v>2.1725400000000001</v>
      </c>
      <c r="CP154">
        <v>2.1578599999999999</v>
      </c>
      <c r="CQ154">
        <v>2.16255</v>
      </c>
      <c r="CS154">
        <v>2.1528700000000001</v>
      </c>
      <c r="CT154">
        <v>2.1535099999999998</v>
      </c>
      <c r="CU154">
        <v>2.1535099999999998</v>
      </c>
      <c r="CV154">
        <v>2.1535199999999999</v>
      </c>
      <c r="CW154">
        <v>2.1425800000000002</v>
      </c>
      <c r="CX154">
        <v>2.1425900000000002</v>
      </c>
      <c r="CY154">
        <v>2.1425900000000002</v>
      </c>
      <c r="CZ154">
        <v>2.1375899999999999</v>
      </c>
      <c r="DA154">
        <v>2.1326000000000001</v>
      </c>
      <c r="DB154">
        <v>2.1326100000000001</v>
      </c>
      <c r="DC154">
        <v>2.0213700000000001</v>
      </c>
    </row>
    <row r="155" spans="1:107" x14ac:dyDescent="0.25">
      <c r="A155">
        <f t="shared" si="2"/>
        <v>4</v>
      </c>
      <c r="B155" s="2">
        <v>42228</v>
      </c>
      <c r="F155">
        <v>0.32500000000000001</v>
      </c>
      <c r="G155">
        <v>0.4768</v>
      </c>
      <c r="H155">
        <v>0.45546999999999999</v>
      </c>
      <c r="I155">
        <v>0.55342000000000002</v>
      </c>
      <c r="J155">
        <v>0.45337</v>
      </c>
      <c r="K155">
        <v>0.47234999999999999</v>
      </c>
      <c r="L155">
        <v>0.47460000000000002</v>
      </c>
      <c r="M155">
        <v>0.50138000000000005</v>
      </c>
      <c r="N155">
        <v>0.44008999999999998</v>
      </c>
      <c r="O155">
        <v>0.57952000000000004</v>
      </c>
      <c r="P155">
        <v>0.56423999999999996</v>
      </c>
      <c r="Q155">
        <v>0.45190000000000002</v>
      </c>
      <c r="R155">
        <v>0.50851000000000002</v>
      </c>
      <c r="S155">
        <v>0.58269000000000004</v>
      </c>
      <c r="T155">
        <v>0.61370999999999998</v>
      </c>
      <c r="U155">
        <v>0.50522999999999996</v>
      </c>
      <c r="V155">
        <v>0.54923</v>
      </c>
      <c r="W155">
        <v>0.59143999999999997</v>
      </c>
      <c r="X155">
        <v>0.65381999999999996</v>
      </c>
      <c r="Y155">
        <v>0.69806999999999997</v>
      </c>
      <c r="Z155">
        <v>0.62953000000000003</v>
      </c>
      <c r="AA155">
        <v>0.69281000000000004</v>
      </c>
      <c r="AB155">
        <v>0.71652000000000005</v>
      </c>
      <c r="AC155">
        <v>0.76373000000000002</v>
      </c>
      <c r="AD155">
        <v>0.76726000000000005</v>
      </c>
      <c r="AE155">
        <v>0.65342</v>
      </c>
      <c r="AF155">
        <v>0.82469000000000003</v>
      </c>
      <c r="AG155">
        <v>0.87824000000000002</v>
      </c>
      <c r="AH155">
        <v>1.0084900000000001</v>
      </c>
      <c r="AI155">
        <v>1.00501</v>
      </c>
      <c r="AJ155">
        <v>1.0250600000000001</v>
      </c>
      <c r="AK155">
        <v>0.85475000000000001</v>
      </c>
      <c r="AL155">
        <v>1.1100699999999999</v>
      </c>
      <c r="AM155">
        <v>1.20418</v>
      </c>
      <c r="AN155">
        <v>1.0324599999999999</v>
      </c>
      <c r="AO155">
        <v>1.26919</v>
      </c>
      <c r="AP155">
        <v>1.35961</v>
      </c>
      <c r="AQ155">
        <v>1.18696</v>
      </c>
      <c r="AR155">
        <v>1.4130499999999999</v>
      </c>
      <c r="AS155">
        <v>1.46376</v>
      </c>
      <c r="AT155">
        <v>1.5085900000000001</v>
      </c>
      <c r="AU155">
        <v>1.4785200000000001</v>
      </c>
      <c r="AV155">
        <v>1.4193899999999999</v>
      </c>
      <c r="AW155">
        <v>1.97092</v>
      </c>
      <c r="AX155">
        <v>1.9681599999999999</v>
      </c>
      <c r="AY155">
        <v>2.0065400000000002</v>
      </c>
      <c r="AZ155">
        <v>2.0254500000000002</v>
      </c>
      <c r="BA155">
        <v>2.0564100000000001</v>
      </c>
      <c r="BB155">
        <v>2.1144799999999999</v>
      </c>
      <c r="BC155">
        <v>2.1327199999999999</v>
      </c>
      <c r="BD155">
        <v>2.1755800000000001</v>
      </c>
      <c r="BE155">
        <v>2.0819200000000002</v>
      </c>
      <c r="BF155">
        <v>2.2401900000000001</v>
      </c>
      <c r="BG155">
        <v>2.22438</v>
      </c>
      <c r="BH155">
        <v>2.2148300000000001</v>
      </c>
      <c r="BI155">
        <v>2.2117599999999999</v>
      </c>
      <c r="BJ155">
        <v>2.21035</v>
      </c>
      <c r="BK155">
        <v>2.2053699999999998</v>
      </c>
      <c r="BL155">
        <v>2.19916</v>
      </c>
      <c r="BM155">
        <v>2.1995100000000001</v>
      </c>
      <c r="BN155">
        <v>2.1962000000000002</v>
      </c>
      <c r="BO155">
        <v>2.14066</v>
      </c>
      <c r="BP155">
        <v>2.18954</v>
      </c>
      <c r="BQ155">
        <v>2.1895600000000002</v>
      </c>
      <c r="BR155">
        <v>2.1808399999999999</v>
      </c>
      <c r="BS155">
        <v>2.18086</v>
      </c>
      <c r="BT155">
        <v>2.1909999999999998</v>
      </c>
      <c r="BW155">
        <v>2.1709000000000001</v>
      </c>
      <c r="BX155">
        <v>2.1810399999999999</v>
      </c>
      <c r="BY155">
        <v>2.173</v>
      </c>
      <c r="BZ155">
        <v>2.1696800000000001</v>
      </c>
      <c r="CA155">
        <v>2.1659600000000001</v>
      </c>
      <c r="CB155">
        <v>2.1659700000000002</v>
      </c>
      <c r="CC155">
        <v>2.1663800000000002</v>
      </c>
      <c r="CD155">
        <v>2.1663899999999998</v>
      </c>
      <c r="CE155">
        <v>2.1670699999999998</v>
      </c>
      <c r="CF155">
        <v>2.1670799999999999</v>
      </c>
      <c r="CG155">
        <v>2.1597599999999999</v>
      </c>
      <c r="CH155">
        <v>2.1641599999999999</v>
      </c>
      <c r="CI155">
        <v>2.1634500000000001</v>
      </c>
      <c r="CJ155">
        <v>2.1634600000000002</v>
      </c>
      <c r="CK155">
        <v>2.1511999999999998</v>
      </c>
      <c r="CL155">
        <v>2.1512099999999998</v>
      </c>
      <c r="CM155">
        <v>2.1512099999999998</v>
      </c>
      <c r="CN155">
        <v>2.1684700000000001</v>
      </c>
      <c r="CO155">
        <v>2.17517</v>
      </c>
      <c r="CP155">
        <v>2.1610999999999998</v>
      </c>
      <c r="CQ155">
        <v>2.1651799999999999</v>
      </c>
      <c r="CS155">
        <v>2.1561300000000001</v>
      </c>
      <c r="CT155">
        <v>2.1542599999999998</v>
      </c>
      <c r="CU155">
        <v>2.1542699999999999</v>
      </c>
      <c r="CV155">
        <v>2.1561499999999998</v>
      </c>
      <c r="CW155">
        <v>2.1452200000000001</v>
      </c>
      <c r="CX155">
        <v>2.1452200000000001</v>
      </c>
      <c r="CY155">
        <v>2.1452300000000002</v>
      </c>
      <c r="CZ155">
        <v>2.15117</v>
      </c>
      <c r="DA155">
        <v>2.13524</v>
      </c>
      <c r="DB155">
        <v>2.13524</v>
      </c>
      <c r="DC155">
        <v>2.02359</v>
      </c>
    </row>
    <row r="156" spans="1:107" x14ac:dyDescent="0.25">
      <c r="A156">
        <f t="shared" si="2"/>
        <v>5</v>
      </c>
      <c r="B156" s="2">
        <v>42229</v>
      </c>
      <c r="F156">
        <v>0.31920999999999999</v>
      </c>
      <c r="G156">
        <v>0.46477000000000002</v>
      </c>
      <c r="H156">
        <v>0.45183000000000001</v>
      </c>
      <c r="I156">
        <v>0.54661000000000004</v>
      </c>
      <c r="J156">
        <v>0.45330999999999999</v>
      </c>
      <c r="K156">
        <v>0.46829999999999999</v>
      </c>
      <c r="L156">
        <v>0.46958</v>
      </c>
      <c r="M156">
        <v>0.49247999999999997</v>
      </c>
      <c r="N156">
        <v>0.43059999999999998</v>
      </c>
      <c r="O156">
        <v>0.57611999999999997</v>
      </c>
      <c r="P156">
        <v>0.56254000000000004</v>
      </c>
      <c r="Q156">
        <v>0.44492999999999999</v>
      </c>
      <c r="R156">
        <v>0.51097999999999999</v>
      </c>
      <c r="S156">
        <v>0.57894000000000001</v>
      </c>
      <c r="T156">
        <v>0.61031999999999997</v>
      </c>
      <c r="U156">
        <v>0.52539999999999998</v>
      </c>
      <c r="V156">
        <v>0.55105000000000004</v>
      </c>
      <c r="W156">
        <v>0.58848999999999996</v>
      </c>
      <c r="X156">
        <v>0.65622000000000003</v>
      </c>
      <c r="Y156">
        <v>0.70121999999999995</v>
      </c>
      <c r="Z156">
        <v>0.63088</v>
      </c>
      <c r="AA156">
        <v>0.67671999999999999</v>
      </c>
      <c r="AB156">
        <v>0.71472000000000002</v>
      </c>
      <c r="AC156">
        <v>0.75714999999999999</v>
      </c>
      <c r="AD156">
        <v>0.76927999999999996</v>
      </c>
      <c r="AE156">
        <v>0.66725000000000001</v>
      </c>
      <c r="AF156">
        <v>0.82603000000000004</v>
      </c>
      <c r="AG156">
        <v>0.88914000000000004</v>
      </c>
      <c r="AH156">
        <v>0.98807</v>
      </c>
      <c r="AI156">
        <v>1.0091399999999999</v>
      </c>
      <c r="AJ156">
        <v>1.02183</v>
      </c>
      <c r="AK156">
        <v>0.85255999999999998</v>
      </c>
      <c r="AL156">
        <v>1.1169500000000001</v>
      </c>
      <c r="AM156">
        <v>1.20828</v>
      </c>
      <c r="AN156">
        <v>1.0387500000000001</v>
      </c>
      <c r="AO156">
        <v>1.2669299999999999</v>
      </c>
      <c r="AP156">
        <v>1.3658699999999999</v>
      </c>
      <c r="AQ156">
        <v>1.19675</v>
      </c>
      <c r="AR156">
        <v>1.4186799999999999</v>
      </c>
      <c r="AS156">
        <v>1.4669399999999999</v>
      </c>
      <c r="AT156">
        <v>1.5223500000000001</v>
      </c>
      <c r="AU156">
        <v>1.48075</v>
      </c>
      <c r="AV156">
        <v>1.4220299999999999</v>
      </c>
      <c r="AW156">
        <v>1.98176</v>
      </c>
      <c r="AX156">
        <v>1.9696800000000001</v>
      </c>
      <c r="AY156">
        <v>2.0099499999999999</v>
      </c>
      <c r="AZ156">
        <v>2.0282200000000001</v>
      </c>
      <c r="BA156">
        <v>2.0600900000000002</v>
      </c>
      <c r="BB156">
        <v>2.1247500000000001</v>
      </c>
      <c r="BC156">
        <v>2.14751</v>
      </c>
      <c r="BD156">
        <v>2.17794</v>
      </c>
      <c r="BE156">
        <v>2.0906199999999999</v>
      </c>
      <c r="BF156">
        <v>2.2393399999999999</v>
      </c>
      <c r="BG156">
        <v>2.2293799999999999</v>
      </c>
      <c r="BH156">
        <v>2.2263999999999999</v>
      </c>
      <c r="BI156">
        <v>2.22098</v>
      </c>
      <c r="BJ156">
        <v>2.2160000000000002</v>
      </c>
      <c r="BK156">
        <v>2.21102</v>
      </c>
      <c r="BL156">
        <v>2.2022499999999998</v>
      </c>
      <c r="BM156">
        <v>2.2044999999999999</v>
      </c>
      <c r="BN156">
        <v>2.1997</v>
      </c>
      <c r="BO156">
        <v>2.14663</v>
      </c>
      <c r="BP156">
        <v>2.1922999999999999</v>
      </c>
      <c r="BQ156">
        <v>2.19232</v>
      </c>
      <c r="BR156">
        <v>2.1966299999999999</v>
      </c>
      <c r="BS156">
        <v>2.1966399999999999</v>
      </c>
      <c r="BT156">
        <v>2.1966600000000001</v>
      </c>
      <c r="BW156">
        <v>2.18669</v>
      </c>
      <c r="BX156">
        <v>2.1867000000000001</v>
      </c>
      <c r="BY156">
        <v>2.1817199999999999</v>
      </c>
      <c r="BZ156">
        <v>2.1724399999999999</v>
      </c>
      <c r="CA156">
        <v>2.17245</v>
      </c>
      <c r="CB156">
        <v>2.1724600000000001</v>
      </c>
      <c r="CC156">
        <v>2.1698900000000001</v>
      </c>
      <c r="CD156">
        <v>2.1699000000000002</v>
      </c>
      <c r="CE156">
        <v>2.1680700000000002</v>
      </c>
      <c r="CF156">
        <v>2.1680799999999998</v>
      </c>
      <c r="CG156">
        <v>2.1647500000000002</v>
      </c>
      <c r="CH156">
        <v>2.1675200000000001</v>
      </c>
      <c r="CI156">
        <v>2.1675300000000002</v>
      </c>
      <c r="CJ156">
        <v>2.1675399999999998</v>
      </c>
      <c r="CK156">
        <v>2.1675499999999999</v>
      </c>
      <c r="CL156">
        <v>2.1675599999999999</v>
      </c>
      <c r="CM156">
        <v>2.16757</v>
      </c>
      <c r="CN156">
        <v>2.1831900000000002</v>
      </c>
      <c r="CO156">
        <v>2.1831999999999998</v>
      </c>
      <c r="CP156">
        <v>2.1675900000000001</v>
      </c>
      <c r="CQ156">
        <v>2.1732200000000002</v>
      </c>
      <c r="CS156">
        <v>2.16262</v>
      </c>
      <c r="CT156">
        <v>2.16513</v>
      </c>
      <c r="CU156">
        <v>2.16513</v>
      </c>
      <c r="CV156">
        <v>2.1651400000000001</v>
      </c>
      <c r="CW156">
        <v>2.15327</v>
      </c>
      <c r="CX156">
        <v>2.1532800000000001</v>
      </c>
      <c r="CY156">
        <v>2.1532800000000001</v>
      </c>
      <c r="CZ156">
        <v>2.1482899999999998</v>
      </c>
      <c r="DA156">
        <v>2.1433</v>
      </c>
      <c r="DB156">
        <v>2.14331</v>
      </c>
      <c r="DC156">
        <v>2.0320900000000002</v>
      </c>
    </row>
    <row r="157" spans="1:107" x14ac:dyDescent="0.25">
      <c r="A157">
        <f t="shared" si="2"/>
        <v>6</v>
      </c>
      <c r="B157" s="2">
        <v>42230</v>
      </c>
      <c r="F157">
        <v>0.31278</v>
      </c>
      <c r="G157">
        <v>0.46914</v>
      </c>
      <c r="H157">
        <v>0.44957000000000003</v>
      </c>
      <c r="I157">
        <v>0.53659000000000001</v>
      </c>
      <c r="J157">
        <v>0.45324999999999999</v>
      </c>
      <c r="K157">
        <v>0.46625</v>
      </c>
      <c r="L157">
        <v>0.46847</v>
      </c>
      <c r="M157">
        <v>0.48852000000000001</v>
      </c>
      <c r="N157">
        <v>0.42677999999999999</v>
      </c>
      <c r="O157">
        <v>0.57281000000000004</v>
      </c>
      <c r="P157">
        <v>0.55857000000000001</v>
      </c>
      <c r="Q157">
        <v>0.44144</v>
      </c>
      <c r="R157">
        <v>0.49774000000000002</v>
      </c>
      <c r="S157">
        <v>0.57369000000000003</v>
      </c>
      <c r="T157">
        <v>0.60524999999999995</v>
      </c>
      <c r="U157">
        <v>0.52603999999999995</v>
      </c>
      <c r="V157">
        <v>0.55278000000000005</v>
      </c>
      <c r="W157">
        <v>0.59153</v>
      </c>
      <c r="X157">
        <v>0.65800999999999998</v>
      </c>
      <c r="Y157">
        <v>0.69372999999999996</v>
      </c>
      <c r="Z157">
        <v>0.62785999999999997</v>
      </c>
      <c r="AA157">
        <v>0.67518999999999996</v>
      </c>
      <c r="AB157">
        <v>0.71314999999999995</v>
      </c>
      <c r="AC157">
        <v>0.75399000000000005</v>
      </c>
      <c r="AD157">
        <v>0.76926000000000005</v>
      </c>
      <c r="AE157">
        <v>0.66688999999999998</v>
      </c>
      <c r="AF157">
        <v>0.82601000000000002</v>
      </c>
      <c r="AG157">
        <v>0.88697000000000004</v>
      </c>
      <c r="AH157">
        <v>1.0012700000000001</v>
      </c>
      <c r="AI157">
        <v>1.01536</v>
      </c>
      <c r="AJ157">
        <v>1.0207999999999999</v>
      </c>
      <c r="AK157">
        <v>0.85102999999999995</v>
      </c>
      <c r="AL157">
        <v>1.1150800000000001</v>
      </c>
      <c r="AM157">
        <v>1.19895</v>
      </c>
      <c r="AN157">
        <v>1.0304500000000001</v>
      </c>
      <c r="AO157">
        <v>1.2614399999999999</v>
      </c>
      <c r="AP157">
        <v>1.3587199999999999</v>
      </c>
      <c r="AQ157">
        <v>1.1887799999999999</v>
      </c>
      <c r="AR157">
        <v>1.41221</v>
      </c>
      <c r="AS157">
        <v>1.4611000000000001</v>
      </c>
      <c r="AT157">
        <v>1.5164</v>
      </c>
      <c r="AU157">
        <v>1.4742</v>
      </c>
      <c r="AV157">
        <v>1.4191400000000001</v>
      </c>
      <c r="AW157">
        <v>1.97106</v>
      </c>
      <c r="AX157">
        <v>1.96129</v>
      </c>
      <c r="AY157">
        <v>1.9955400000000001</v>
      </c>
      <c r="AZ157">
        <v>2.0182699999999998</v>
      </c>
      <c r="BA157">
        <v>2.0407999999999999</v>
      </c>
      <c r="BB157">
        <v>2.1133600000000001</v>
      </c>
      <c r="BC157">
        <v>2.1366000000000001</v>
      </c>
      <c r="BD157">
        <v>2.1715900000000001</v>
      </c>
      <c r="BE157">
        <v>2.0801599999999998</v>
      </c>
      <c r="BF157">
        <v>2.2333699999999999</v>
      </c>
      <c r="BG157">
        <v>2.2182400000000002</v>
      </c>
      <c r="BH157">
        <v>2.2136499999999999</v>
      </c>
      <c r="BI157">
        <v>2.2094399999999998</v>
      </c>
      <c r="BJ157">
        <v>2.2044600000000001</v>
      </c>
      <c r="BK157">
        <v>2.1994899999999999</v>
      </c>
      <c r="BL157">
        <v>2.1890499999999999</v>
      </c>
      <c r="BM157">
        <v>2.1930299999999998</v>
      </c>
      <c r="BN157">
        <v>2.1890800000000001</v>
      </c>
      <c r="BO157">
        <v>2.1377999999999999</v>
      </c>
      <c r="BP157">
        <v>2.1791</v>
      </c>
      <c r="BQ157">
        <v>2.1791200000000002</v>
      </c>
      <c r="BR157">
        <v>2.1741299999999999</v>
      </c>
      <c r="BS157">
        <v>2.17415</v>
      </c>
      <c r="BT157">
        <v>2.1851099999999999</v>
      </c>
      <c r="BW157">
        <v>2.1641900000000001</v>
      </c>
      <c r="BX157">
        <v>2.1642000000000001</v>
      </c>
      <c r="BY157">
        <v>2.1701800000000002</v>
      </c>
      <c r="BZ157">
        <v>2.15923</v>
      </c>
      <c r="CA157">
        <v>2.1592500000000001</v>
      </c>
      <c r="CB157">
        <v>2.1592600000000002</v>
      </c>
      <c r="CC157">
        <v>2.1592699999999998</v>
      </c>
      <c r="CD157">
        <v>2.1592799999999999</v>
      </c>
      <c r="CE157">
        <v>2.16025</v>
      </c>
      <c r="CF157">
        <v>2.1602600000000001</v>
      </c>
      <c r="CG157">
        <v>2.1502699999999999</v>
      </c>
      <c r="CH157">
        <v>2.1532900000000001</v>
      </c>
      <c r="CI157">
        <v>2.1543299999999999</v>
      </c>
      <c r="CJ157">
        <v>2.1543399999999999</v>
      </c>
      <c r="CK157">
        <v>2.1453099999999998</v>
      </c>
      <c r="CL157">
        <v>2.1453199999999999</v>
      </c>
      <c r="CM157">
        <v>2.14533</v>
      </c>
      <c r="CN157">
        <v>2.1593499999999999</v>
      </c>
      <c r="CO157">
        <v>2.1593599999999999</v>
      </c>
      <c r="CP157">
        <v>2.1543899999999998</v>
      </c>
      <c r="CQ157">
        <v>2.16283</v>
      </c>
      <c r="CS157">
        <v>2.1494200000000001</v>
      </c>
      <c r="CT157">
        <v>2.1494200000000001</v>
      </c>
      <c r="CU157">
        <v>2.1494300000000002</v>
      </c>
      <c r="CV157">
        <v>2.1494399999999998</v>
      </c>
      <c r="CW157">
        <v>2.1478799999999998</v>
      </c>
      <c r="CX157">
        <v>2.1478899999999999</v>
      </c>
      <c r="CY157">
        <v>2.1478899999999999</v>
      </c>
      <c r="CZ157">
        <v>2.1379000000000001</v>
      </c>
      <c r="DA157">
        <v>2.1329099999999999</v>
      </c>
      <c r="DB157">
        <v>2.1329099999999999</v>
      </c>
      <c r="DC157">
        <v>2.0229499999999998</v>
      </c>
    </row>
    <row r="158" spans="1:107" x14ac:dyDescent="0.25">
      <c r="A158">
        <f t="shared" si="2"/>
        <v>2</v>
      </c>
      <c r="B158" s="2">
        <v>42233</v>
      </c>
      <c r="F158">
        <v>0.34781000000000001</v>
      </c>
      <c r="G158">
        <v>0.50712000000000002</v>
      </c>
      <c r="H158">
        <v>0.45538000000000001</v>
      </c>
      <c r="I158">
        <v>0.53878000000000004</v>
      </c>
      <c r="J158">
        <v>0.45784000000000002</v>
      </c>
      <c r="K158">
        <v>0.48937999999999998</v>
      </c>
      <c r="L158">
        <v>0.47072000000000003</v>
      </c>
      <c r="M158">
        <v>0.48809999999999998</v>
      </c>
      <c r="N158">
        <v>0.42669000000000001</v>
      </c>
      <c r="O158">
        <v>0.57540000000000002</v>
      </c>
      <c r="P158">
        <v>0.55950999999999995</v>
      </c>
      <c r="Q158">
        <v>0.44120999999999999</v>
      </c>
      <c r="R158">
        <v>0.49763000000000002</v>
      </c>
      <c r="S158">
        <v>0.57386000000000004</v>
      </c>
      <c r="T158">
        <v>0.60477000000000003</v>
      </c>
      <c r="U158">
        <v>0.52098999999999995</v>
      </c>
      <c r="V158">
        <v>0.54774</v>
      </c>
      <c r="W158">
        <v>0.58804999999999996</v>
      </c>
      <c r="X158">
        <v>0.65410999999999997</v>
      </c>
      <c r="Y158">
        <v>0.68291000000000002</v>
      </c>
      <c r="Z158">
        <v>0.61650000000000005</v>
      </c>
      <c r="AA158">
        <v>0.66352999999999995</v>
      </c>
      <c r="AB158">
        <v>0.70147999999999999</v>
      </c>
      <c r="AC158">
        <v>0.73934999999999995</v>
      </c>
      <c r="AD158">
        <v>0.751</v>
      </c>
      <c r="AE158">
        <v>0.63717999999999997</v>
      </c>
      <c r="AF158">
        <v>0.80750999999999995</v>
      </c>
      <c r="AG158">
        <v>0.86828000000000005</v>
      </c>
      <c r="AH158">
        <v>0.96974000000000005</v>
      </c>
      <c r="AI158">
        <v>0.9869</v>
      </c>
      <c r="AJ158">
        <v>1.00312</v>
      </c>
      <c r="AK158">
        <v>0.83165</v>
      </c>
      <c r="AL158">
        <v>1.10188</v>
      </c>
      <c r="AM158">
        <v>1.1809799999999999</v>
      </c>
      <c r="AN158">
        <v>1.0097799999999999</v>
      </c>
      <c r="AO158">
        <v>1.24794</v>
      </c>
      <c r="AP158">
        <v>1.34161</v>
      </c>
      <c r="AQ158">
        <v>1.1691800000000001</v>
      </c>
      <c r="AR158">
        <v>1.3943399999999999</v>
      </c>
      <c r="AS158">
        <v>1.4443699999999999</v>
      </c>
      <c r="AT158">
        <v>1.49583</v>
      </c>
      <c r="AU158">
        <v>1.45669</v>
      </c>
      <c r="AV158">
        <v>1.39977</v>
      </c>
      <c r="AW158">
        <v>1.95269</v>
      </c>
      <c r="AX158">
        <v>1.94448</v>
      </c>
      <c r="AY158">
        <v>1.9832000000000001</v>
      </c>
      <c r="AZ158">
        <v>2.0027300000000001</v>
      </c>
      <c r="BA158">
        <v>2.0252400000000002</v>
      </c>
      <c r="BB158">
        <v>2.1013099999999998</v>
      </c>
      <c r="BC158">
        <v>2.1244999999999998</v>
      </c>
      <c r="BD158">
        <v>2.1582699999999999</v>
      </c>
      <c r="BE158">
        <v>2.07321</v>
      </c>
      <c r="BF158">
        <v>2.2279900000000001</v>
      </c>
      <c r="BG158">
        <v>2.2132000000000001</v>
      </c>
      <c r="BH158">
        <v>2.2047599999999998</v>
      </c>
      <c r="BI158">
        <v>2.2049699999999999</v>
      </c>
      <c r="BJ158">
        <v>2.19998</v>
      </c>
      <c r="BK158">
        <v>2.1949999999999998</v>
      </c>
      <c r="BL158">
        <v>2.1879300000000002</v>
      </c>
      <c r="BM158">
        <v>2.1882700000000002</v>
      </c>
      <c r="BN158">
        <v>2.18553</v>
      </c>
      <c r="BO158">
        <v>2.1297600000000001</v>
      </c>
      <c r="BP158">
        <v>2.1782900000000001</v>
      </c>
      <c r="BQ158">
        <v>2.1783000000000001</v>
      </c>
      <c r="BR158">
        <v>2.1805599999999998</v>
      </c>
      <c r="BS158">
        <v>2.1805699999999999</v>
      </c>
      <c r="BT158">
        <v>2.1805699999999999</v>
      </c>
      <c r="BW158">
        <v>2.1705899999999998</v>
      </c>
      <c r="BX158">
        <v>2.1705999999999999</v>
      </c>
      <c r="BY158">
        <v>2.1617000000000002</v>
      </c>
      <c r="BZ158">
        <v>2.15482</v>
      </c>
      <c r="CA158">
        <v>2.15482</v>
      </c>
      <c r="CB158">
        <v>2.15483</v>
      </c>
      <c r="CC158">
        <v>2.1550600000000002</v>
      </c>
      <c r="CD158">
        <v>2.1550699999999998</v>
      </c>
      <c r="CE158">
        <v>2.1547200000000002</v>
      </c>
      <c r="CF158">
        <v>2.1547299999999998</v>
      </c>
      <c r="CG158">
        <v>2.1484200000000002</v>
      </c>
      <c r="CH158">
        <v>2.1484299999999998</v>
      </c>
      <c r="CI158">
        <v>2.1498699999999999</v>
      </c>
      <c r="CJ158">
        <v>2.14988</v>
      </c>
      <c r="CK158">
        <v>2.14988</v>
      </c>
      <c r="CL158">
        <v>2.1498900000000001</v>
      </c>
      <c r="CM158">
        <v>2.1498900000000001</v>
      </c>
      <c r="CN158">
        <v>2.1583199999999998</v>
      </c>
      <c r="CO158">
        <v>2.1646000000000001</v>
      </c>
      <c r="CP158">
        <v>2.1499100000000002</v>
      </c>
      <c r="CQ158">
        <v>2.1546099999999999</v>
      </c>
      <c r="CS158">
        <v>2.1449199999999999</v>
      </c>
      <c r="CT158">
        <v>2.1455600000000001</v>
      </c>
      <c r="CU158">
        <v>2.1455600000000001</v>
      </c>
      <c r="CV158">
        <v>2.1455700000000002</v>
      </c>
      <c r="CW158">
        <v>2.1346400000000001</v>
      </c>
      <c r="CX158">
        <v>2.1346400000000001</v>
      </c>
      <c r="CY158">
        <v>2.1346500000000002</v>
      </c>
      <c r="CZ158">
        <v>2.1296499999999998</v>
      </c>
      <c r="DA158">
        <v>2.12466</v>
      </c>
      <c r="DB158">
        <v>2.12466</v>
      </c>
      <c r="DC158">
        <v>2.01342</v>
      </c>
    </row>
    <row r="159" spans="1:107" x14ac:dyDescent="0.25">
      <c r="A159">
        <f t="shared" si="2"/>
        <v>3</v>
      </c>
      <c r="B159" s="2">
        <v>42234</v>
      </c>
      <c r="F159">
        <v>0.34150999999999998</v>
      </c>
      <c r="G159">
        <v>0.51361999999999997</v>
      </c>
      <c r="H159">
        <v>0.45921000000000001</v>
      </c>
      <c r="I159">
        <v>0.55422000000000005</v>
      </c>
      <c r="J159">
        <v>0.45780999999999999</v>
      </c>
      <c r="K159">
        <v>0.47352</v>
      </c>
      <c r="L159">
        <v>0.47308</v>
      </c>
      <c r="M159">
        <v>0.49503999999999998</v>
      </c>
      <c r="N159">
        <v>0.43592999999999998</v>
      </c>
      <c r="O159">
        <v>0.57737000000000005</v>
      </c>
      <c r="P159">
        <v>0.56269000000000002</v>
      </c>
      <c r="Q159">
        <v>0.45158999999999999</v>
      </c>
      <c r="R159">
        <v>0.50775000000000003</v>
      </c>
      <c r="S159">
        <v>0.58396999999999999</v>
      </c>
      <c r="T159">
        <v>0.61517999999999995</v>
      </c>
      <c r="U159">
        <v>0.53090999999999999</v>
      </c>
      <c r="V159">
        <v>0.55203999999999998</v>
      </c>
      <c r="W159">
        <v>0.59733000000000003</v>
      </c>
      <c r="X159">
        <v>0.66424000000000005</v>
      </c>
      <c r="Y159">
        <v>0.69808000000000003</v>
      </c>
      <c r="Z159">
        <v>0.63027999999999995</v>
      </c>
      <c r="AA159">
        <v>0.69238999999999995</v>
      </c>
      <c r="AB159">
        <v>0.71640999999999999</v>
      </c>
      <c r="AC159">
        <v>0.76490999999999998</v>
      </c>
      <c r="AD159">
        <v>0.76863000000000004</v>
      </c>
      <c r="AE159">
        <v>0.65442</v>
      </c>
      <c r="AF159">
        <v>0.82623000000000002</v>
      </c>
      <c r="AG159">
        <v>0.87863000000000002</v>
      </c>
      <c r="AH159">
        <v>1.0012300000000001</v>
      </c>
      <c r="AI159">
        <v>1.0048600000000001</v>
      </c>
      <c r="AJ159">
        <v>1.0212600000000001</v>
      </c>
      <c r="AK159">
        <v>0.84779000000000004</v>
      </c>
      <c r="AL159">
        <v>1.1131800000000001</v>
      </c>
      <c r="AM159">
        <v>1.20221</v>
      </c>
      <c r="AN159">
        <v>1.0323899999999999</v>
      </c>
      <c r="AO159">
        <v>1.2650999999999999</v>
      </c>
      <c r="AP159">
        <v>1.3647400000000001</v>
      </c>
      <c r="AQ159">
        <v>1.19398</v>
      </c>
      <c r="AR159">
        <v>1.4178999999999999</v>
      </c>
      <c r="AS159">
        <v>1.47017</v>
      </c>
      <c r="AT159">
        <v>1.5279700000000001</v>
      </c>
      <c r="AU159">
        <v>1.4814799999999999</v>
      </c>
      <c r="AV159">
        <v>1.4256200000000001</v>
      </c>
      <c r="AW159">
        <v>1.9782999999999999</v>
      </c>
      <c r="AX159">
        <v>1.96946</v>
      </c>
      <c r="AY159">
        <v>2.0079799999999999</v>
      </c>
      <c r="AZ159">
        <v>2.0269499999999998</v>
      </c>
      <c r="BA159">
        <v>2.0583499999999999</v>
      </c>
      <c r="BB159">
        <v>2.1241500000000002</v>
      </c>
      <c r="BC159">
        <v>2.14785</v>
      </c>
      <c r="BD159">
        <v>2.1823199999999998</v>
      </c>
      <c r="BE159">
        <v>2.0945999999999998</v>
      </c>
      <c r="BF159">
        <v>2.2496999999999998</v>
      </c>
      <c r="BG159">
        <v>2.2338900000000002</v>
      </c>
      <c r="BH159">
        <v>2.22655</v>
      </c>
      <c r="BI159">
        <v>2.2248100000000002</v>
      </c>
      <c r="BJ159">
        <v>2.2092299999999998</v>
      </c>
      <c r="BK159">
        <v>2.2148300000000001</v>
      </c>
      <c r="BL159">
        <v>2.2052499999999999</v>
      </c>
      <c r="BM159">
        <v>2.2092999999999998</v>
      </c>
      <c r="BN159">
        <v>2.2068099999999999</v>
      </c>
      <c r="BO159">
        <v>2.15333</v>
      </c>
      <c r="BP159">
        <v>2.19529</v>
      </c>
      <c r="BQ159">
        <v>2.1953</v>
      </c>
      <c r="BR159">
        <v>2.1903000000000001</v>
      </c>
      <c r="BS159">
        <v>2.1903100000000002</v>
      </c>
      <c r="BT159">
        <v>2.2009099999999999</v>
      </c>
      <c r="BW159">
        <v>2.1803400000000002</v>
      </c>
      <c r="BX159">
        <v>2.1909299999999998</v>
      </c>
      <c r="BY159">
        <v>2.1859500000000001</v>
      </c>
      <c r="BZ159">
        <v>2.17537</v>
      </c>
      <c r="CA159">
        <v>2.17537</v>
      </c>
      <c r="CB159">
        <v>2.1753800000000001</v>
      </c>
      <c r="CC159">
        <v>2.17692</v>
      </c>
      <c r="CD159">
        <v>2.17693</v>
      </c>
      <c r="CE159">
        <v>2.17693</v>
      </c>
      <c r="CF159">
        <v>2.1769400000000001</v>
      </c>
      <c r="CG159">
        <v>2.1694499999999999</v>
      </c>
      <c r="CH159">
        <v>2.1694599999999999</v>
      </c>
      <c r="CI159">
        <v>2.17042</v>
      </c>
      <c r="CJ159">
        <v>2.17042</v>
      </c>
      <c r="CK159">
        <v>2.1610299999999998</v>
      </c>
      <c r="CL159">
        <v>2.1610299999999998</v>
      </c>
      <c r="CM159">
        <v>2.1610399999999998</v>
      </c>
      <c r="CN159">
        <v>2.18011</v>
      </c>
      <c r="CO159">
        <v>2.1879499999999998</v>
      </c>
      <c r="CP159">
        <v>2.1704500000000002</v>
      </c>
      <c r="CQ159">
        <v>2.1779600000000001</v>
      </c>
      <c r="CS159">
        <v>2.1654800000000001</v>
      </c>
      <c r="CT159">
        <v>2.1654800000000001</v>
      </c>
      <c r="CU159">
        <v>2.1654800000000001</v>
      </c>
      <c r="CV159">
        <v>2.1654900000000001</v>
      </c>
      <c r="CW159">
        <v>2.1579899999999999</v>
      </c>
      <c r="CX159">
        <v>2.1579999999999999</v>
      </c>
      <c r="CY159">
        <v>2.1579999999999999</v>
      </c>
      <c r="CZ159">
        <v>2.153</v>
      </c>
      <c r="DA159">
        <v>2.1480100000000002</v>
      </c>
      <c r="DB159">
        <v>2.1480100000000002</v>
      </c>
      <c r="DC159">
        <v>2.03803</v>
      </c>
    </row>
    <row r="160" spans="1:107" x14ac:dyDescent="0.25">
      <c r="A160">
        <f t="shared" si="2"/>
        <v>4</v>
      </c>
      <c r="B160" s="2">
        <v>42235</v>
      </c>
      <c r="F160">
        <v>0.26639000000000002</v>
      </c>
      <c r="G160">
        <v>0.45628000000000002</v>
      </c>
      <c r="H160">
        <v>0.43519999999999998</v>
      </c>
      <c r="I160">
        <v>0.50904000000000005</v>
      </c>
      <c r="J160">
        <v>0.45295000000000002</v>
      </c>
      <c r="K160">
        <v>0.44961000000000001</v>
      </c>
      <c r="L160">
        <v>0.47314000000000001</v>
      </c>
      <c r="M160">
        <v>0.45389000000000002</v>
      </c>
      <c r="N160">
        <v>0.39215</v>
      </c>
      <c r="O160">
        <v>0.55266000000000004</v>
      </c>
      <c r="P160">
        <v>0.53613999999999995</v>
      </c>
      <c r="Q160">
        <v>0.40501999999999999</v>
      </c>
      <c r="R160">
        <v>0.47466000000000003</v>
      </c>
      <c r="S160">
        <v>0.53681999999999996</v>
      </c>
      <c r="T160">
        <v>0.56855999999999995</v>
      </c>
      <c r="U160">
        <v>0.48226000000000002</v>
      </c>
      <c r="V160">
        <v>0.50239</v>
      </c>
      <c r="W160">
        <v>0.55669000000000002</v>
      </c>
      <c r="X160">
        <v>0.61409000000000002</v>
      </c>
      <c r="Y160">
        <v>0.63005</v>
      </c>
      <c r="Z160">
        <v>0.56467999999999996</v>
      </c>
      <c r="AA160">
        <v>0.60941999999999996</v>
      </c>
      <c r="AB160">
        <v>0.64741000000000004</v>
      </c>
      <c r="AC160">
        <v>0.67803999999999998</v>
      </c>
      <c r="AD160">
        <v>0.68918999999999997</v>
      </c>
      <c r="AE160">
        <v>0.57443999999999995</v>
      </c>
      <c r="AF160">
        <v>0.74060999999999999</v>
      </c>
      <c r="AG160">
        <v>0.80554999999999999</v>
      </c>
      <c r="AH160">
        <v>0.90193000000000001</v>
      </c>
      <c r="AI160">
        <v>0.92225000000000001</v>
      </c>
      <c r="AJ160">
        <v>0.94679999999999997</v>
      </c>
      <c r="AK160">
        <v>0.76700000000000002</v>
      </c>
      <c r="AL160">
        <v>1.0367900000000001</v>
      </c>
      <c r="AM160">
        <v>1.1243000000000001</v>
      </c>
      <c r="AN160">
        <v>0.93981000000000003</v>
      </c>
      <c r="AO160">
        <v>1.1868300000000001</v>
      </c>
      <c r="AP160">
        <v>1.2843500000000001</v>
      </c>
      <c r="AQ160">
        <v>1.10825</v>
      </c>
      <c r="AR160">
        <v>1.3329800000000001</v>
      </c>
      <c r="AS160">
        <v>1.3816900000000001</v>
      </c>
      <c r="AT160">
        <v>1.43258</v>
      </c>
      <c r="AU160">
        <v>1.39723</v>
      </c>
      <c r="AV160">
        <v>1.343</v>
      </c>
      <c r="AW160">
        <v>1.8985399999999999</v>
      </c>
      <c r="AX160">
        <v>1.8901699999999999</v>
      </c>
      <c r="AY160">
        <v>1.92696</v>
      </c>
      <c r="AZ160">
        <v>1.95173</v>
      </c>
      <c r="BA160">
        <v>1.98309</v>
      </c>
      <c r="BB160">
        <v>2.0638700000000001</v>
      </c>
      <c r="BC160">
        <v>2.0907900000000001</v>
      </c>
      <c r="BD160">
        <v>2.1233499999999998</v>
      </c>
      <c r="BE160">
        <v>2.0353300000000001</v>
      </c>
      <c r="BF160">
        <v>2.1968999999999999</v>
      </c>
      <c r="BG160">
        <v>2.18167</v>
      </c>
      <c r="BH160">
        <v>2.1780300000000001</v>
      </c>
      <c r="BI160">
        <v>2.1720600000000001</v>
      </c>
      <c r="BJ160">
        <v>2.1670699999999998</v>
      </c>
      <c r="BK160">
        <v>2.1621000000000001</v>
      </c>
      <c r="BL160">
        <v>2.1541800000000002</v>
      </c>
      <c r="BM160">
        <v>2.15713</v>
      </c>
      <c r="BN160">
        <v>2.1531500000000001</v>
      </c>
      <c r="BO160">
        <v>2.10595</v>
      </c>
      <c r="BP160">
        <v>2.1442299999999999</v>
      </c>
      <c r="BQ160">
        <v>2.14425</v>
      </c>
      <c r="BR160">
        <v>2.1392600000000002</v>
      </c>
      <c r="BS160">
        <v>2.1392799999999998</v>
      </c>
      <c r="BT160">
        <v>2.1482299999999999</v>
      </c>
      <c r="BW160">
        <v>2.1293199999999999</v>
      </c>
      <c r="BX160">
        <v>2.1339299999999999</v>
      </c>
      <c r="BY160">
        <v>2.1332900000000001</v>
      </c>
      <c r="BZ160">
        <v>2.1243599999999998</v>
      </c>
      <c r="CA160">
        <v>2.1243699999999999</v>
      </c>
      <c r="CB160">
        <v>2.12439</v>
      </c>
      <c r="CC160">
        <v>2.1233399999999998</v>
      </c>
      <c r="CD160">
        <v>2.1233499999999998</v>
      </c>
      <c r="CE160">
        <v>2.1242899999999998</v>
      </c>
      <c r="CF160">
        <v>2.1242999999999999</v>
      </c>
      <c r="CG160">
        <v>2.1133799999999998</v>
      </c>
      <c r="CH160">
        <v>2.1173799999999998</v>
      </c>
      <c r="CI160">
        <v>2.1194500000000001</v>
      </c>
      <c r="CJ160">
        <v>2.1194600000000001</v>
      </c>
      <c r="CK160">
        <v>2.1194700000000002</v>
      </c>
      <c r="CL160">
        <v>2.1194799999999998</v>
      </c>
      <c r="CM160">
        <v>2.1194899999999999</v>
      </c>
      <c r="CN160">
        <v>2.1360000000000001</v>
      </c>
      <c r="CO160">
        <v>2.1360100000000002</v>
      </c>
      <c r="CP160">
        <v>2.11951</v>
      </c>
      <c r="CQ160">
        <v>2.12602</v>
      </c>
      <c r="CS160">
        <v>2.1145399999999999</v>
      </c>
      <c r="CT160">
        <v>2.11605</v>
      </c>
      <c r="CU160">
        <v>2.1160600000000001</v>
      </c>
      <c r="CV160">
        <v>2.1160600000000001</v>
      </c>
      <c r="CW160">
        <v>2.1060699999999999</v>
      </c>
      <c r="CX160">
        <v>2.10608</v>
      </c>
      <c r="CY160">
        <v>2.10609</v>
      </c>
      <c r="CZ160">
        <v>2.1095899999999999</v>
      </c>
      <c r="DA160">
        <v>2.0960999999999999</v>
      </c>
      <c r="DB160">
        <v>2.0961099999999999</v>
      </c>
      <c r="DC160">
        <v>1.98021</v>
      </c>
    </row>
    <row r="161" spans="1:107" x14ac:dyDescent="0.25">
      <c r="A161">
        <f t="shared" si="2"/>
        <v>5</v>
      </c>
      <c r="B161" s="2">
        <v>42236</v>
      </c>
      <c r="F161">
        <v>0.25225999999999998</v>
      </c>
      <c r="G161">
        <v>0.47119</v>
      </c>
      <c r="H161">
        <v>0.42148999999999998</v>
      </c>
      <c r="I161">
        <v>0.50146999999999997</v>
      </c>
      <c r="J161">
        <v>0.45289000000000001</v>
      </c>
      <c r="K161">
        <v>0.42441000000000001</v>
      </c>
      <c r="L161">
        <v>0.45989999999999998</v>
      </c>
      <c r="M161">
        <v>0.45090999999999998</v>
      </c>
      <c r="N161">
        <v>0.38511000000000001</v>
      </c>
      <c r="O161">
        <v>0.54649999999999999</v>
      </c>
      <c r="P161">
        <v>0.52627999999999997</v>
      </c>
      <c r="Q161">
        <v>0.39293</v>
      </c>
      <c r="R161">
        <v>0.45038</v>
      </c>
      <c r="S161">
        <v>0.52344999999999997</v>
      </c>
      <c r="T161">
        <v>0.55535000000000001</v>
      </c>
      <c r="U161">
        <v>0.46890999999999999</v>
      </c>
      <c r="V161">
        <v>0.48716999999999999</v>
      </c>
      <c r="W161">
        <v>0.54532000000000003</v>
      </c>
      <c r="X161">
        <v>0.59323000000000004</v>
      </c>
      <c r="Y161">
        <v>0.62756000000000001</v>
      </c>
      <c r="Z161">
        <v>0.55420999999999998</v>
      </c>
      <c r="AA161">
        <v>0.61958000000000002</v>
      </c>
      <c r="AB161">
        <v>0.63519000000000003</v>
      </c>
      <c r="AC161">
        <v>0.67330000000000001</v>
      </c>
      <c r="AD161">
        <v>0.67981999999999998</v>
      </c>
      <c r="AE161">
        <v>0.56828000000000001</v>
      </c>
      <c r="AF161">
        <v>0.73126000000000002</v>
      </c>
      <c r="AG161">
        <v>0.78285000000000005</v>
      </c>
      <c r="AH161">
        <v>0.90566999999999998</v>
      </c>
      <c r="AI161">
        <v>0.91113999999999995</v>
      </c>
      <c r="AJ161">
        <v>0.92959000000000003</v>
      </c>
      <c r="AK161">
        <v>0.75504000000000004</v>
      </c>
      <c r="AL161">
        <v>1.01397</v>
      </c>
      <c r="AM161">
        <v>1.1028899999999999</v>
      </c>
      <c r="AN161">
        <v>0.93618999999999997</v>
      </c>
      <c r="AO161">
        <v>1.16666</v>
      </c>
      <c r="AP161">
        <v>1.2569900000000001</v>
      </c>
      <c r="AQ161">
        <v>1.0896999999999999</v>
      </c>
      <c r="AR161">
        <v>1.31149</v>
      </c>
      <c r="AS161">
        <v>1.36297</v>
      </c>
      <c r="AT161">
        <v>1.41523</v>
      </c>
      <c r="AU161">
        <v>1.37751</v>
      </c>
      <c r="AV161">
        <v>1.3248200000000001</v>
      </c>
      <c r="AW161">
        <v>1.8754900000000001</v>
      </c>
      <c r="AX161">
        <v>1.8746499999999999</v>
      </c>
      <c r="AY161">
        <v>1.9139200000000001</v>
      </c>
      <c r="AZ161">
        <v>1.9343999999999999</v>
      </c>
      <c r="BA161">
        <v>1.97163</v>
      </c>
      <c r="BB161">
        <v>2.0721500000000002</v>
      </c>
      <c r="BC161">
        <v>2.0761500000000002</v>
      </c>
      <c r="BD161">
        <v>2.0966499999999999</v>
      </c>
      <c r="BE161">
        <v>2.0146099999999998</v>
      </c>
      <c r="BF161">
        <v>2.1687400000000001</v>
      </c>
      <c r="BG161">
        <v>2.1534</v>
      </c>
      <c r="BH161">
        <v>2.1467499999999999</v>
      </c>
      <c r="BI161">
        <v>2.1438199999999998</v>
      </c>
      <c r="BJ161">
        <v>2.1267200000000002</v>
      </c>
      <c r="BK161">
        <v>2.1338599999999999</v>
      </c>
      <c r="BL161">
        <v>2.1217600000000001</v>
      </c>
      <c r="BM161">
        <v>2.1261800000000002</v>
      </c>
      <c r="BN161">
        <v>2.1217999999999999</v>
      </c>
      <c r="BO161">
        <v>2.0763400000000001</v>
      </c>
      <c r="BP161">
        <v>2.1118199999999998</v>
      </c>
      <c r="BQ161">
        <v>2.1118299999999999</v>
      </c>
      <c r="BR161">
        <v>2.10684</v>
      </c>
      <c r="BS161">
        <v>2.1068600000000002</v>
      </c>
      <c r="BT161">
        <v>2.1184799999999999</v>
      </c>
      <c r="BW161">
        <v>2.0969000000000002</v>
      </c>
      <c r="BX161">
        <v>2.0969099999999998</v>
      </c>
      <c r="BY161">
        <v>2.1035499999999998</v>
      </c>
      <c r="BZ161">
        <v>2.0919400000000001</v>
      </c>
      <c r="CA161">
        <v>2.0919599999999998</v>
      </c>
      <c r="CB161">
        <v>2.0919699999999999</v>
      </c>
      <c r="CC161">
        <v>2.09198</v>
      </c>
      <c r="CD161">
        <v>2.09199</v>
      </c>
      <c r="CE161">
        <v>2.09362</v>
      </c>
      <c r="CF161">
        <v>2.0936300000000001</v>
      </c>
      <c r="CG161">
        <v>2.0836399999999999</v>
      </c>
      <c r="CH161">
        <v>2.0864400000000001</v>
      </c>
      <c r="CI161">
        <v>2.08311</v>
      </c>
      <c r="CJ161">
        <v>2.0831200000000001</v>
      </c>
      <c r="CK161">
        <v>2.0786799999999999</v>
      </c>
      <c r="CL161">
        <v>2.0786799999999999</v>
      </c>
      <c r="CM161">
        <v>2.0786899999999999</v>
      </c>
      <c r="CN161">
        <v>2.09206</v>
      </c>
      <c r="CO161">
        <v>2.105</v>
      </c>
      <c r="CP161">
        <v>2.0870899999999999</v>
      </c>
      <c r="CQ161">
        <v>2.0950199999999999</v>
      </c>
      <c r="CS161">
        <v>2.0821200000000002</v>
      </c>
      <c r="CT161">
        <v>2.0821299999999998</v>
      </c>
      <c r="CU161">
        <v>2.0821299999999998</v>
      </c>
      <c r="CV161">
        <v>2.0821399999999999</v>
      </c>
      <c r="CW161">
        <v>2.0800700000000001</v>
      </c>
      <c r="CX161">
        <v>2.0800700000000001</v>
      </c>
      <c r="CY161">
        <v>2.0800800000000002</v>
      </c>
      <c r="CZ161">
        <v>2.07009</v>
      </c>
      <c r="DA161">
        <v>2.0651000000000002</v>
      </c>
      <c r="DB161">
        <v>2.0651000000000002</v>
      </c>
      <c r="DC161">
        <v>1.95513</v>
      </c>
    </row>
    <row r="162" spans="1:107" x14ac:dyDescent="0.25">
      <c r="A162">
        <f t="shared" si="2"/>
        <v>6</v>
      </c>
      <c r="B162" s="2">
        <v>42237</v>
      </c>
      <c r="F162">
        <v>0.22409999999999999</v>
      </c>
      <c r="G162">
        <v>0.45132</v>
      </c>
      <c r="H162">
        <v>0.40671000000000002</v>
      </c>
      <c r="I162">
        <v>0.39365</v>
      </c>
      <c r="J162">
        <v>0.42359999999999998</v>
      </c>
      <c r="K162">
        <v>0.40977000000000002</v>
      </c>
      <c r="L162">
        <v>0.42520000000000002</v>
      </c>
      <c r="M162">
        <v>0.45090000000000002</v>
      </c>
      <c r="N162">
        <v>0.37431999999999999</v>
      </c>
      <c r="O162">
        <v>0.53686</v>
      </c>
      <c r="P162">
        <v>0.51480999999999999</v>
      </c>
      <c r="Q162">
        <v>0.37414999999999998</v>
      </c>
      <c r="R162">
        <v>0.43158000000000002</v>
      </c>
      <c r="S162">
        <v>0.50378999999999996</v>
      </c>
      <c r="T162">
        <v>0.53547999999999996</v>
      </c>
      <c r="U162">
        <v>0.44878000000000001</v>
      </c>
      <c r="V162">
        <v>0.46766999999999997</v>
      </c>
      <c r="W162">
        <v>0.52632999999999996</v>
      </c>
      <c r="X162">
        <v>0.57374999999999998</v>
      </c>
      <c r="Y162">
        <v>0.62139</v>
      </c>
      <c r="Z162">
        <v>0.54781000000000002</v>
      </c>
      <c r="AA162">
        <v>0.61248999999999998</v>
      </c>
      <c r="AB162">
        <v>0.62973000000000001</v>
      </c>
      <c r="AC162">
        <v>0.65251000000000003</v>
      </c>
      <c r="AD162">
        <v>0.62419000000000002</v>
      </c>
      <c r="AE162">
        <v>0.54647999999999997</v>
      </c>
      <c r="AF162">
        <v>0.70916000000000001</v>
      </c>
      <c r="AG162">
        <v>0.75612999999999997</v>
      </c>
      <c r="AH162">
        <v>0.86414999999999997</v>
      </c>
      <c r="AI162">
        <v>0.89397000000000004</v>
      </c>
      <c r="AJ162">
        <v>0.90197000000000005</v>
      </c>
      <c r="AK162">
        <v>0.73509999999999998</v>
      </c>
      <c r="AL162">
        <v>0.98673999999999995</v>
      </c>
      <c r="AM162">
        <v>1.0789299999999999</v>
      </c>
      <c r="AN162">
        <v>0.91585000000000005</v>
      </c>
      <c r="AO162">
        <v>1.14215</v>
      </c>
      <c r="AP162">
        <v>1.23156</v>
      </c>
      <c r="AQ162">
        <v>1.06538</v>
      </c>
      <c r="AR162">
        <v>1.2859499999999999</v>
      </c>
      <c r="AS162">
        <v>1.3360099999999999</v>
      </c>
      <c r="AT162">
        <v>1.39239</v>
      </c>
      <c r="AU162">
        <v>1.35202</v>
      </c>
      <c r="AV162">
        <v>1.2998700000000001</v>
      </c>
      <c r="AW162">
        <v>1.85629</v>
      </c>
      <c r="AX162">
        <v>1.8552299999999999</v>
      </c>
      <c r="AY162">
        <v>1.8964000000000001</v>
      </c>
      <c r="AZ162">
        <v>1.9157599999999999</v>
      </c>
      <c r="BA162">
        <v>1.9515199999999999</v>
      </c>
      <c r="BB162">
        <v>2.04975</v>
      </c>
      <c r="BC162">
        <v>2.0614400000000002</v>
      </c>
      <c r="BD162">
        <v>2.0880399999999999</v>
      </c>
      <c r="BE162">
        <v>2.0036</v>
      </c>
      <c r="BF162">
        <v>2.1560199999999998</v>
      </c>
      <c r="BG162">
        <v>2.1460599999999999</v>
      </c>
      <c r="BH162">
        <v>2.1440199999999998</v>
      </c>
      <c r="BI162">
        <v>2.13652</v>
      </c>
      <c r="BJ162">
        <v>2.1315400000000002</v>
      </c>
      <c r="BK162">
        <v>2.12656</v>
      </c>
      <c r="BL162">
        <v>2.1152500000000001</v>
      </c>
      <c r="BM162">
        <v>2.1191800000000001</v>
      </c>
      <c r="BN162">
        <v>2.1166200000000002</v>
      </c>
      <c r="BO162">
        <v>2.0682200000000002</v>
      </c>
      <c r="BP162">
        <v>2.1053000000000002</v>
      </c>
      <c r="BQ162">
        <v>2.1053099999999998</v>
      </c>
      <c r="BR162">
        <v>2.1116600000000001</v>
      </c>
      <c r="BS162">
        <v>2.1116700000000002</v>
      </c>
      <c r="BT162">
        <v>2.1116899999999998</v>
      </c>
      <c r="BW162">
        <v>2.1017199999999998</v>
      </c>
      <c r="BX162">
        <v>2.1017299999999999</v>
      </c>
      <c r="BY162">
        <v>2.0967500000000001</v>
      </c>
      <c r="BZ162">
        <v>2.0854300000000001</v>
      </c>
      <c r="CA162">
        <v>2.0854400000000002</v>
      </c>
      <c r="CB162">
        <v>2.0854499999999998</v>
      </c>
      <c r="CC162">
        <v>2.0868000000000002</v>
      </c>
      <c r="CD162">
        <v>2.0868099999999998</v>
      </c>
      <c r="CE162">
        <v>2.0827300000000002</v>
      </c>
      <c r="CF162">
        <v>2.0827399999999998</v>
      </c>
      <c r="CG162">
        <v>2.0768399999999998</v>
      </c>
      <c r="CH162">
        <v>2.0794299999999999</v>
      </c>
      <c r="CI162">
        <v>2.0805199999999999</v>
      </c>
      <c r="CJ162">
        <v>2.08053</v>
      </c>
      <c r="CK162">
        <v>2.0805400000000001</v>
      </c>
      <c r="CL162">
        <v>2.0805400000000001</v>
      </c>
      <c r="CM162">
        <v>2.0805500000000001</v>
      </c>
      <c r="CN162">
        <v>2.0901800000000001</v>
      </c>
      <c r="CO162">
        <v>2.09707</v>
      </c>
      <c r="CP162">
        <v>2.0805799999999999</v>
      </c>
      <c r="CQ162">
        <v>2.0870799999999998</v>
      </c>
      <c r="CS162">
        <v>2.0756000000000001</v>
      </c>
      <c r="CT162">
        <v>2.0756100000000002</v>
      </c>
      <c r="CU162">
        <v>2.0756199999999998</v>
      </c>
      <c r="CV162">
        <v>2.0756199999999998</v>
      </c>
      <c r="CW162">
        <v>2.0671300000000001</v>
      </c>
      <c r="CX162">
        <v>2.0671400000000002</v>
      </c>
      <c r="CY162">
        <v>2.0671400000000002</v>
      </c>
      <c r="CZ162">
        <v>2.0621499999999999</v>
      </c>
      <c r="DA162">
        <v>2.0571600000000001</v>
      </c>
      <c r="DB162">
        <v>2.0571700000000002</v>
      </c>
      <c r="DC162">
        <v>1.94312</v>
      </c>
    </row>
    <row r="163" spans="1:107" x14ac:dyDescent="0.25">
      <c r="A163">
        <f t="shared" si="2"/>
        <v>2</v>
      </c>
      <c r="B163" s="2">
        <v>42240</v>
      </c>
      <c r="F163">
        <v>0.25750000000000001</v>
      </c>
      <c r="G163">
        <v>0.47893000000000002</v>
      </c>
      <c r="H163">
        <v>0.40026</v>
      </c>
      <c r="I163">
        <v>0.35396</v>
      </c>
      <c r="J163">
        <v>0.42804999999999999</v>
      </c>
      <c r="K163">
        <v>0.41674</v>
      </c>
      <c r="L163">
        <v>0.41385</v>
      </c>
      <c r="M163">
        <v>0.43744</v>
      </c>
      <c r="N163">
        <v>0.36414000000000002</v>
      </c>
      <c r="O163">
        <v>0.52359</v>
      </c>
      <c r="P163">
        <v>0.50058999999999998</v>
      </c>
      <c r="Q163">
        <v>0.35210000000000002</v>
      </c>
      <c r="R163">
        <v>0.43186999999999998</v>
      </c>
      <c r="S163">
        <v>0.49224000000000001</v>
      </c>
      <c r="T163">
        <v>0.52339000000000002</v>
      </c>
      <c r="U163">
        <v>0.43734000000000001</v>
      </c>
      <c r="V163">
        <v>0.45689000000000002</v>
      </c>
      <c r="W163">
        <v>0.51771</v>
      </c>
      <c r="X163">
        <v>0.56257999999999997</v>
      </c>
      <c r="Y163">
        <v>0.61646999999999996</v>
      </c>
      <c r="Z163">
        <v>0.54500999999999999</v>
      </c>
      <c r="AA163">
        <v>0.58511999999999997</v>
      </c>
      <c r="AB163">
        <v>0.63993</v>
      </c>
      <c r="AC163">
        <v>0.6462</v>
      </c>
      <c r="AD163">
        <v>0.61429</v>
      </c>
      <c r="AE163">
        <v>0.53110999999999997</v>
      </c>
      <c r="AF163">
        <v>0.69003000000000003</v>
      </c>
      <c r="AG163">
        <v>0.73436999999999997</v>
      </c>
      <c r="AH163">
        <v>0.85580000000000001</v>
      </c>
      <c r="AI163">
        <v>0.86416999999999999</v>
      </c>
      <c r="AJ163">
        <v>0.88280999999999998</v>
      </c>
      <c r="AK163">
        <v>0.71182000000000001</v>
      </c>
      <c r="AL163">
        <v>0.96670999999999996</v>
      </c>
      <c r="AM163">
        <v>1.0679700000000001</v>
      </c>
      <c r="AN163">
        <v>0.89041999999999999</v>
      </c>
      <c r="AO163">
        <v>1.127</v>
      </c>
      <c r="AP163">
        <v>1.2191700000000001</v>
      </c>
      <c r="AQ163">
        <v>1.0505199999999999</v>
      </c>
      <c r="AR163">
        <v>1.2742199999999999</v>
      </c>
      <c r="AS163">
        <v>1.32494</v>
      </c>
      <c r="AT163">
        <v>1.3826000000000001</v>
      </c>
      <c r="AU163">
        <v>1.3571500000000001</v>
      </c>
      <c r="AV163">
        <v>1.28772</v>
      </c>
      <c r="AW163">
        <v>1.85338</v>
      </c>
      <c r="AX163">
        <v>1.8570199999999999</v>
      </c>
      <c r="AY163">
        <v>1.8984300000000001</v>
      </c>
      <c r="AZ163">
        <v>1.9185300000000001</v>
      </c>
      <c r="BA163">
        <v>1.93851</v>
      </c>
      <c r="BB163">
        <v>2.0319799999999999</v>
      </c>
      <c r="BC163">
        <v>2.05905</v>
      </c>
      <c r="BD163">
        <v>2.08378</v>
      </c>
      <c r="BE163">
        <v>1.9947900000000001</v>
      </c>
      <c r="BF163">
        <v>2.1541899999999998</v>
      </c>
      <c r="BG163">
        <v>2.1442199999999998</v>
      </c>
      <c r="BH163">
        <v>2.1375700000000002</v>
      </c>
      <c r="BI163">
        <v>2.1325699999999999</v>
      </c>
      <c r="BJ163">
        <v>2.1192000000000002</v>
      </c>
      <c r="BK163">
        <v>2.1225900000000002</v>
      </c>
      <c r="BL163">
        <v>2.1137299999999999</v>
      </c>
      <c r="BM163">
        <v>2.1162899999999998</v>
      </c>
      <c r="BN163">
        <v>2.1121300000000001</v>
      </c>
      <c r="BO163">
        <v>2.0666199999999999</v>
      </c>
      <c r="BP163">
        <v>2.1037599999999999</v>
      </c>
      <c r="BQ163">
        <v>2.1037699999999999</v>
      </c>
      <c r="BR163">
        <v>2.09877</v>
      </c>
      <c r="BS163">
        <v>2.0987800000000001</v>
      </c>
      <c r="BT163">
        <v>2.10717</v>
      </c>
      <c r="BW163">
        <v>2.0888100000000001</v>
      </c>
      <c r="BX163">
        <v>2.0888200000000001</v>
      </c>
      <c r="BY163">
        <v>2.0922000000000001</v>
      </c>
      <c r="BZ163">
        <v>2.0838299999999998</v>
      </c>
      <c r="CA163">
        <v>2.0838399999999999</v>
      </c>
      <c r="CB163">
        <v>2.08385</v>
      </c>
      <c r="CC163">
        <v>2.08223</v>
      </c>
      <c r="CD163">
        <v>2.0822400000000001</v>
      </c>
      <c r="CE163">
        <v>2.0831599999999999</v>
      </c>
      <c r="CF163">
        <v>2.08317</v>
      </c>
      <c r="CG163">
        <v>2.07226</v>
      </c>
      <c r="CH163">
        <v>2.0764399999999998</v>
      </c>
      <c r="CI163">
        <v>2.0672700000000002</v>
      </c>
      <c r="CJ163">
        <v>2.0672700000000002</v>
      </c>
      <c r="CK163">
        <v>2.0788899999999999</v>
      </c>
      <c r="CL163">
        <v>2.0789</v>
      </c>
      <c r="CM163">
        <v>2.0789</v>
      </c>
      <c r="CN163">
        <v>2.0838899999999998</v>
      </c>
      <c r="CO163">
        <v>2.0838999999999999</v>
      </c>
      <c r="CP163">
        <v>2.0789200000000001</v>
      </c>
      <c r="CQ163">
        <v>2.0877599999999998</v>
      </c>
      <c r="CS163">
        <v>2.0739399999999999</v>
      </c>
      <c r="CT163">
        <v>2.0739399999999999</v>
      </c>
      <c r="CU163">
        <v>2.07395</v>
      </c>
      <c r="CV163">
        <v>2.07395</v>
      </c>
      <c r="CW163">
        <v>2.0718800000000002</v>
      </c>
      <c r="CX163">
        <v>2.0718800000000002</v>
      </c>
      <c r="CY163">
        <v>2.0718800000000002</v>
      </c>
      <c r="CZ163">
        <v>2.0628099999999998</v>
      </c>
      <c r="DA163">
        <v>2.0578099999999999</v>
      </c>
      <c r="DB163">
        <v>2.0578099999999999</v>
      </c>
      <c r="DC163">
        <v>1.95282</v>
      </c>
    </row>
    <row r="164" spans="1:107" x14ac:dyDescent="0.25">
      <c r="A164">
        <f t="shared" si="2"/>
        <v>3</v>
      </c>
      <c r="B164" s="2">
        <v>42241</v>
      </c>
      <c r="F164">
        <v>0.23502000000000001</v>
      </c>
      <c r="G164">
        <v>0.43918000000000001</v>
      </c>
      <c r="H164">
        <v>0.42053000000000001</v>
      </c>
      <c r="I164">
        <v>0.36316999999999999</v>
      </c>
      <c r="J164">
        <v>0.42802000000000001</v>
      </c>
      <c r="K164">
        <v>0.41879</v>
      </c>
      <c r="L164">
        <v>0.41970000000000002</v>
      </c>
      <c r="M164">
        <v>0.45032</v>
      </c>
      <c r="N164">
        <v>0.39063999999999999</v>
      </c>
      <c r="O164">
        <v>0.54046000000000005</v>
      </c>
      <c r="P164">
        <v>0.52232000000000001</v>
      </c>
      <c r="Q164">
        <v>0.40322000000000002</v>
      </c>
      <c r="R164">
        <v>0.47177999999999998</v>
      </c>
      <c r="S164">
        <v>0.53659999999999997</v>
      </c>
      <c r="T164">
        <v>0.56840999999999997</v>
      </c>
      <c r="U164">
        <v>0.48113</v>
      </c>
      <c r="V164">
        <v>0.49986999999999998</v>
      </c>
      <c r="W164">
        <v>0.55595000000000006</v>
      </c>
      <c r="X164">
        <v>0.60589000000000004</v>
      </c>
      <c r="Y164">
        <v>0.64470000000000005</v>
      </c>
      <c r="Z164">
        <v>0.59645999999999999</v>
      </c>
      <c r="AA164">
        <v>0.64741000000000004</v>
      </c>
      <c r="AB164">
        <v>0.68452999999999997</v>
      </c>
      <c r="AC164">
        <v>0.69279000000000002</v>
      </c>
      <c r="AD164">
        <v>0.68725000000000003</v>
      </c>
      <c r="AE164">
        <v>0.58960000000000001</v>
      </c>
      <c r="AF164">
        <v>0.76439000000000001</v>
      </c>
      <c r="AG164">
        <v>0.79696</v>
      </c>
      <c r="AH164">
        <v>0.93976999999999999</v>
      </c>
      <c r="AI164">
        <v>0.93237000000000003</v>
      </c>
      <c r="AJ164">
        <v>0.95162000000000002</v>
      </c>
      <c r="AK164">
        <v>0.81566000000000005</v>
      </c>
      <c r="AL164">
        <v>1.0401199999999999</v>
      </c>
      <c r="AM164">
        <v>1.13703</v>
      </c>
      <c r="AN164">
        <v>0.98685</v>
      </c>
      <c r="AO164">
        <v>1.2079800000000001</v>
      </c>
      <c r="AP164">
        <v>1.29783</v>
      </c>
      <c r="AQ164">
        <v>1.13052</v>
      </c>
      <c r="AR164">
        <v>1.35178</v>
      </c>
      <c r="AS164">
        <v>1.4016900000000001</v>
      </c>
      <c r="AT164">
        <v>1.45922</v>
      </c>
      <c r="AU164">
        <v>1.4301699999999999</v>
      </c>
      <c r="AV164">
        <v>1.3578699999999999</v>
      </c>
      <c r="AW164">
        <v>1.9273</v>
      </c>
      <c r="AX164">
        <v>1.9389799999999999</v>
      </c>
      <c r="AY164">
        <v>1.9747300000000001</v>
      </c>
      <c r="AZ164">
        <v>1.99213</v>
      </c>
      <c r="BA164">
        <v>2.0141499999999999</v>
      </c>
      <c r="BB164">
        <v>2.0991599999999999</v>
      </c>
      <c r="BC164">
        <v>2.1346099999999999</v>
      </c>
      <c r="BD164">
        <v>2.1764299999999999</v>
      </c>
      <c r="BE164">
        <v>2.07775</v>
      </c>
      <c r="BF164">
        <v>2.2311700000000001</v>
      </c>
      <c r="BG164">
        <v>2.22119</v>
      </c>
      <c r="BH164">
        <v>2.21454</v>
      </c>
      <c r="BI164">
        <v>2.2099700000000002</v>
      </c>
      <c r="BJ164">
        <v>2.2049799999999999</v>
      </c>
      <c r="BK164">
        <v>2.2000000000000002</v>
      </c>
      <c r="BL164">
        <v>2.1897000000000002</v>
      </c>
      <c r="BM164">
        <v>2.1926000000000001</v>
      </c>
      <c r="BN164">
        <v>2.18859</v>
      </c>
      <c r="BO164">
        <v>2.14392</v>
      </c>
      <c r="BP164">
        <v>2.1797300000000002</v>
      </c>
      <c r="BQ164">
        <v>2.1797399999999998</v>
      </c>
      <c r="BR164">
        <v>2.1845599999999998</v>
      </c>
      <c r="BS164">
        <v>2.1845699999999999</v>
      </c>
      <c r="BT164">
        <v>2.18458</v>
      </c>
      <c r="BW164">
        <v>2.1745899999999998</v>
      </c>
      <c r="BX164">
        <v>2.1745999999999999</v>
      </c>
      <c r="BY164">
        <v>2.16961</v>
      </c>
      <c r="BZ164">
        <v>2.1598099999999998</v>
      </c>
      <c r="CA164">
        <v>2.1598199999999999</v>
      </c>
      <c r="CB164">
        <v>2.1598299999999999</v>
      </c>
      <c r="CC164">
        <v>2.1587100000000001</v>
      </c>
      <c r="CD164">
        <v>2.1587100000000001</v>
      </c>
      <c r="CE164">
        <v>2.1587200000000002</v>
      </c>
      <c r="CF164">
        <v>2.1587299999999998</v>
      </c>
      <c r="CG164">
        <v>2.14967</v>
      </c>
      <c r="CH164">
        <v>2.1527599999999998</v>
      </c>
      <c r="CI164">
        <v>2.1548699999999998</v>
      </c>
      <c r="CJ164">
        <v>2.1548699999999998</v>
      </c>
      <c r="CK164">
        <v>2.1548799999999999</v>
      </c>
      <c r="CL164">
        <v>2.15489</v>
      </c>
      <c r="CM164">
        <v>2.15489</v>
      </c>
      <c r="CN164">
        <v>2.17239</v>
      </c>
      <c r="CO164">
        <v>2.1598899999999999</v>
      </c>
      <c r="CP164">
        <v>2.1549</v>
      </c>
      <c r="CQ164">
        <v>2.1624099999999999</v>
      </c>
      <c r="CS164">
        <v>2.1499199999999998</v>
      </c>
      <c r="CT164">
        <v>2.1499299999999999</v>
      </c>
      <c r="CU164">
        <v>2.1499299999999999</v>
      </c>
      <c r="CV164">
        <v>2.14994</v>
      </c>
      <c r="CW164">
        <v>2.14838</v>
      </c>
      <c r="CX164">
        <v>2.14838</v>
      </c>
      <c r="CY164">
        <v>2.14838</v>
      </c>
      <c r="CZ164">
        <v>2.1374499999999999</v>
      </c>
      <c r="DA164">
        <v>2.13246</v>
      </c>
      <c r="DB164">
        <v>2.13246</v>
      </c>
      <c r="DC164">
        <v>2.0274700000000001</v>
      </c>
    </row>
    <row r="165" spans="1:107" x14ac:dyDescent="0.25">
      <c r="A165">
        <f t="shared" si="2"/>
        <v>4</v>
      </c>
      <c r="B165" s="2">
        <v>42242</v>
      </c>
      <c r="F165">
        <v>6.5019999999999994E-2</v>
      </c>
      <c r="G165">
        <v>0.41389999999999999</v>
      </c>
      <c r="H165">
        <v>0.42926999999999998</v>
      </c>
      <c r="I165">
        <v>0.3574</v>
      </c>
      <c r="J165">
        <v>0.42330000000000001</v>
      </c>
      <c r="K165">
        <v>0.42876999999999998</v>
      </c>
      <c r="L165">
        <v>0.45495999999999998</v>
      </c>
      <c r="M165">
        <v>0.47449000000000002</v>
      </c>
      <c r="N165">
        <v>0.42009999999999997</v>
      </c>
      <c r="O165">
        <v>0.55242000000000002</v>
      </c>
      <c r="P165">
        <v>0.53317999999999999</v>
      </c>
      <c r="Q165">
        <v>0.42298999999999998</v>
      </c>
      <c r="R165">
        <v>0.51090000000000002</v>
      </c>
      <c r="S165">
        <v>0.56781999999999999</v>
      </c>
      <c r="T165">
        <v>0.59887999999999997</v>
      </c>
      <c r="U165">
        <v>0.51807999999999998</v>
      </c>
      <c r="V165">
        <v>0.53778999999999999</v>
      </c>
      <c r="W165">
        <v>0.58472000000000002</v>
      </c>
      <c r="X165">
        <v>0.64139999999999997</v>
      </c>
      <c r="Y165">
        <v>0.71758999999999995</v>
      </c>
      <c r="Z165">
        <v>0.64419000000000004</v>
      </c>
      <c r="AA165">
        <v>0.70076000000000005</v>
      </c>
      <c r="AB165">
        <v>0.73211999999999999</v>
      </c>
      <c r="AC165">
        <v>0.76771</v>
      </c>
      <c r="AD165">
        <v>0.77234999999999998</v>
      </c>
      <c r="AE165">
        <v>0.65849999999999997</v>
      </c>
      <c r="AF165">
        <v>0.81588000000000005</v>
      </c>
      <c r="AG165">
        <v>0.874</v>
      </c>
      <c r="AH165">
        <v>1.0047600000000001</v>
      </c>
      <c r="AI165">
        <v>1.0072300000000001</v>
      </c>
      <c r="AJ165">
        <v>1.02742</v>
      </c>
      <c r="AK165">
        <v>0.89149999999999996</v>
      </c>
      <c r="AL165">
        <v>1.1117999999999999</v>
      </c>
      <c r="AM165">
        <v>1.22973</v>
      </c>
      <c r="AN165">
        <v>1.07236</v>
      </c>
      <c r="AO165">
        <v>1.28959</v>
      </c>
      <c r="AP165">
        <v>1.3980300000000001</v>
      </c>
      <c r="AQ165">
        <v>1.2277800000000001</v>
      </c>
      <c r="AR165">
        <v>1.4534</v>
      </c>
      <c r="AS165">
        <v>1.5106200000000001</v>
      </c>
      <c r="AT165">
        <v>1.5626199999999999</v>
      </c>
      <c r="AU165">
        <v>1.54169</v>
      </c>
      <c r="AV165">
        <v>1.47254</v>
      </c>
      <c r="AW165">
        <v>2.04874</v>
      </c>
      <c r="AX165">
        <v>2.0691199999999998</v>
      </c>
      <c r="AY165">
        <v>2.10107</v>
      </c>
      <c r="AZ165">
        <v>2.1104400000000001</v>
      </c>
      <c r="BA165">
        <v>2.1329799999999999</v>
      </c>
      <c r="BB165">
        <v>2.2157800000000001</v>
      </c>
      <c r="BC165">
        <v>2.24003</v>
      </c>
      <c r="BD165">
        <v>2.2841999999999998</v>
      </c>
      <c r="BE165">
        <v>2.1927699999999999</v>
      </c>
      <c r="BF165">
        <v>2.3423400000000001</v>
      </c>
      <c r="BG165">
        <v>2.3375699999999999</v>
      </c>
      <c r="BH165">
        <v>2.3309299999999999</v>
      </c>
      <c r="BI165">
        <v>2.3254100000000002</v>
      </c>
      <c r="BJ165">
        <v>2.3120400000000001</v>
      </c>
      <c r="BK165">
        <v>2.3154599999999999</v>
      </c>
      <c r="BL165">
        <v>2.3050799999999998</v>
      </c>
      <c r="BM165">
        <v>2.3050999999999999</v>
      </c>
      <c r="BN165">
        <v>2.3040500000000002</v>
      </c>
      <c r="BO165">
        <v>2.2595399999999999</v>
      </c>
      <c r="BP165">
        <v>2.29514</v>
      </c>
      <c r="BQ165">
        <v>2.29515</v>
      </c>
      <c r="BR165">
        <v>2.3000699999999998</v>
      </c>
      <c r="BS165">
        <v>2.3000799999999999</v>
      </c>
      <c r="BT165">
        <v>2.3001</v>
      </c>
      <c r="BW165">
        <v>2.29013</v>
      </c>
      <c r="BX165">
        <v>2.2901400000000001</v>
      </c>
      <c r="BY165">
        <v>2.2851599999999999</v>
      </c>
      <c r="BZ165">
        <v>2.27528</v>
      </c>
      <c r="CA165">
        <v>2.27529</v>
      </c>
      <c r="CB165">
        <v>2.2753000000000001</v>
      </c>
      <c r="CC165">
        <v>2.2742499999999999</v>
      </c>
      <c r="CD165">
        <v>2.2742599999999999</v>
      </c>
      <c r="CE165">
        <v>2.27427</v>
      </c>
      <c r="CF165">
        <v>2.2742800000000001</v>
      </c>
      <c r="CG165">
        <v>2.2652600000000001</v>
      </c>
      <c r="CH165">
        <v>2.2652700000000001</v>
      </c>
      <c r="CI165">
        <v>2.2703799999999998</v>
      </c>
      <c r="CJ165">
        <v>2.2703899999999999</v>
      </c>
      <c r="CK165">
        <v>2.2703899999999999</v>
      </c>
      <c r="CL165">
        <v>2.2704</v>
      </c>
      <c r="CM165">
        <v>2.26031</v>
      </c>
      <c r="CN165">
        <v>2.2603200000000001</v>
      </c>
      <c r="CO165">
        <v>2.2578200000000002</v>
      </c>
      <c r="CP165">
        <v>2.2578299999999998</v>
      </c>
      <c r="CQ165">
        <v>2.2704499999999999</v>
      </c>
      <c r="CS165">
        <v>2.2393100000000001</v>
      </c>
      <c r="CT165">
        <v>2.2393200000000002</v>
      </c>
      <c r="CU165">
        <v>2.2393299999999998</v>
      </c>
      <c r="CV165">
        <v>2.2393299999999998</v>
      </c>
      <c r="CW165">
        <v>2.23434</v>
      </c>
      <c r="CX165">
        <v>2.2343500000000001</v>
      </c>
      <c r="CY165">
        <v>2.2293599999999998</v>
      </c>
      <c r="CZ165">
        <v>2.2293599999999998</v>
      </c>
      <c r="DA165">
        <v>2.22437</v>
      </c>
      <c r="DB165">
        <v>2.22438</v>
      </c>
    </row>
    <row r="166" spans="1:107" x14ac:dyDescent="0.25">
      <c r="A166">
        <f t="shared" si="2"/>
        <v>5</v>
      </c>
      <c r="B166" s="2">
        <v>42243</v>
      </c>
      <c r="F166">
        <v>7.9969999999999999E-2</v>
      </c>
      <c r="G166">
        <v>0.38800000000000001</v>
      </c>
      <c r="H166">
        <v>0.42625999999999997</v>
      </c>
      <c r="I166">
        <v>0.45394000000000001</v>
      </c>
      <c r="J166">
        <v>0.42324000000000001</v>
      </c>
      <c r="K166">
        <v>0.43079000000000001</v>
      </c>
      <c r="L166">
        <v>0.45569999999999999</v>
      </c>
      <c r="M166">
        <v>0.47941</v>
      </c>
      <c r="N166">
        <v>0.42537999999999998</v>
      </c>
      <c r="O166">
        <v>0.55491000000000001</v>
      </c>
      <c r="P166">
        <v>0.53602000000000005</v>
      </c>
      <c r="Q166">
        <v>0.44331999999999999</v>
      </c>
      <c r="R166">
        <v>0.51132</v>
      </c>
      <c r="S166">
        <v>0.57647000000000004</v>
      </c>
      <c r="T166">
        <v>0.58875</v>
      </c>
      <c r="U166">
        <v>0.52159999999999995</v>
      </c>
      <c r="V166">
        <v>0.54279999999999995</v>
      </c>
      <c r="W166">
        <v>0.58880999999999994</v>
      </c>
      <c r="X166">
        <v>0.64834000000000003</v>
      </c>
      <c r="Y166">
        <v>0.70582</v>
      </c>
      <c r="Z166">
        <v>0.65864999999999996</v>
      </c>
      <c r="AA166">
        <v>0.71231999999999995</v>
      </c>
      <c r="AB166">
        <v>0.74382999999999999</v>
      </c>
      <c r="AC166">
        <v>0.77025999999999994</v>
      </c>
      <c r="AD166">
        <v>0.76727000000000001</v>
      </c>
      <c r="AE166">
        <v>0.67486000000000002</v>
      </c>
      <c r="AF166">
        <v>0.82915000000000005</v>
      </c>
      <c r="AG166">
        <v>0.89280000000000004</v>
      </c>
      <c r="AH166">
        <v>1.01102</v>
      </c>
      <c r="AI166">
        <v>1.0242199999999999</v>
      </c>
      <c r="AJ166">
        <v>1.0405500000000001</v>
      </c>
      <c r="AK166">
        <v>0.90300000000000002</v>
      </c>
      <c r="AL166">
        <v>1.1338299999999999</v>
      </c>
      <c r="AM166">
        <v>1.23925</v>
      </c>
      <c r="AN166">
        <v>1.0841099999999999</v>
      </c>
      <c r="AO166">
        <v>1.30288</v>
      </c>
      <c r="AP166">
        <v>1.4080299999999999</v>
      </c>
      <c r="AQ166">
        <v>1.2447299999999999</v>
      </c>
      <c r="AR166">
        <v>1.4615899999999999</v>
      </c>
      <c r="AS166">
        <v>1.5214700000000001</v>
      </c>
      <c r="AT166">
        <v>1.5752699999999999</v>
      </c>
      <c r="AU166">
        <v>1.5641099999999999</v>
      </c>
      <c r="AV166">
        <v>1.48342</v>
      </c>
      <c r="AW166">
        <v>2.0649000000000002</v>
      </c>
      <c r="AX166">
        <v>2.0487299999999999</v>
      </c>
      <c r="AY166">
        <v>2.1138400000000002</v>
      </c>
      <c r="AZ166">
        <v>2.1301199999999998</v>
      </c>
      <c r="BA166">
        <v>2.1461700000000001</v>
      </c>
      <c r="BB166">
        <v>2.22132</v>
      </c>
      <c r="BC166">
        <v>2.25325</v>
      </c>
      <c r="BD166">
        <v>2.2881200000000002</v>
      </c>
      <c r="BE166">
        <v>2.2014</v>
      </c>
      <c r="BF166">
        <v>2.36219</v>
      </c>
      <c r="BG166">
        <v>2.3450799999999998</v>
      </c>
      <c r="BH166">
        <v>2.3422399999999999</v>
      </c>
      <c r="BI166">
        <v>2.3272699999999999</v>
      </c>
      <c r="BJ166">
        <v>2.3172999999999999</v>
      </c>
      <c r="BK166">
        <v>2.3148200000000001</v>
      </c>
      <c r="BL166">
        <v>2.3098399999999999</v>
      </c>
      <c r="BM166">
        <v>2.3155399999999999</v>
      </c>
      <c r="BN166">
        <v>2.3098800000000002</v>
      </c>
      <c r="BO166">
        <v>2.2632300000000001</v>
      </c>
      <c r="BP166">
        <v>2.2999000000000001</v>
      </c>
      <c r="BQ166">
        <v>2.2999100000000001</v>
      </c>
      <c r="BR166">
        <v>2.2949299999999999</v>
      </c>
      <c r="BS166">
        <v>2.29495</v>
      </c>
      <c r="BT166">
        <v>2.3075100000000002</v>
      </c>
      <c r="BW166">
        <v>2.2849900000000001</v>
      </c>
      <c r="BX166">
        <v>2.2850100000000002</v>
      </c>
      <c r="BY166">
        <v>2.2850199999999998</v>
      </c>
      <c r="BZ166">
        <v>2.2800400000000001</v>
      </c>
      <c r="CA166">
        <v>2.2800500000000001</v>
      </c>
      <c r="CB166">
        <v>2.2800600000000002</v>
      </c>
      <c r="CC166">
        <v>2.2800699999999998</v>
      </c>
      <c r="CD166">
        <v>2.2800799999999999</v>
      </c>
      <c r="CE166">
        <v>2.2846000000000002</v>
      </c>
      <c r="CF166">
        <v>2.2846099999999998</v>
      </c>
      <c r="CG166">
        <v>2.27962</v>
      </c>
      <c r="CH166">
        <v>2.27963</v>
      </c>
      <c r="CI166">
        <v>2.2724899999999999</v>
      </c>
      <c r="CJ166">
        <v>2.2725</v>
      </c>
      <c r="CK166">
        <v>2.2677299999999998</v>
      </c>
      <c r="CL166">
        <v>2.2677399999999999</v>
      </c>
      <c r="CM166">
        <v>2.2677499999999999</v>
      </c>
      <c r="CN166">
        <v>2.28017</v>
      </c>
      <c r="CO166">
        <v>2.2845</v>
      </c>
      <c r="CP166">
        <v>2.2751899999999998</v>
      </c>
      <c r="CQ166">
        <v>2.2778700000000001</v>
      </c>
      <c r="CS166">
        <v>2.2702300000000002</v>
      </c>
      <c r="CT166">
        <v>2.2712400000000001</v>
      </c>
      <c r="CU166">
        <v>2.2712400000000001</v>
      </c>
      <c r="CV166">
        <v>2.2712500000000002</v>
      </c>
      <c r="CW166">
        <v>2.2645900000000001</v>
      </c>
      <c r="CX166">
        <v>2.2646000000000002</v>
      </c>
      <c r="CY166">
        <v>2.26274</v>
      </c>
      <c r="CZ166">
        <v>2.2577500000000001</v>
      </c>
      <c r="DA166">
        <v>2.2527599999999999</v>
      </c>
      <c r="DB166">
        <v>2.2527699999999999</v>
      </c>
      <c r="DC166">
        <v>2.14777</v>
      </c>
    </row>
    <row r="167" spans="1:107" x14ac:dyDescent="0.25">
      <c r="A167">
        <f t="shared" si="2"/>
        <v>6</v>
      </c>
      <c r="B167" s="2">
        <v>42244</v>
      </c>
      <c r="F167">
        <v>0.10122</v>
      </c>
      <c r="G167">
        <v>0.38263999999999998</v>
      </c>
      <c r="H167">
        <v>0.43274000000000001</v>
      </c>
      <c r="I167">
        <v>0.38418000000000002</v>
      </c>
      <c r="J167">
        <v>0.42316999999999999</v>
      </c>
      <c r="K167">
        <v>0.43789</v>
      </c>
      <c r="L167">
        <v>0.4662</v>
      </c>
      <c r="M167">
        <v>0.49812000000000001</v>
      </c>
      <c r="N167">
        <v>0.44333</v>
      </c>
      <c r="O167">
        <v>0.56430000000000002</v>
      </c>
      <c r="P167">
        <v>0.54674</v>
      </c>
      <c r="Q167">
        <v>0.46210000000000001</v>
      </c>
      <c r="R167">
        <v>0.51802000000000004</v>
      </c>
      <c r="S167">
        <v>0.59382000000000001</v>
      </c>
      <c r="T167">
        <v>0.60611999999999999</v>
      </c>
      <c r="U167">
        <v>0.53835</v>
      </c>
      <c r="V167">
        <v>0.55864000000000003</v>
      </c>
      <c r="W167">
        <v>0.60412999999999994</v>
      </c>
      <c r="X167">
        <v>0.66510999999999998</v>
      </c>
      <c r="Y167">
        <v>0.72150000000000003</v>
      </c>
      <c r="Z167">
        <v>0.67242000000000002</v>
      </c>
      <c r="AA167">
        <v>0.73799000000000003</v>
      </c>
      <c r="AB167">
        <v>0.75063000000000002</v>
      </c>
      <c r="AC167">
        <v>0.79471000000000003</v>
      </c>
      <c r="AD167">
        <v>0.79312000000000005</v>
      </c>
      <c r="AE167">
        <v>0.68211999999999995</v>
      </c>
      <c r="AF167">
        <v>0.84226999999999996</v>
      </c>
      <c r="AG167">
        <v>0.90966999999999998</v>
      </c>
      <c r="AH167">
        <v>1.03488</v>
      </c>
      <c r="AI167">
        <v>1.02789</v>
      </c>
      <c r="AJ167">
        <v>1.04728</v>
      </c>
      <c r="AK167">
        <v>0.90912000000000004</v>
      </c>
      <c r="AL167">
        <v>1.1393800000000001</v>
      </c>
      <c r="AM167">
        <v>1.23685</v>
      </c>
      <c r="AN167">
        <v>1.0831299999999999</v>
      </c>
      <c r="AO167">
        <v>1.30131</v>
      </c>
      <c r="AP167">
        <v>1.39812</v>
      </c>
      <c r="AQ167">
        <v>1.22994</v>
      </c>
      <c r="AR167">
        <v>1.45126</v>
      </c>
      <c r="AS167">
        <v>1.5070300000000001</v>
      </c>
      <c r="AT167">
        <v>1.55983</v>
      </c>
      <c r="AU167">
        <v>1.5381199999999999</v>
      </c>
      <c r="AV167">
        <v>1.4673400000000001</v>
      </c>
      <c r="AW167">
        <v>2.0470000000000002</v>
      </c>
      <c r="AX167">
        <v>2.0592800000000002</v>
      </c>
      <c r="AY167">
        <v>2.0909300000000002</v>
      </c>
      <c r="AZ167">
        <v>2.1072199999999999</v>
      </c>
      <c r="BA167">
        <v>2.1297600000000001</v>
      </c>
      <c r="BB167">
        <v>2.2068500000000002</v>
      </c>
      <c r="BC167">
        <v>2.2404500000000001</v>
      </c>
      <c r="BD167">
        <v>2.2764899999999999</v>
      </c>
      <c r="BE167">
        <v>2.1862699999999999</v>
      </c>
      <c r="BF167">
        <v>2.3504399999999999</v>
      </c>
      <c r="BG167">
        <v>2.3320699999999999</v>
      </c>
      <c r="BH167">
        <v>2.3286099999999998</v>
      </c>
      <c r="BI167">
        <v>2.3107700000000002</v>
      </c>
      <c r="BJ167">
        <v>2.3007900000000001</v>
      </c>
      <c r="BK167">
        <v>2.2993100000000002</v>
      </c>
      <c r="BL167">
        <v>2.29433</v>
      </c>
      <c r="BM167">
        <v>2.3031899999999998</v>
      </c>
      <c r="BN167">
        <v>2.2943699999999998</v>
      </c>
      <c r="BO167">
        <v>2.2462499999999999</v>
      </c>
      <c r="BP167">
        <v>2.2843900000000001</v>
      </c>
      <c r="BQ167">
        <v>2.2844099999999998</v>
      </c>
      <c r="BR167">
        <v>2.27942</v>
      </c>
      <c r="BS167">
        <v>2.2967300000000002</v>
      </c>
      <c r="BT167">
        <v>2.2967399999999998</v>
      </c>
      <c r="BW167">
        <v>2.2867799999999998</v>
      </c>
      <c r="BX167">
        <v>2.2694999999999999</v>
      </c>
      <c r="BY167">
        <v>2.2695099999999999</v>
      </c>
      <c r="BZ167">
        <v>2.2645300000000002</v>
      </c>
      <c r="CA167">
        <v>2.2645400000000002</v>
      </c>
      <c r="CB167">
        <v>2.2645499999999998</v>
      </c>
      <c r="CC167">
        <v>2.2645599999999999</v>
      </c>
      <c r="CD167">
        <v>2.26458</v>
      </c>
      <c r="CE167">
        <v>2.2858700000000001</v>
      </c>
      <c r="CF167">
        <v>2.2858800000000001</v>
      </c>
      <c r="CG167">
        <v>2.2688600000000001</v>
      </c>
      <c r="CH167">
        <v>2.2688700000000002</v>
      </c>
      <c r="CI167">
        <v>2.2638799999999999</v>
      </c>
      <c r="CJ167">
        <v>2.26389</v>
      </c>
      <c r="CK167">
        <v>2.2639</v>
      </c>
      <c r="CL167">
        <v>2.2639100000000001</v>
      </c>
      <c r="CM167">
        <v>2.2639200000000002</v>
      </c>
      <c r="CN167">
        <v>2.2715000000000001</v>
      </c>
      <c r="CO167">
        <v>2.2655500000000002</v>
      </c>
      <c r="CP167">
        <v>2.2585500000000001</v>
      </c>
      <c r="CQ167">
        <v>2.2593399999999999</v>
      </c>
      <c r="CS167">
        <v>2.2547199999999998</v>
      </c>
      <c r="CT167">
        <v>2.2553899999999998</v>
      </c>
      <c r="CU167">
        <v>2.2553999999999998</v>
      </c>
      <c r="CV167">
        <v>2.2554099999999999</v>
      </c>
      <c r="CW167">
        <v>2.2467100000000002</v>
      </c>
      <c r="CX167">
        <v>2.2467199999999998</v>
      </c>
      <c r="CY167">
        <v>2.2487599999999999</v>
      </c>
      <c r="CZ167">
        <v>2.24173</v>
      </c>
      <c r="DA167">
        <v>2.2367400000000002</v>
      </c>
      <c r="DB167">
        <v>2.2367499999999998</v>
      </c>
      <c r="DC167">
        <v>2.1291000000000002</v>
      </c>
    </row>
    <row r="168" spans="1:107" x14ac:dyDescent="0.25">
      <c r="A168">
        <f t="shared" si="2"/>
        <v>2</v>
      </c>
      <c r="B168" s="2">
        <v>42247</v>
      </c>
      <c r="F168">
        <v>0.41986000000000001</v>
      </c>
      <c r="G168">
        <v>0.42996000000000001</v>
      </c>
      <c r="H168">
        <v>0.45111000000000001</v>
      </c>
      <c r="I168">
        <v>0.48520999999999997</v>
      </c>
      <c r="J168">
        <v>0.42779</v>
      </c>
      <c r="K168">
        <v>0.46564</v>
      </c>
      <c r="L168">
        <v>0.48886000000000002</v>
      </c>
      <c r="M168">
        <v>0.52859</v>
      </c>
      <c r="N168">
        <v>0.47104000000000001</v>
      </c>
      <c r="O168">
        <v>0.59031</v>
      </c>
      <c r="P168">
        <v>0.57199999999999995</v>
      </c>
      <c r="Q168">
        <v>0.49682999999999999</v>
      </c>
      <c r="R168">
        <v>0.55200000000000005</v>
      </c>
      <c r="S168">
        <v>0.61536000000000002</v>
      </c>
      <c r="T168">
        <v>0.65525</v>
      </c>
      <c r="U168">
        <v>0.54166999999999998</v>
      </c>
      <c r="V168">
        <v>0.57992999999999995</v>
      </c>
      <c r="W168">
        <v>0.62682000000000004</v>
      </c>
      <c r="X168">
        <v>0.68586000000000003</v>
      </c>
      <c r="Y168">
        <v>0.75168999999999997</v>
      </c>
      <c r="Z168">
        <v>0.69825999999999999</v>
      </c>
      <c r="AA168">
        <v>0.76802999999999999</v>
      </c>
      <c r="AB168">
        <v>0.78446000000000005</v>
      </c>
      <c r="AC168">
        <v>0.81459000000000004</v>
      </c>
      <c r="AD168">
        <v>0.81123000000000001</v>
      </c>
      <c r="AE168">
        <v>0.71543000000000001</v>
      </c>
      <c r="AF168">
        <v>0.87228000000000006</v>
      </c>
      <c r="AG168">
        <v>0.93518000000000001</v>
      </c>
      <c r="AH168">
        <v>1.07033</v>
      </c>
      <c r="AI168">
        <v>1.0629999999999999</v>
      </c>
      <c r="AJ168">
        <v>1.08257</v>
      </c>
      <c r="AK168">
        <v>0.94349000000000005</v>
      </c>
      <c r="AL168">
        <v>1.1687399999999999</v>
      </c>
      <c r="AM168">
        <v>1.2725299999999999</v>
      </c>
      <c r="AN168">
        <v>1.1154900000000001</v>
      </c>
      <c r="AO168">
        <v>1.33815</v>
      </c>
      <c r="AP168">
        <v>1.4390000000000001</v>
      </c>
      <c r="AQ168">
        <v>1.2688900000000001</v>
      </c>
      <c r="AR168">
        <v>1.49214</v>
      </c>
      <c r="AS168">
        <v>1.5519000000000001</v>
      </c>
      <c r="AT168">
        <v>1.5984499999999999</v>
      </c>
      <c r="AU168">
        <v>1.60042</v>
      </c>
      <c r="AV168">
        <v>1.50915</v>
      </c>
      <c r="AW168">
        <v>2.0920999999999998</v>
      </c>
      <c r="AX168">
        <v>2.1050499999999999</v>
      </c>
      <c r="AY168">
        <v>2.1353499999999999</v>
      </c>
      <c r="AZ168">
        <v>2.1489199999999999</v>
      </c>
      <c r="BA168">
        <v>2.17144</v>
      </c>
      <c r="BB168">
        <v>2.2469299999999999</v>
      </c>
      <c r="BC168">
        <v>2.27894</v>
      </c>
      <c r="BD168">
        <v>2.31236</v>
      </c>
      <c r="BE168">
        <v>2.2231299999999998</v>
      </c>
      <c r="BF168">
        <v>2.3902800000000002</v>
      </c>
      <c r="BG168">
        <v>2.3716599999999999</v>
      </c>
      <c r="BH168">
        <v>2.3630300000000002</v>
      </c>
      <c r="BI168">
        <v>2.3489</v>
      </c>
      <c r="BJ168">
        <v>2.3389199999999999</v>
      </c>
      <c r="BK168">
        <v>2.3374299999999999</v>
      </c>
      <c r="BL168">
        <v>2.3324400000000001</v>
      </c>
      <c r="BM168">
        <v>2.3488799999999999</v>
      </c>
      <c r="BN168">
        <v>2.3324600000000002</v>
      </c>
      <c r="BO168">
        <v>2.2841100000000001</v>
      </c>
      <c r="BP168">
        <v>2.3224800000000001</v>
      </c>
      <c r="BQ168">
        <v>2.3224900000000002</v>
      </c>
      <c r="BR168">
        <v>2.3374199999999998</v>
      </c>
      <c r="BS168">
        <v>2.3374199999999998</v>
      </c>
      <c r="BT168">
        <v>2.3374299999999999</v>
      </c>
      <c r="BW168">
        <v>2.3274499999999998</v>
      </c>
      <c r="BX168">
        <v>2.3454700000000002</v>
      </c>
      <c r="BY168">
        <v>2.30755</v>
      </c>
      <c r="BZ168">
        <v>2.3025600000000002</v>
      </c>
      <c r="CA168">
        <v>2.3025699999999998</v>
      </c>
      <c r="CB168">
        <v>2.3025799999999998</v>
      </c>
      <c r="CC168">
        <v>2.3025799999999998</v>
      </c>
      <c r="CD168">
        <v>2.3025899999999999</v>
      </c>
      <c r="CE168">
        <v>2.31819</v>
      </c>
      <c r="CF168">
        <v>2.3255300000000001</v>
      </c>
      <c r="CG168">
        <v>2.3085399999999998</v>
      </c>
      <c r="CH168">
        <v>2.3115600000000001</v>
      </c>
      <c r="CI168">
        <v>2.3035600000000001</v>
      </c>
      <c r="CJ168">
        <v>2.3035600000000001</v>
      </c>
      <c r="CK168">
        <v>2.3035700000000001</v>
      </c>
      <c r="CL168">
        <v>2.3035800000000002</v>
      </c>
      <c r="CM168">
        <v>2.3035800000000002</v>
      </c>
      <c r="CN168">
        <v>2.3109199999999999</v>
      </c>
      <c r="CO168">
        <v>2.3092600000000001</v>
      </c>
      <c r="CP168">
        <v>2.3010999999999999</v>
      </c>
      <c r="CQ168">
        <v>2.2986300000000002</v>
      </c>
      <c r="CS168">
        <v>2.2913100000000002</v>
      </c>
      <c r="CT168">
        <v>2.2926799999999998</v>
      </c>
      <c r="CU168">
        <v>2.2936800000000002</v>
      </c>
      <c r="CV168">
        <v>2.2936800000000002</v>
      </c>
      <c r="CW168">
        <v>2.2846700000000002</v>
      </c>
      <c r="CX168">
        <v>2.2846700000000002</v>
      </c>
      <c r="CY168">
        <v>2.2846799999999998</v>
      </c>
      <c r="CZ168">
        <v>2.27765</v>
      </c>
      <c r="DA168">
        <v>2.2746900000000001</v>
      </c>
      <c r="DB168">
        <v>2.2746900000000001</v>
      </c>
      <c r="DC168">
        <v>2.1726700000000001</v>
      </c>
    </row>
    <row r="169" spans="1:107" x14ac:dyDescent="0.25">
      <c r="A169">
        <f t="shared" si="2"/>
        <v>3</v>
      </c>
      <c r="B169" s="2">
        <v>42248</v>
      </c>
      <c r="G169">
        <v>0.43160999999999999</v>
      </c>
      <c r="H169">
        <v>0.45362000000000002</v>
      </c>
      <c r="I169">
        <v>0.40117999999999998</v>
      </c>
      <c r="J169">
        <v>0.42775000000000002</v>
      </c>
      <c r="K169">
        <v>0.46528999999999998</v>
      </c>
      <c r="L169">
        <v>0.48354000000000003</v>
      </c>
      <c r="M169">
        <v>0.51590999999999998</v>
      </c>
      <c r="N169">
        <v>0.45767999999999998</v>
      </c>
      <c r="O169">
        <v>0.58755000000000002</v>
      </c>
      <c r="P169">
        <v>0.56977</v>
      </c>
      <c r="Q169">
        <v>0.47210000000000002</v>
      </c>
      <c r="R169">
        <v>0.53903000000000001</v>
      </c>
      <c r="S169">
        <v>0.60275999999999996</v>
      </c>
      <c r="T169">
        <v>0.64329000000000003</v>
      </c>
      <c r="U169">
        <v>0.54196999999999995</v>
      </c>
      <c r="V169">
        <v>0.56535000000000002</v>
      </c>
      <c r="W169">
        <v>0.60987999999999998</v>
      </c>
      <c r="X169">
        <v>0.67215000000000003</v>
      </c>
      <c r="Y169">
        <v>0.71042000000000005</v>
      </c>
      <c r="Z169">
        <v>0.67196999999999996</v>
      </c>
      <c r="AA169">
        <v>0.72367999999999999</v>
      </c>
      <c r="AB169">
        <v>0.76471999999999996</v>
      </c>
      <c r="AC169">
        <v>0.80330999999999997</v>
      </c>
      <c r="AD169">
        <v>0.77012000000000003</v>
      </c>
      <c r="AE169">
        <v>0.66822000000000004</v>
      </c>
      <c r="AF169">
        <v>0.86063000000000001</v>
      </c>
      <c r="AG169">
        <v>0.90534000000000003</v>
      </c>
      <c r="AH169">
        <v>1.0583100000000001</v>
      </c>
      <c r="AI169">
        <v>1.02094</v>
      </c>
      <c r="AJ169">
        <v>1.0394399999999999</v>
      </c>
      <c r="AK169">
        <v>0.89051999999999998</v>
      </c>
      <c r="AL169">
        <v>1.13767</v>
      </c>
      <c r="AM169">
        <v>1.2386900000000001</v>
      </c>
      <c r="AN169">
        <v>1.0757399999999999</v>
      </c>
      <c r="AO169">
        <v>1.3110200000000001</v>
      </c>
      <c r="AP169">
        <v>1.39862</v>
      </c>
      <c r="AQ169">
        <v>1.2276</v>
      </c>
      <c r="AR169">
        <v>1.4469799999999999</v>
      </c>
      <c r="AS169">
        <v>1.5023</v>
      </c>
      <c r="AT169">
        <v>1.55945</v>
      </c>
      <c r="AU169">
        <v>1.5724499999999999</v>
      </c>
      <c r="AV169">
        <v>1.4580500000000001</v>
      </c>
      <c r="AW169">
        <v>2.05226</v>
      </c>
      <c r="AX169">
        <v>2.05572</v>
      </c>
      <c r="AY169">
        <v>2.0848300000000002</v>
      </c>
      <c r="AZ169">
        <v>2.1052200000000001</v>
      </c>
      <c r="BA169">
        <v>2.1210399999999998</v>
      </c>
      <c r="BB169">
        <v>2.2127300000000001</v>
      </c>
      <c r="BC169">
        <v>2.23794</v>
      </c>
      <c r="BD169">
        <v>2.2676099999999999</v>
      </c>
      <c r="BE169">
        <v>2.1841200000000001</v>
      </c>
      <c r="BF169">
        <v>2.3460100000000002</v>
      </c>
      <c r="BG169">
        <v>2.3282699999999998</v>
      </c>
      <c r="BH169">
        <v>2.31914</v>
      </c>
      <c r="BI169">
        <v>2.3058100000000001</v>
      </c>
      <c r="BJ169">
        <v>2.3066200000000001</v>
      </c>
      <c r="BK169">
        <v>2.2938299999999998</v>
      </c>
      <c r="BL169">
        <v>2.2986499999999999</v>
      </c>
      <c r="BM169">
        <v>2.3042099999999999</v>
      </c>
      <c r="BN169">
        <v>2.2888700000000002</v>
      </c>
      <c r="BO169">
        <v>2.24241</v>
      </c>
      <c r="BP169">
        <v>2.2886799999999998</v>
      </c>
      <c r="BQ169">
        <v>2.2886899999999999</v>
      </c>
      <c r="BR169">
        <v>2.2936200000000002</v>
      </c>
      <c r="BS169">
        <v>2.2936200000000002</v>
      </c>
      <c r="BT169">
        <v>2.2936299999999998</v>
      </c>
      <c r="BW169">
        <v>2.2836500000000002</v>
      </c>
      <c r="BX169">
        <v>2.2997299999999998</v>
      </c>
      <c r="BY169">
        <v>2.2786900000000001</v>
      </c>
      <c r="BZ169">
        <v>2.2589600000000001</v>
      </c>
      <c r="CA169">
        <v>2.2589700000000001</v>
      </c>
      <c r="CB169">
        <v>2.2589800000000002</v>
      </c>
      <c r="CC169">
        <v>2.2654700000000001</v>
      </c>
      <c r="CD169">
        <v>2.2654800000000002</v>
      </c>
      <c r="CE169">
        <v>2.27284</v>
      </c>
      <c r="CF169">
        <v>2.27285</v>
      </c>
      <c r="CG169">
        <v>2.26376</v>
      </c>
      <c r="CH169">
        <v>2.2662100000000001</v>
      </c>
      <c r="CI169">
        <v>2.2587799999999998</v>
      </c>
      <c r="CJ169">
        <v>2.2587799999999998</v>
      </c>
      <c r="CK169">
        <v>2.2555299999999998</v>
      </c>
      <c r="CL169">
        <v>2.2555399999999999</v>
      </c>
      <c r="CM169">
        <v>2.2555499999999999</v>
      </c>
      <c r="CN169">
        <v>2.2655699999999999</v>
      </c>
      <c r="CO169">
        <v>2.2639100000000001</v>
      </c>
      <c r="CP169">
        <v>2.25631</v>
      </c>
      <c r="CQ169">
        <v>2.2539600000000002</v>
      </c>
      <c r="CS169">
        <v>2.2490800000000002</v>
      </c>
      <c r="CT169">
        <v>2.2491099999999999</v>
      </c>
      <c r="CU169">
        <v>2.2491099999999999</v>
      </c>
      <c r="CV169">
        <v>2.24912</v>
      </c>
      <c r="CW169">
        <v>2.2391399999999999</v>
      </c>
      <c r="CX169">
        <v>2.2391399999999999</v>
      </c>
      <c r="CY169">
        <v>2.2391399999999999</v>
      </c>
      <c r="CZ169">
        <v>2.2323</v>
      </c>
      <c r="DA169">
        <v>2.2291500000000002</v>
      </c>
      <c r="DB169">
        <v>2.2291599999999998</v>
      </c>
      <c r="DC169">
        <v>2.1174900000000001</v>
      </c>
    </row>
    <row r="170" spans="1:107" x14ac:dyDescent="0.25">
      <c r="A170">
        <f t="shared" si="2"/>
        <v>4</v>
      </c>
      <c r="B170" s="2">
        <v>42249</v>
      </c>
      <c r="G170">
        <v>0.35482000000000002</v>
      </c>
      <c r="H170">
        <v>0.44690999999999997</v>
      </c>
      <c r="I170">
        <v>0.4647</v>
      </c>
      <c r="J170">
        <v>0.42041000000000001</v>
      </c>
      <c r="K170">
        <v>0.46444000000000002</v>
      </c>
      <c r="L170">
        <v>0.49752999999999997</v>
      </c>
      <c r="M170">
        <v>0.51432</v>
      </c>
      <c r="N170">
        <v>0.45663999999999999</v>
      </c>
      <c r="O170">
        <v>0.58809</v>
      </c>
      <c r="P170">
        <v>0.56755</v>
      </c>
      <c r="Q170">
        <v>0.47178999999999999</v>
      </c>
      <c r="R170">
        <v>0.52781999999999996</v>
      </c>
      <c r="S170">
        <v>0.60092000000000001</v>
      </c>
      <c r="T170">
        <v>0.64187000000000005</v>
      </c>
      <c r="U170">
        <v>0.51978000000000002</v>
      </c>
      <c r="V170">
        <v>0.55828</v>
      </c>
      <c r="W170">
        <v>0.60445000000000004</v>
      </c>
      <c r="X170">
        <v>0.66468000000000005</v>
      </c>
      <c r="Y170">
        <v>0.71848999999999996</v>
      </c>
      <c r="Z170">
        <v>0.66847999999999996</v>
      </c>
      <c r="AA170">
        <v>0.72255999999999998</v>
      </c>
      <c r="AB170">
        <v>0.75292999999999999</v>
      </c>
      <c r="AC170">
        <v>0.77681</v>
      </c>
      <c r="AD170">
        <v>0.77712999999999999</v>
      </c>
      <c r="AE170">
        <v>0.68220999999999998</v>
      </c>
      <c r="AF170">
        <v>0.84211999999999998</v>
      </c>
      <c r="AG170">
        <v>0.91032000000000002</v>
      </c>
      <c r="AH170">
        <v>1.038</v>
      </c>
      <c r="AI170">
        <v>1.03596</v>
      </c>
      <c r="AJ170">
        <v>1.0555699999999999</v>
      </c>
      <c r="AK170">
        <v>0.91417000000000004</v>
      </c>
      <c r="AL170">
        <v>1.1397299999999999</v>
      </c>
      <c r="AM170">
        <v>1.2463299999999999</v>
      </c>
      <c r="AN170">
        <v>1.0896999999999999</v>
      </c>
      <c r="AO170">
        <v>1.30989</v>
      </c>
      <c r="AP170">
        <v>1.4117200000000001</v>
      </c>
      <c r="AQ170">
        <v>1.24665</v>
      </c>
      <c r="AR170">
        <v>1.4738599999999999</v>
      </c>
      <c r="AS170">
        <v>1.52339</v>
      </c>
      <c r="AT170">
        <v>1.58124</v>
      </c>
      <c r="AU170">
        <v>1.5659000000000001</v>
      </c>
      <c r="AV170">
        <v>1.4781500000000001</v>
      </c>
      <c r="AW170">
        <v>2.0566599999999999</v>
      </c>
      <c r="AX170">
        <v>2.05619</v>
      </c>
      <c r="AY170">
        <v>2.0982099999999999</v>
      </c>
      <c r="AZ170">
        <v>2.1145100000000001</v>
      </c>
      <c r="BA170">
        <v>2.1370499999999999</v>
      </c>
      <c r="BB170">
        <v>2.2328299999999999</v>
      </c>
      <c r="BC170">
        <v>2.26051</v>
      </c>
      <c r="BD170">
        <v>2.2972999999999999</v>
      </c>
      <c r="BE170">
        <v>2.2117499999999999</v>
      </c>
      <c r="BF170">
        <v>2.3701599999999998</v>
      </c>
      <c r="BG170">
        <v>2.3530600000000002</v>
      </c>
      <c r="BH170">
        <v>2.3438599999999998</v>
      </c>
      <c r="BI170">
        <v>2.3308900000000001</v>
      </c>
      <c r="BJ170">
        <v>2.33873</v>
      </c>
      <c r="BK170">
        <v>2.31894</v>
      </c>
      <c r="BL170">
        <v>2.3235100000000002</v>
      </c>
      <c r="BM170">
        <v>2.3293900000000001</v>
      </c>
      <c r="BN170">
        <v>2.3140100000000001</v>
      </c>
      <c r="BO170">
        <v>2.2679499999999999</v>
      </c>
      <c r="BP170">
        <v>2.3040400000000001</v>
      </c>
      <c r="BQ170">
        <v>2.3040600000000002</v>
      </c>
      <c r="BR170">
        <v>2.3188900000000001</v>
      </c>
      <c r="BS170">
        <v>2.3189000000000002</v>
      </c>
      <c r="BT170">
        <v>2.3189199999999999</v>
      </c>
      <c r="BW170">
        <v>2.3089599999999999</v>
      </c>
      <c r="BX170">
        <v>2.3250299999999999</v>
      </c>
      <c r="BY170">
        <v>2.28918</v>
      </c>
      <c r="BZ170">
        <v>2.2842099999999999</v>
      </c>
      <c r="CA170">
        <v>2.2842199999999999</v>
      </c>
      <c r="CB170">
        <v>2.28424</v>
      </c>
      <c r="CC170">
        <v>2.29047</v>
      </c>
      <c r="CD170">
        <v>2.2904900000000001</v>
      </c>
      <c r="CE170">
        <v>2.2978499999999999</v>
      </c>
      <c r="CF170">
        <v>2.29786</v>
      </c>
      <c r="CG170">
        <v>2.28817</v>
      </c>
      <c r="CH170">
        <v>2.2881900000000002</v>
      </c>
      <c r="CI170">
        <v>2.28321</v>
      </c>
      <c r="CJ170">
        <v>2.28322</v>
      </c>
      <c r="CK170">
        <v>2.2832300000000001</v>
      </c>
      <c r="CL170">
        <v>2.2832400000000002</v>
      </c>
      <c r="CM170">
        <v>2.2832499999999998</v>
      </c>
      <c r="CN170">
        <v>2.2882500000000001</v>
      </c>
      <c r="CO170">
        <v>2.2822900000000002</v>
      </c>
      <c r="CP170">
        <v>2.2789799999999998</v>
      </c>
      <c r="CQ170">
        <v>2.27732</v>
      </c>
      <c r="CS170">
        <v>2.2723399999999998</v>
      </c>
      <c r="CT170">
        <v>2.2744499999999999</v>
      </c>
      <c r="CU170">
        <v>2.2744599999999999</v>
      </c>
      <c r="CV170">
        <v>2.27447</v>
      </c>
      <c r="CW170">
        <v>2.26701</v>
      </c>
      <c r="CX170">
        <v>2.26701</v>
      </c>
      <c r="CY170">
        <v>2.26702</v>
      </c>
      <c r="CZ170">
        <v>2.2620300000000002</v>
      </c>
      <c r="DA170">
        <v>2.2570399999999999</v>
      </c>
      <c r="DB170">
        <v>2.25705</v>
      </c>
      <c r="DC170">
        <v>2.1470899999999999</v>
      </c>
    </row>
    <row r="171" spans="1:107" x14ac:dyDescent="0.25">
      <c r="A171">
        <f t="shared" si="2"/>
        <v>5</v>
      </c>
      <c r="B171" s="2">
        <v>42250</v>
      </c>
      <c r="G171">
        <v>0.27973999999999999</v>
      </c>
      <c r="H171">
        <v>0.43967000000000001</v>
      </c>
      <c r="I171">
        <v>0.38894000000000001</v>
      </c>
      <c r="J171">
        <v>0.43</v>
      </c>
      <c r="K171">
        <v>0.46800000000000003</v>
      </c>
      <c r="L171">
        <v>0.48914000000000002</v>
      </c>
      <c r="M171">
        <v>0.45724999999999999</v>
      </c>
      <c r="N171">
        <v>0.44213999999999998</v>
      </c>
      <c r="O171">
        <v>0.59426999999999996</v>
      </c>
      <c r="P171">
        <v>0.57450000000000001</v>
      </c>
      <c r="Q171">
        <v>0.48657</v>
      </c>
      <c r="R171">
        <v>0.54905000000000004</v>
      </c>
      <c r="S171">
        <v>0.61346000000000001</v>
      </c>
      <c r="T171">
        <v>0.65312999999999999</v>
      </c>
      <c r="U171">
        <v>0.53254999999999997</v>
      </c>
      <c r="V171">
        <v>0.57140999999999997</v>
      </c>
      <c r="W171">
        <v>0.61741999999999997</v>
      </c>
      <c r="X171">
        <v>0.67840999999999996</v>
      </c>
      <c r="Y171">
        <v>0.72702999999999995</v>
      </c>
      <c r="Z171">
        <v>0.68028999999999995</v>
      </c>
      <c r="AA171">
        <v>0.73346999999999996</v>
      </c>
      <c r="AB171">
        <v>0.76446999999999998</v>
      </c>
      <c r="AC171">
        <v>0.78891999999999995</v>
      </c>
      <c r="AD171">
        <v>0.80493000000000003</v>
      </c>
      <c r="AE171">
        <v>0.69515000000000005</v>
      </c>
      <c r="AF171">
        <v>0.85650999999999999</v>
      </c>
      <c r="AG171">
        <v>0.91861999999999999</v>
      </c>
      <c r="AH171">
        <v>1.0363800000000001</v>
      </c>
      <c r="AI171">
        <v>1.0499799999999999</v>
      </c>
      <c r="AJ171">
        <v>1.0695699999999999</v>
      </c>
      <c r="AK171">
        <v>0.92789999999999995</v>
      </c>
      <c r="AL171">
        <v>1.1539600000000001</v>
      </c>
      <c r="AM171">
        <v>1.26</v>
      </c>
      <c r="AN171">
        <v>1.1013500000000001</v>
      </c>
      <c r="AO171">
        <v>1.3223499999999999</v>
      </c>
      <c r="AP171">
        <v>1.4197200000000001</v>
      </c>
      <c r="AQ171">
        <v>1.2548999999999999</v>
      </c>
      <c r="AR171">
        <v>1.48201</v>
      </c>
      <c r="AS171">
        <v>1.53043</v>
      </c>
      <c r="AT171">
        <v>1.58819</v>
      </c>
      <c r="AU171">
        <v>1.5725100000000001</v>
      </c>
      <c r="AV171">
        <v>1.4859500000000001</v>
      </c>
      <c r="AW171">
        <v>2.0657000000000001</v>
      </c>
      <c r="AX171">
        <v>2.0653800000000002</v>
      </c>
      <c r="AY171">
        <v>2.1076899999999998</v>
      </c>
      <c r="AZ171">
        <v>2.12399</v>
      </c>
      <c r="BA171">
        <v>2.1465299999999998</v>
      </c>
      <c r="BB171">
        <v>2.2463899999999999</v>
      </c>
      <c r="BC171">
        <v>2.27685</v>
      </c>
      <c r="BD171">
        <v>2.3085399999999998</v>
      </c>
      <c r="BE171">
        <v>2.2253799999999999</v>
      </c>
      <c r="BF171">
        <v>2.3829099999999999</v>
      </c>
      <c r="BG171">
        <v>2.36477</v>
      </c>
      <c r="BH171">
        <v>2.3554400000000002</v>
      </c>
      <c r="BI171">
        <v>2.34246</v>
      </c>
      <c r="BJ171">
        <v>2.3431600000000001</v>
      </c>
      <c r="BK171">
        <v>2.3305099999999999</v>
      </c>
      <c r="BL171">
        <v>2.3352200000000001</v>
      </c>
      <c r="BM171">
        <v>2.3410700000000002</v>
      </c>
      <c r="BN171">
        <v>2.32558</v>
      </c>
      <c r="BO171">
        <v>2.2779699999999998</v>
      </c>
      <c r="BP171">
        <v>2.3156099999999999</v>
      </c>
      <c r="BQ171">
        <v>2.3156300000000001</v>
      </c>
      <c r="BR171">
        <v>2.3296899999999998</v>
      </c>
      <c r="BS171">
        <v>2.3297099999999999</v>
      </c>
      <c r="BT171">
        <v>2.3297300000000001</v>
      </c>
      <c r="BW171">
        <v>2.3197700000000001</v>
      </c>
      <c r="BX171">
        <v>2.3261099999999999</v>
      </c>
      <c r="BY171">
        <v>2.3007599999999999</v>
      </c>
      <c r="BZ171">
        <v>2.2957800000000002</v>
      </c>
      <c r="CA171">
        <v>2.2957900000000002</v>
      </c>
      <c r="CB171">
        <v>2.2958099999999999</v>
      </c>
      <c r="CC171">
        <v>2.3021799999999999</v>
      </c>
      <c r="CD171">
        <v>2.3022</v>
      </c>
      <c r="CE171">
        <v>2.3102299999999998</v>
      </c>
      <c r="CF171">
        <v>2.3102399999999998</v>
      </c>
      <c r="CG171">
        <v>2.3009300000000001</v>
      </c>
      <c r="CH171">
        <v>2.3036099999999999</v>
      </c>
      <c r="CI171">
        <v>2.29596</v>
      </c>
      <c r="CJ171">
        <v>2.2959700000000001</v>
      </c>
      <c r="CK171">
        <v>2.2959800000000001</v>
      </c>
      <c r="CL171">
        <v>2.2959900000000002</v>
      </c>
      <c r="CM171">
        <v>2.2959999999999998</v>
      </c>
      <c r="CN171">
        <v>2.30335</v>
      </c>
      <c r="CO171">
        <v>2.3016800000000002</v>
      </c>
      <c r="CP171">
        <v>2.2935300000000001</v>
      </c>
      <c r="CQ171">
        <v>2.29129</v>
      </c>
      <c r="CS171">
        <v>2.2840600000000002</v>
      </c>
      <c r="CT171">
        <v>2.2867099999999998</v>
      </c>
      <c r="CU171">
        <v>2.2867199999999999</v>
      </c>
      <c r="CV171">
        <v>2.2867299999999999</v>
      </c>
      <c r="CW171">
        <v>2.2775799999999999</v>
      </c>
      <c r="CX171">
        <v>2.27759</v>
      </c>
      <c r="CY171">
        <v>2.27759</v>
      </c>
      <c r="CZ171">
        <v>2.27014</v>
      </c>
      <c r="DA171">
        <v>2.2676099999999999</v>
      </c>
      <c r="DB171">
        <v>2.26762</v>
      </c>
      <c r="DC171">
        <v>2.1551499999999999</v>
      </c>
    </row>
    <row r="172" spans="1:107" x14ac:dyDescent="0.25">
      <c r="A172">
        <f t="shared" si="2"/>
        <v>6</v>
      </c>
      <c r="B172" s="2">
        <v>42251</v>
      </c>
      <c r="G172">
        <v>0.26018999999999998</v>
      </c>
      <c r="H172">
        <v>0.44822000000000001</v>
      </c>
      <c r="I172">
        <v>0.47288000000000002</v>
      </c>
      <c r="J172">
        <v>0.42992000000000002</v>
      </c>
      <c r="K172">
        <v>0.47474</v>
      </c>
      <c r="L172">
        <v>0.49682999999999999</v>
      </c>
      <c r="M172">
        <v>0.45723000000000003</v>
      </c>
      <c r="N172">
        <v>0.44209999999999999</v>
      </c>
      <c r="O172">
        <v>0.60048000000000001</v>
      </c>
      <c r="P172">
        <v>0.5827</v>
      </c>
      <c r="Q172">
        <v>0.50255000000000005</v>
      </c>
      <c r="R172">
        <v>0.55718999999999996</v>
      </c>
      <c r="S172">
        <v>0.62509000000000003</v>
      </c>
      <c r="T172">
        <v>0.66517000000000004</v>
      </c>
      <c r="U172">
        <v>0.56106</v>
      </c>
      <c r="V172">
        <v>0.57852999999999999</v>
      </c>
      <c r="W172">
        <v>0.62534999999999996</v>
      </c>
      <c r="X172">
        <v>0.68638999999999994</v>
      </c>
      <c r="Y172">
        <v>0.75494000000000006</v>
      </c>
      <c r="Z172">
        <v>0.68303999999999998</v>
      </c>
      <c r="AA172">
        <v>0.73570000000000002</v>
      </c>
      <c r="AB172">
        <v>0.75843000000000005</v>
      </c>
      <c r="AC172">
        <v>0.78664999999999996</v>
      </c>
      <c r="AD172">
        <v>0.80159000000000002</v>
      </c>
      <c r="AE172">
        <v>0.69815000000000005</v>
      </c>
      <c r="AF172">
        <v>0.85401000000000005</v>
      </c>
      <c r="AG172">
        <v>0.91571000000000002</v>
      </c>
      <c r="AH172">
        <v>1.0283899999999999</v>
      </c>
      <c r="AI172">
        <v>1.04779</v>
      </c>
      <c r="AJ172">
        <v>1.06429</v>
      </c>
      <c r="AK172">
        <v>0.92049999999999998</v>
      </c>
      <c r="AL172">
        <v>1.1490400000000001</v>
      </c>
      <c r="AM172">
        <v>1.2476400000000001</v>
      </c>
      <c r="AN172">
        <v>1.08636</v>
      </c>
      <c r="AO172">
        <v>1.3072699999999999</v>
      </c>
      <c r="AP172">
        <v>1.39856</v>
      </c>
      <c r="AQ172">
        <v>1.2404599999999999</v>
      </c>
      <c r="AR172">
        <v>1.46086</v>
      </c>
      <c r="AS172">
        <v>1.50492</v>
      </c>
      <c r="AT172">
        <v>1.56298</v>
      </c>
      <c r="AU172">
        <v>1.5474699999999999</v>
      </c>
      <c r="AV172">
        <v>1.4616499999999999</v>
      </c>
      <c r="AW172">
        <v>2.0409700000000002</v>
      </c>
      <c r="AX172">
        <v>2.0401500000000001</v>
      </c>
      <c r="AY172">
        <v>2.0814499999999998</v>
      </c>
      <c r="AZ172">
        <v>2.09775</v>
      </c>
      <c r="BA172">
        <v>2.1325599999999998</v>
      </c>
      <c r="BB172">
        <v>2.2229999999999999</v>
      </c>
      <c r="BC172">
        <v>2.2545299999999999</v>
      </c>
      <c r="BD172">
        <v>2.2848700000000002</v>
      </c>
      <c r="BE172">
        <v>2.2048700000000001</v>
      </c>
      <c r="BF172">
        <v>2.3597600000000001</v>
      </c>
      <c r="BG172">
        <v>2.3422100000000001</v>
      </c>
      <c r="BH172">
        <v>2.3391700000000002</v>
      </c>
      <c r="BI172">
        <v>2.3201100000000001</v>
      </c>
      <c r="BJ172">
        <v>2.3101400000000001</v>
      </c>
      <c r="BK172">
        <v>2.30816</v>
      </c>
      <c r="BL172">
        <v>2.3031899999999998</v>
      </c>
      <c r="BM172">
        <v>2.3126799999999998</v>
      </c>
      <c r="BN172">
        <v>2.3032400000000002</v>
      </c>
      <c r="BO172">
        <v>2.2600699999999998</v>
      </c>
      <c r="BP172">
        <v>2.2932600000000001</v>
      </c>
      <c r="BQ172">
        <v>2.2932800000000002</v>
      </c>
      <c r="BR172">
        <v>2.3075100000000002</v>
      </c>
      <c r="BS172">
        <v>2.3075299999999999</v>
      </c>
      <c r="BT172">
        <v>2.30755</v>
      </c>
      <c r="BW172">
        <v>2.29759</v>
      </c>
      <c r="BX172">
        <v>2.2976000000000001</v>
      </c>
      <c r="BY172">
        <v>2.27841</v>
      </c>
      <c r="BZ172">
        <v>2.2734299999999998</v>
      </c>
      <c r="CA172">
        <v>2.2734399999999999</v>
      </c>
      <c r="CB172">
        <v>2.27346</v>
      </c>
      <c r="CC172">
        <v>2.2734700000000001</v>
      </c>
      <c r="CD172">
        <v>2.2734899999999998</v>
      </c>
      <c r="CE172">
        <v>2.2827299999999999</v>
      </c>
      <c r="CF172">
        <v>2.28274</v>
      </c>
      <c r="CG172">
        <v>2.2777699999999999</v>
      </c>
      <c r="CH172">
        <v>2.2777799999999999</v>
      </c>
      <c r="CI172">
        <v>2.26972</v>
      </c>
      <c r="CJ172">
        <v>2.26973</v>
      </c>
      <c r="CK172">
        <v>2.2728299999999999</v>
      </c>
      <c r="CL172">
        <v>2.27284</v>
      </c>
      <c r="CM172">
        <v>2.27285</v>
      </c>
      <c r="CN172">
        <v>2.2778499999999999</v>
      </c>
      <c r="CO172">
        <v>2.2714400000000001</v>
      </c>
      <c r="CP172">
        <v>2.2653799999999999</v>
      </c>
      <c r="CQ172">
        <v>2.26647</v>
      </c>
      <c r="CS172">
        <v>2.2614899999999998</v>
      </c>
      <c r="CT172">
        <v>2.2636699999999998</v>
      </c>
      <c r="CU172">
        <v>2.2636799999999999</v>
      </c>
      <c r="CV172">
        <v>2.26369</v>
      </c>
      <c r="CW172">
        <v>2.2603399999999998</v>
      </c>
      <c r="CX172">
        <v>2.2603399999999998</v>
      </c>
      <c r="CY172">
        <v>2.2603499999999999</v>
      </c>
      <c r="CZ172">
        <v>2.2536900000000002</v>
      </c>
      <c r="DA172">
        <v>2.2486899999999999</v>
      </c>
      <c r="DB172">
        <v>2.2486999999999999</v>
      </c>
      <c r="DC172">
        <v>2.1412399999999998</v>
      </c>
    </row>
    <row r="173" spans="1:107" x14ac:dyDescent="0.25">
      <c r="A173">
        <f t="shared" si="2"/>
        <v>3</v>
      </c>
      <c r="B173" s="2">
        <v>42255</v>
      </c>
      <c r="G173">
        <v>0.33517999999999998</v>
      </c>
      <c r="H173">
        <v>0.46255000000000002</v>
      </c>
      <c r="I173">
        <v>0.38628000000000001</v>
      </c>
      <c r="J173">
        <v>0.43729000000000001</v>
      </c>
      <c r="K173">
        <v>0.48342000000000002</v>
      </c>
      <c r="L173">
        <v>0.51593999999999995</v>
      </c>
      <c r="M173">
        <v>0.46106999999999998</v>
      </c>
      <c r="N173">
        <v>0.44545000000000001</v>
      </c>
      <c r="O173">
        <v>0.60526999999999997</v>
      </c>
      <c r="P173">
        <v>0.58223999999999998</v>
      </c>
      <c r="Q173">
        <v>0.50427999999999995</v>
      </c>
      <c r="R173">
        <v>0.55749000000000004</v>
      </c>
      <c r="S173">
        <v>0.62505999999999995</v>
      </c>
      <c r="T173">
        <v>0.66451000000000005</v>
      </c>
      <c r="U173">
        <v>0.56018000000000001</v>
      </c>
      <c r="V173">
        <v>0.58275999999999994</v>
      </c>
      <c r="W173">
        <v>0.62573000000000001</v>
      </c>
      <c r="X173">
        <v>0.68830999999999998</v>
      </c>
      <c r="Y173">
        <v>0.74450000000000005</v>
      </c>
      <c r="Z173">
        <v>0.69772000000000001</v>
      </c>
      <c r="AA173">
        <v>0.75061999999999995</v>
      </c>
      <c r="AB173">
        <v>0.79149999999999998</v>
      </c>
      <c r="AC173">
        <v>0.80803000000000003</v>
      </c>
      <c r="AD173">
        <v>0.80935000000000001</v>
      </c>
      <c r="AE173">
        <v>0.71592</v>
      </c>
      <c r="AF173">
        <v>0.87600999999999996</v>
      </c>
      <c r="AG173">
        <v>0.93872999999999995</v>
      </c>
      <c r="AH173">
        <v>1.05362</v>
      </c>
      <c r="AI173">
        <v>1.0692699999999999</v>
      </c>
      <c r="AJ173">
        <v>1.0830299999999999</v>
      </c>
      <c r="AK173">
        <v>0.94325000000000003</v>
      </c>
      <c r="AL173">
        <v>1.18127</v>
      </c>
      <c r="AM173">
        <v>1.27597</v>
      </c>
      <c r="AN173">
        <v>1.11561</v>
      </c>
      <c r="AO173">
        <v>1.3440799999999999</v>
      </c>
      <c r="AP173">
        <v>1.45024</v>
      </c>
      <c r="AQ173">
        <v>1.2727900000000001</v>
      </c>
      <c r="AR173">
        <v>1.49742</v>
      </c>
      <c r="AS173">
        <v>1.5457700000000001</v>
      </c>
      <c r="AT173">
        <v>1.6020700000000001</v>
      </c>
      <c r="AU173">
        <v>1.6005</v>
      </c>
      <c r="AV173">
        <v>1.50586</v>
      </c>
      <c r="AW173">
        <v>2.0830000000000002</v>
      </c>
      <c r="AX173">
        <v>2.0832299999999999</v>
      </c>
      <c r="AY173">
        <v>2.1221399999999999</v>
      </c>
      <c r="AZ173">
        <v>2.1347200000000002</v>
      </c>
      <c r="BA173">
        <v>2.1673200000000001</v>
      </c>
      <c r="BB173">
        <v>2.2535599999999998</v>
      </c>
      <c r="BC173">
        <v>2.2854100000000002</v>
      </c>
      <c r="BD173">
        <v>2.3302100000000001</v>
      </c>
      <c r="BE173">
        <v>2.2476699999999998</v>
      </c>
      <c r="BF173">
        <v>2.4038300000000001</v>
      </c>
      <c r="BG173">
        <v>2.3866900000000002</v>
      </c>
      <c r="BH173">
        <v>2.3833700000000002</v>
      </c>
      <c r="BI173">
        <v>2.3644500000000002</v>
      </c>
      <c r="BJ173">
        <v>2.3544700000000001</v>
      </c>
      <c r="BK173">
        <v>2.3524799999999999</v>
      </c>
      <c r="BL173">
        <v>2.3474900000000001</v>
      </c>
      <c r="BM173">
        <v>2.3570899999999999</v>
      </c>
      <c r="BN173">
        <v>2.3475199999999998</v>
      </c>
      <c r="BO173">
        <v>2.3035000000000001</v>
      </c>
      <c r="BP173">
        <v>2.3375300000000001</v>
      </c>
      <c r="BQ173">
        <v>2.3375400000000002</v>
      </c>
      <c r="BR173">
        <v>2.35242</v>
      </c>
      <c r="BS173">
        <v>2.35243</v>
      </c>
      <c r="BT173">
        <v>2.3524400000000001</v>
      </c>
      <c r="BW173">
        <v>2.34246</v>
      </c>
      <c r="BX173">
        <v>2.3424700000000001</v>
      </c>
      <c r="BY173">
        <v>2.3374999999999999</v>
      </c>
      <c r="BZ173">
        <v>2.3176100000000002</v>
      </c>
      <c r="CA173">
        <v>2.3176199999999998</v>
      </c>
      <c r="CB173">
        <v>2.3176299999999999</v>
      </c>
      <c r="CC173">
        <v>2.3176399999999999</v>
      </c>
      <c r="CD173">
        <v>2.3176399999999999</v>
      </c>
      <c r="CE173">
        <v>2.3265600000000002</v>
      </c>
      <c r="CF173">
        <v>2.3265699999999998</v>
      </c>
      <c r="CG173">
        <v>2.3126600000000002</v>
      </c>
      <c r="CH173">
        <v>2.3216000000000001</v>
      </c>
      <c r="CI173">
        <v>2.3139500000000002</v>
      </c>
      <c r="CJ173">
        <v>2.3139599999999998</v>
      </c>
      <c r="CK173">
        <v>2.3166199999999999</v>
      </c>
      <c r="CL173">
        <v>2.31663</v>
      </c>
      <c r="CM173">
        <v>2.31663</v>
      </c>
      <c r="CN173">
        <v>2.3216299999999999</v>
      </c>
      <c r="CO173">
        <v>2.3156400000000001</v>
      </c>
      <c r="CP173">
        <v>2.3123300000000002</v>
      </c>
      <c r="CQ173">
        <v>2.3106599999999999</v>
      </c>
      <c r="CS173">
        <v>2.3056800000000002</v>
      </c>
      <c r="CT173">
        <v>2.3077399999999999</v>
      </c>
      <c r="CU173">
        <v>2.3077399999999999</v>
      </c>
      <c r="CV173">
        <v>2.3077399999999999</v>
      </c>
      <c r="CW173">
        <v>2.3007499999999999</v>
      </c>
      <c r="CX173">
        <v>2.3007499999999999</v>
      </c>
      <c r="CY173">
        <v>2.30341</v>
      </c>
      <c r="CZ173">
        <v>2.29576</v>
      </c>
      <c r="DA173">
        <v>2.2907600000000001</v>
      </c>
      <c r="DB173">
        <v>2.2907700000000002</v>
      </c>
      <c r="DC173">
        <v>2.1817799999999998</v>
      </c>
    </row>
    <row r="174" spans="1:107" x14ac:dyDescent="0.25">
      <c r="A174">
        <f t="shared" si="2"/>
        <v>4</v>
      </c>
      <c r="B174" s="2">
        <v>42256</v>
      </c>
      <c r="G174">
        <v>0.20455999999999999</v>
      </c>
      <c r="H174">
        <v>0.46412999999999999</v>
      </c>
      <c r="I174">
        <v>0.47941</v>
      </c>
      <c r="J174">
        <v>0.43207000000000001</v>
      </c>
      <c r="K174">
        <v>0.4864</v>
      </c>
      <c r="L174">
        <v>0.50866</v>
      </c>
      <c r="M174">
        <v>0.45844000000000001</v>
      </c>
      <c r="N174">
        <v>0.44413000000000002</v>
      </c>
      <c r="O174">
        <v>0.60853000000000002</v>
      </c>
      <c r="P174">
        <v>0.58587</v>
      </c>
      <c r="Q174">
        <v>0.52551000000000003</v>
      </c>
      <c r="R174">
        <v>0.57599999999999996</v>
      </c>
      <c r="S174">
        <v>0.64483000000000001</v>
      </c>
      <c r="T174">
        <v>0.68313999999999997</v>
      </c>
      <c r="U174">
        <v>0.59462000000000004</v>
      </c>
      <c r="V174">
        <v>0.61729999999999996</v>
      </c>
      <c r="W174">
        <v>0.66074999999999995</v>
      </c>
      <c r="X174">
        <v>0.72238000000000002</v>
      </c>
      <c r="Y174">
        <v>0.78835</v>
      </c>
      <c r="Z174">
        <v>0.71741999999999995</v>
      </c>
      <c r="AA174">
        <v>0.77141999999999999</v>
      </c>
      <c r="AB174">
        <v>0.80349999999999999</v>
      </c>
      <c r="AC174">
        <v>0.83606000000000003</v>
      </c>
      <c r="AD174">
        <v>0.82565999999999995</v>
      </c>
      <c r="AE174">
        <v>0.72963999999999996</v>
      </c>
      <c r="AF174">
        <v>0.89124000000000003</v>
      </c>
      <c r="AG174">
        <v>0.95513000000000003</v>
      </c>
      <c r="AH174">
        <v>1.0672999999999999</v>
      </c>
      <c r="AI174">
        <v>1.0823100000000001</v>
      </c>
      <c r="AJ174">
        <v>1.09857</v>
      </c>
      <c r="AK174">
        <v>0.94171000000000005</v>
      </c>
      <c r="AL174">
        <v>1.19431</v>
      </c>
      <c r="AM174">
        <v>1.28698</v>
      </c>
      <c r="AN174">
        <v>1.12415</v>
      </c>
      <c r="AO174">
        <v>1.3476699999999999</v>
      </c>
      <c r="AP174">
        <v>1.4483200000000001</v>
      </c>
      <c r="AQ174">
        <v>1.27877</v>
      </c>
      <c r="AR174">
        <v>1.5093300000000001</v>
      </c>
      <c r="AS174">
        <v>1.5541400000000001</v>
      </c>
      <c r="AT174">
        <v>1.6115299999999999</v>
      </c>
      <c r="AU174">
        <v>1.6011</v>
      </c>
      <c r="AV174">
        <v>1.5137</v>
      </c>
      <c r="AW174">
        <v>2.1061399999999999</v>
      </c>
      <c r="AX174">
        <v>2.0947100000000001</v>
      </c>
      <c r="AY174">
        <v>2.13286</v>
      </c>
      <c r="AZ174">
        <v>2.1491500000000001</v>
      </c>
      <c r="BA174">
        <v>2.1796899999999999</v>
      </c>
      <c r="BB174">
        <v>2.2629600000000001</v>
      </c>
      <c r="BC174">
        <v>2.2911199999999998</v>
      </c>
      <c r="BD174">
        <v>2.3311999999999999</v>
      </c>
      <c r="BE174">
        <v>2.2522000000000002</v>
      </c>
      <c r="BF174">
        <v>2.41805</v>
      </c>
      <c r="BG174">
        <v>2.4008500000000002</v>
      </c>
      <c r="BH174">
        <v>2.3977499999999998</v>
      </c>
      <c r="BI174">
        <v>2.37846</v>
      </c>
      <c r="BJ174">
        <v>2.36849</v>
      </c>
      <c r="BK174">
        <v>2.3665099999999999</v>
      </c>
      <c r="BL174">
        <v>2.3615300000000001</v>
      </c>
      <c r="BM174">
        <v>2.3709699999999998</v>
      </c>
      <c r="BN174">
        <v>2.3615699999999999</v>
      </c>
      <c r="BO174">
        <v>2.31759</v>
      </c>
      <c r="BP174">
        <v>2.3515899999999998</v>
      </c>
      <c r="BQ174">
        <v>2.35161</v>
      </c>
      <c r="BR174">
        <v>2.3657599999999999</v>
      </c>
      <c r="BS174">
        <v>2.36578</v>
      </c>
      <c r="BT174">
        <v>2.3657900000000001</v>
      </c>
      <c r="BW174">
        <v>2.3558300000000001</v>
      </c>
      <c r="BX174">
        <v>2.3558400000000002</v>
      </c>
      <c r="BY174">
        <v>2.3367100000000001</v>
      </c>
      <c r="BZ174">
        <v>2.3317299999999999</v>
      </c>
      <c r="CA174">
        <v>2.33175</v>
      </c>
      <c r="CB174">
        <v>2.3317600000000001</v>
      </c>
      <c r="CC174">
        <v>2.3317700000000001</v>
      </c>
      <c r="CD174">
        <v>2.3317800000000002</v>
      </c>
      <c r="CE174">
        <v>2.3409499999999999</v>
      </c>
      <c r="CF174">
        <v>2.3409599999999999</v>
      </c>
      <c r="CG174">
        <v>2.3359899999999998</v>
      </c>
      <c r="CH174">
        <v>2.3359999999999999</v>
      </c>
      <c r="CI174">
        <v>2.33101</v>
      </c>
      <c r="CJ174">
        <v>2.3310200000000001</v>
      </c>
      <c r="CK174">
        <v>2.3310300000000002</v>
      </c>
      <c r="CL174">
        <v>2.3310399999999998</v>
      </c>
      <c r="CM174">
        <v>2.3310499999999998</v>
      </c>
      <c r="CN174">
        <v>2.3360500000000002</v>
      </c>
      <c r="CO174">
        <v>2.3296600000000001</v>
      </c>
      <c r="CP174">
        <v>2.3263500000000001</v>
      </c>
      <c r="CQ174">
        <v>2.3246899999999999</v>
      </c>
      <c r="CS174">
        <v>2.3197100000000002</v>
      </c>
      <c r="CT174">
        <v>2.3219400000000001</v>
      </c>
      <c r="CU174">
        <v>2.3219400000000001</v>
      </c>
      <c r="CV174">
        <v>2.3219500000000002</v>
      </c>
      <c r="CW174">
        <v>2.3149600000000001</v>
      </c>
      <c r="CX174">
        <v>2.3149700000000002</v>
      </c>
      <c r="CY174">
        <v>2.3172999999999999</v>
      </c>
      <c r="CZ174">
        <v>2.3099799999999999</v>
      </c>
      <c r="DA174">
        <v>2.3049900000000001</v>
      </c>
      <c r="DB174">
        <v>2.3050000000000002</v>
      </c>
      <c r="DC174">
        <v>2.1956899999999999</v>
      </c>
    </row>
    <row r="175" spans="1:107" x14ac:dyDescent="0.25">
      <c r="A175">
        <f t="shared" si="2"/>
        <v>5</v>
      </c>
      <c r="B175" s="2">
        <v>42257</v>
      </c>
      <c r="G175">
        <v>6.3329999999999997E-2</v>
      </c>
      <c r="H175">
        <v>0.4617</v>
      </c>
      <c r="I175">
        <v>0.39138000000000001</v>
      </c>
      <c r="J175">
        <v>0.43198999999999999</v>
      </c>
      <c r="K175">
        <v>0.48726999999999998</v>
      </c>
      <c r="L175">
        <v>0.51188999999999996</v>
      </c>
      <c r="M175">
        <v>0.45841999999999999</v>
      </c>
      <c r="N175">
        <v>0.44235999999999998</v>
      </c>
      <c r="O175">
        <v>0.60987000000000002</v>
      </c>
      <c r="P175">
        <v>0.58855999999999997</v>
      </c>
      <c r="Q175">
        <v>0.53995000000000004</v>
      </c>
      <c r="R175">
        <v>0.58187999999999995</v>
      </c>
      <c r="S175">
        <v>0.65229000000000004</v>
      </c>
      <c r="T175">
        <v>0.69123999999999997</v>
      </c>
      <c r="U175">
        <v>0.59169000000000005</v>
      </c>
      <c r="V175">
        <v>0.63209000000000004</v>
      </c>
      <c r="W175">
        <v>0.67461000000000004</v>
      </c>
      <c r="X175">
        <v>0.73602999999999996</v>
      </c>
      <c r="Y175">
        <v>0.73546999999999996</v>
      </c>
      <c r="Z175">
        <v>0.72375</v>
      </c>
      <c r="AA175">
        <v>0.77568000000000004</v>
      </c>
      <c r="AB175">
        <v>0.80772999999999995</v>
      </c>
      <c r="AC175">
        <v>0.83301999999999998</v>
      </c>
      <c r="AD175">
        <v>0.83620000000000005</v>
      </c>
      <c r="AE175">
        <v>0.72635000000000005</v>
      </c>
      <c r="AF175">
        <v>0.89217999999999997</v>
      </c>
      <c r="AG175">
        <v>0.94971000000000005</v>
      </c>
      <c r="AH175">
        <v>1.06273</v>
      </c>
      <c r="AI175">
        <v>1.07948</v>
      </c>
      <c r="AJ175">
        <v>1.1028500000000001</v>
      </c>
      <c r="AK175">
        <v>0.93803999999999998</v>
      </c>
      <c r="AL175">
        <v>1.18489</v>
      </c>
      <c r="AM175">
        <v>1.28681</v>
      </c>
      <c r="AN175">
        <v>1.12276</v>
      </c>
      <c r="AO175">
        <v>1.3509500000000001</v>
      </c>
      <c r="AP175">
        <v>1.4507699999999999</v>
      </c>
      <c r="AQ175">
        <v>1.2794700000000001</v>
      </c>
      <c r="AR175">
        <v>1.5020199999999999</v>
      </c>
      <c r="AS175">
        <v>1.5533699999999999</v>
      </c>
      <c r="AT175">
        <v>1.6126</v>
      </c>
      <c r="AU175">
        <v>1.60734</v>
      </c>
      <c r="AV175">
        <v>1.51461</v>
      </c>
      <c r="AW175">
        <v>2.09517</v>
      </c>
      <c r="AX175">
        <v>2.0932900000000001</v>
      </c>
      <c r="AY175">
        <v>2.1332300000000002</v>
      </c>
      <c r="AZ175">
        <v>2.1454300000000002</v>
      </c>
      <c r="BA175">
        <v>2.1809099999999999</v>
      </c>
      <c r="BB175">
        <v>2.2671800000000002</v>
      </c>
      <c r="BC175">
        <v>2.30145</v>
      </c>
      <c r="BD175">
        <v>2.3397600000000001</v>
      </c>
      <c r="BE175">
        <v>2.2582300000000002</v>
      </c>
      <c r="BF175">
        <v>2.4229799999999999</v>
      </c>
      <c r="BG175">
        <v>2.4054199999999999</v>
      </c>
      <c r="BH175">
        <v>2.4033799999999998</v>
      </c>
      <c r="BI175">
        <v>2.38232</v>
      </c>
      <c r="BJ175">
        <v>2.37235</v>
      </c>
      <c r="BK175">
        <v>2.3703599999999998</v>
      </c>
      <c r="BL175">
        <v>2.3653900000000001</v>
      </c>
      <c r="BM175">
        <v>2.37554</v>
      </c>
      <c r="BN175">
        <v>2.3654299999999999</v>
      </c>
      <c r="BO175">
        <v>2.3239299999999998</v>
      </c>
      <c r="BP175">
        <v>2.3554499999999998</v>
      </c>
      <c r="BQ175">
        <v>2.35547</v>
      </c>
      <c r="BR175">
        <v>2.3706900000000002</v>
      </c>
      <c r="BS175">
        <v>2.3706999999999998</v>
      </c>
      <c r="BT175">
        <v>2.3707199999999999</v>
      </c>
      <c r="BW175">
        <v>2.3607499999999999</v>
      </c>
      <c r="BX175">
        <v>2.36076</v>
      </c>
      <c r="BY175">
        <v>2.3557999999999999</v>
      </c>
      <c r="BZ175">
        <v>2.3355899999999998</v>
      </c>
      <c r="CA175">
        <v>2.3355999999999999</v>
      </c>
      <c r="CB175">
        <v>2.33562</v>
      </c>
      <c r="CC175">
        <v>2.3356300000000001</v>
      </c>
      <c r="CD175">
        <v>2.3356400000000002</v>
      </c>
      <c r="CE175">
        <v>2.3608699999999998</v>
      </c>
      <c r="CF175">
        <v>2.3608799999999999</v>
      </c>
      <c r="CG175">
        <v>2.33067</v>
      </c>
      <c r="CH175">
        <v>2.3409200000000001</v>
      </c>
      <c r="CI175">
        <v>2.3359399999999999</v>
      </c>
      <c r="CJ175">
        <v>2.33595</v>
      </c>
      <c r="CK175">
        <v>2.33596</v>
      </c>
      <c r="CL175">
        <v>2.3359700000000001</v>
      </c>
      <c r="CM175">
        <v>2.3359800000000002</v>
      </c>
      <c r="CN175">
        <v>2.3409800000000001</v>
      </c>
      <c r="CO175">
        <v>2.3384900000000002</v>
      </c>
      <c r="CP175">
        <v>2.33351</v>
      </c>
      <c r="CQ175">
        <v>2.3292600000000001</v>
      </c>
      <c r="CS175">
        <v>2.32429</v>
      </c>
      <c r="CT175">
        <v>2.32429</v>
      </c>
      <c r="CU175">
        <v>2.3258000000000001</v>
      </c>
      <c r="CV175">
        <v>2.3258100000000002</v>
      </c>
      <c r="CW175">
        <v>2.32247</v>
      </c>
      <c r="CX175">
        <v>2.3224800000000001</v>
      </c>
      <c r="CY175">
        <v>2.3224800000000001</v>
      </c>
      <c r="CZ175">
        <v>2.3158300000000001</v>
      </c>
      <c r="DA175">
        <v>2.3108300000000002</v>
      </c>
      <c r="DB175">
        <v>2.3108300000000002</v>
      </c>
      <c r="DC175">
        <v>2.2033700000000001</v>
      </c>
    </row>
    <row r="176" spans="1:107" x14ac:dyDescent="0.25">
      <c r="A176">
        <f t="shared" si="2"/>
        <v>6</v>
      </c>
      <c r="B176" s="2">
        <v>42258</v>
      </c>
      <c r="G176">
        <v>3.9109999999999999E-2</v>
      </c>
      <c r="H176">
        <v>0.45989999999999998</v>
      </c>
      <c r="I176">
        <v>0.48107</v>
      </c>
      <c r="J176">
        <v>0.43192000000000003</v>
      </c>
      <c r="K176">
        <v>0.48509999999999998</v>
      </c>
      <c r="L176">
        <v>0.49779000000000001</v>
      </c>
      <c r="M176">
        <v>0.45839999999999997</v>
      </c>
      <c r="N176">
        <v>0.44229000000000002</v>
      </c>
      <c r="O176">
        <v>0.60777999999999999</v>
      </c>
      <c r="P176">
        <v>0.58842000000000005</v>
      </c>
      <c r="Q176">
        <v>0.53351999999999999</v>
      </c>
      <c r="R176">
        <v>0.58431999999999995</v>
      </c>
      <c r="S176">
        <v>0.65549999999999997</v>
      </c>
      <c r="T176">
        <v>0.69350999999999996</v>
      </c>
      <c r="U176">
        <v>0.58555999999999997</v>
      </c>
      <c r="V176">
        <v>0.62629999999999997</v>
      </c>
      <c r="W176">
        <v>0.66976999999999998</v>
      </c>
      <c r="X176">
        <v>0.73043999999999998</v>
      </c>
      <c r="Y176">
        <v>0.75751999999999997</v>
      </c>
      <c r="Z176">
        <v>0.71721999999999997</v>
      </c>
      <c r="AA176">
        <v>0.77093999999999996</v>
      </c>
      <c r="AB176">
        <v>0.79447000000000001</v>
      </c>
      <c r="AC176">
        <v>0.82082999999999995</v>
      </c>
      <c r="AD176">
        <v>0.80747000000000002</v>
      </c>
      <c r="AE176">
        <v>0.71440000000000003</v>
      </c>
      <c r="AF176">
        <v>0.87902999999999998</v>
      </c>
      <c r="AG176">
        <v>0.93611</v>
      </c>
      <c r="AH176">
        <v>1.0643499999999999</v>
      </c>
      <c r="AI176">
        <v>1.06762</v>
      </c>
      <c r="AJ176">
        <v>1.09039</v>
      </c>
      <c r="AK176">
        <v>0.92520000000000002</v>
      </c>
      <c r="AL176">
        <v>1.1718</v>
      </c>
      <c r="AM176">
        <v>1.27152</v>
      </c>
      <c r="AN176">
        <v>1.1065100000000001</v>
      </c>
      <c r="AO176">
        <v>1.33378</v>
      </c>
      <c r="AP176">
        <v>1.4378299999999999</v>
      </c>
      <c r="AQ176">
        <v>1.2619100000000001</v>
      </c>
      <c r="AR176">
        <v>1.4850300000000001</v>
      </c>
      <c r="AS176">
        <v>1.53552</v>
      </c>
      <c r="AT176">
        <v>1.5946199999999999</v>
      </c>
      <c r="AU176">
        <v>1.5893999999999999</v>
      </c>
      <c r="AV176">
        <v>1.49634</v>
      </c>
      <c r="AW176">
        <v>2.0819800000000002</v>
      </c>
      <c r="AX176">
        <v>2.0755499999999998</v>
      </c>
      <c r="AY176">
        <v>2.1180699999999999</v>
      </c>
      <c r="AZ176">
        <v>2.13436</v>
      </c>
      <c r="BA176">
        <v>2.1657500000000001</v>
      </c>
      <c r="BB176">
        <v>2.2416399999999999</v>
      </c>
      <c r="BC176">
        <v>2.2824599999999999</v>
      </c>
      <c r="BD176">
        <v>2.3146300000000002</v>
      </c>
      <c r="BE176">
        <v>2.2312799999999999</v>
      </c>
      <c r="BF176">
        <v>2.39873</v>
      </c>
      <c r="BG176">
        <v>2.3810799999999999</v>
      </c>
      <c r="BH176">
        <v>2.3782299999999998</v>
      </c>
      <c r="BI176">
        <v>2.3578100000000002</v>
      </c>
      <c r="BJ176">
        <v>2.3478300000000001</v>
      </c>
      <c r="BK176">
        <v>2.3448500000000001</v>
      </c>
      <c r="BL176">
        <v>2.33988</v>
      </c>
      <c r="BM176">
        <v>2.3498700000000001</v>
      </c>
      <c r="BN176">
        <v>2.3399100000000002</v>
      </c>
      <c r="BO176">
        <v>2.2952300000000001</v>
      </c>
      <c r="BP176">
        <v>2.3299400000000001</v>
      </c>
      <c r="BQ176">
        <v>2.3299500000000002</v>
      </c>
      <c r="BR176">
        <v>2.3449399999999998</v>
      </c>
      <c r="BS176">
        <v>2.3449499999999999</v>
      </c>
      <c r="BT176">
        <v>2.34497</v>
      </c>
      <c r="BW176">
        <v>2.335</v>
      </c>
      <c r="BX176">
        <v>2.33501</v>
      </c>
      <c r="BY176">
        <v>2.3150599999999999</v>
      </c>
      <c r="BZ176">
        <v>2.3100800000000001</v>
      </c>
      <c r="CA176">
        <v>2.3100900000000002</v>
      </c>
      <c r="CB176">
        <v>2.3100999999999998</v>
      </c>
      <c r="CC176">
        <v>2.3101099999999999</v>
      </c>
      <c r="CD176">
        <v>2.31013</v>
      </c>
      <c r="CE176">
        <v>2.3201200000000002</v>
      </c>
      <c r="CF176">
        <v>2.3201399999999999</v>
      </c>
      <c r="CG176">
        <v>2.3151600000000001</v>
      </c>
      <c r="CH176">
        <v>2.3151700000000002</v>
      </c>
      <c r="CI176">
        <v>2.31019</v>
      </c>
      <c r="CJ176">
        <v>2.3102</v>
      </c>
      <c r="CK176">
        <v>2.3102100000000001</v>
      </c>
      <c r="CL176">
        <v>2.3102200000000002</v>
      </c>
      <c r="CM176">
        <v>2.3102299999999998</v>
      </c>
      <c r="CN176">
        <v>2.3152300000000001</v>
      </c>
      <c r="CO176">
        <v>2.3127300000000002</v>
      </c>
      <c r="CP176">
        <v>2.30525</v>
      </c>
      <c r="CQ176">
        <v>2.3035899999999998</v>
      </c>
      <c r="CS176">
        <v>2.29861</v>
      </c>
      <c r="CT176">
        <v>2.3002799999999999</v>
      </c>
      <c r="CU176">
        <v>2.3002899999999999</v>
      </c>
      <c r="CV176">
        <v>2.3003</v>
      </c>
      <c r="CW176">
        <v>2.2932399999999999</v>
      </c>
      <c r="CX176">
        <v>2.29325</v>
      </c>
      <c r="CY176">
        <v>2.2956099999999999</v>
      </c>
      <c r="CZ176">
        <v>2.2882699999999998</v>
      </c>
      <c r="DA176">
        <v>2.2832699999999999</v>
      </c>
      <c r="DB176">
        <v>2.28328</v>
      </c>
      <c r="DC176">
        <v>2.1708099999999999</v>
      </c>
    </row>
    <row r="177" spans="1:107" x14ac:dyDescent="0.25">
      <c r="A177">
        <f t="shared" si="2"/>
        <v>2</v>
      </c>
      <c r="B177" s="2">
        <v>42261</v>
      </c>
      <c r="G177">
        <v>0.17143</v>
      </c>
      <c r="H177">
        <v>0.47042</v>
      </c>
      <c r="I177">
        <v>0.49408999999999997</v>
      </c>
      <c r="J177">
        <v>0.43701000000000001</v>
      </c>
      <c r="K177">
        <v>0.48901</v>
      </c>
      <c r="L177">
        <v>0.51137999999999995</v>
      </c>
      <c r="M177">
        <v>0.46100999999999998</v>
      </c>
      <c r="N177">
        <v>0.44435999999999998</v>
      </c>
      <c r="O177">
        <v>0.61194000000000004</v>
      </c>
      <c r="P177">
        <v>0.58933999999999997</v>
      </c>
      <c r="Q177">
        <v>0.54190000000000005</v>
      </c>
      <c r="R177">
        <v>0.58086000000000004</v>
      </c>
      <c r="S177">
        <v>0.65188000000000001</v>
      </c>
      <c r="T177">
        <v>0.68962000000000001</v>
      </c>
      <c r="U177">
        <v>0.57504999999999995</v>
      </c>
      <c r="V177">
        <v>0.61584000000000005</v>
      </c>
      <c r="W177">
        <v>0.66056000000000004</v>
      </c>
      <c r="X177">
        <v>0.72143999999999997</v>
      </c>
      <c r="Y177">
        <v>0.77261999999999997</v>
      </c>
      <c r="Z177">
        <v>0.70091000000000003</v>
      </c>
      <c r="AA177">
        <v>0.75451000000000001</v>
      </c>
      <c r="AB177">
        <v>0.77639999999999998</v>
      </c>
      <c r="AC177">
        <v>0.80398000000000003</v>
      </c>
      <c r="AD177">
        <v>0.79183000000000003</v>
      </c>
      <c r="AE177">
        <v>0.69837000000000005</v>
      </c>
      <c r="AF177">
        <v>0.86229</v>
      </c>
      <c r="AG177">
        <v>0.91942000000000002</v>
      </c>
      <c r="AH177">
        <v>1.04844</v>
      </c>
      <c r="AI177">
        <v>1.05091</v>
      </c>
      <c r="AJ177">
        <v>1.06674</v>
      </c>
      <c r="AK177">
        <v>0.91135999999999995</v>
      </c>
      <c r="AL177">
        <v>1.15666</v>
      </c>
      <c r="AM177">
        <v>1.25484</v>
      </c>
      <c r="AN177">
        <v>1.0921700000000001</v>
      </c>
      <c r="AO177">
        <v>1.32043</v>
      </c>
      <c r="AP177">
        <v>1.41971</v>
      </c>
      <c r="AQ177">
        <v>1.2400199999999999</v>
      </c>
      <c r="AR177">
        <v>1.46689</v>
      </c>
      <c r="AS177">
        <v>1.51576</v>
      </c>
      <c r="AT177">
        <v>1.57477</v>
      </c>
      <c r="AU177">
        <v>1.5701499999999999</v>
      </c>
      <c r="AV177">
        <v>1.4789699999999999</v>
      </c>
      <c r="AW177">
        <v>2.0557699999999999</v>
      </c>
      <c r="AX177">
        <v>2.0537800000000002</v>
      </c>
      <c r="AY177">
        <v>2.0975700000000002</v>
      </c>
      <c r="AZ177">
        <v>2.11206</v>
      </c>
      <c r="BA177">
        <v>2.1432000000000002</v>
      </c>
      <c r="BB177">
        <v>2.2257600000000002</v>
      </c>
      <c r="BC177">
        <v>2.2581600000000002</v>
      </c>
      <c r="BD177">
        <v>2.30036</v>
      </c>
      <c r="BE177">
        <v>2.20926</v>
      </c>
      <c r="BF177">
        <v>2.3799700000000001</v>
      </c>
      <c r="BG177">
        <v>2.3622200000000002</v>
      </c>
      <c r="BH177">
        <v>2.3591099999999998</v>
      </c>
      <c r="BI177">
        <v>2.33874</v>
      </c>
      <c r="BJ177">
        <v>2.3287599999999999</v>
      </c>
      <c r="BK177">
        <v>2.3257699999999999</v>
      </c>
      <c r="BL177">
        <v>2.3207900000000001</v>
      </c>
      <c r="BM177">
        <v>2.3306200000000001</v>
      </c>
      <c r="BN177">
        <v>2.3208099999999998</v>
      </c>
      <c r="BO177">
        <v>2.2755100000000001</v>
      </c>
      <c r="BP177">
        <v>2.3108200000000001</v>
      </c>
      <c r="BQ177">
        <v>2.3108300000000002</v>
      </c>
      <c r="BR177">
        <v>2.32558</v>
      </c>
      <c r="BS177">
        <v>2.32559</v>
      </c>
      <c r="BT177">
        <v>2.3256000000000001</v>
      </c>
      <c r="BW177">
        <v>2.31562</v>
      </c>
      <c r="BX177">
        <v>2.3331900000000001</v>
      </c>
      <c r="BY177">
        <v>2.29589</v>
      </c>
      <c r="BZ177">
        <v>2.2909099999999998</v>
      </c>
      <c r="CA177">
        <v>2.2909099999999998</v>
      </c>
      <c r="CB177">
        <v>2.2909199999999998</v>
      </c>
      <c r="CC177">
        <v>2.2909299999999999</v>
      </c>
      <c r="CD177">
        <v>2.2909299999999999</v>
      </c>
      <c r="CE177">
        <v>2.30579</v>
      </c>
      <c r="CF177">
        <v>2.30579</v>
      </c>
      <c r="CG177">
        <v>2.2957299999999998</v>
      </c>
      <c r="CH177">
        <v>2.2957299999999998</v>
      </c>
      <c r="CI177">
        <v>2.29074</v>
      </c>
      <c r="CJ177">
        <v>2.2907500000000001</v>
      </c>
      <c r="CK177">
        <v>2.2907600000000001</v>
      </c>
      <c r="CL177">
        <v>2.2907600000000001</v>
      </c>
      <c r="CM177">
        <v>2.2907700000000002</v>
      </c>
      <c r="CN177">
        <v>2.2957700000000001</v>
      </c>
      <c r="CO177">
        <v>2.2932700000000001</v>
      </c>
      <c r="CP177">
        <v>2.2858499999999999</v>
      </c>
      <c r="CQ177">
        <v>2.2841900000000002</v>
      </c>
      <c r="CS177">
        <v>2.27921</v>
      </c>
      <c r="CT177">
        <v>2.2810299999999999</v>
      </c>
      <c r="CU177">
        <v>2.2810299999999999</v>
      </c>
      <c r="CV177">
        <v>2.28104</v>
      </c>
      <c r="CW177">
        <v>2.27407</v>
      </c>
      <c r="CX177">
        <v>2.27407</v>
      </c>
      <c r="CY177">
        <v>2.2764000000000002</v>
      </c>
      <c r="CZ177">
        <v>2.2690800000000002</v>
      </c>
      <c r="DA177">
        <v>2.2640899999999999</v>
      </c>
      <c r="DB177">
        <v>2.2640899999999999</v>
      </c>
      <c r="DC177">
        <v>2.1501000000000001</v>
      </c>
    </row>
    <row r="178" spans="1:107" x14ac:dyDescent="0.25">
      <c r="A178">
        <f t="shared" si="2"/>
        <v>3</v>
      </c>
      <c r="B178" s="2">
        <v>42262</v>
      </c>
      <c r="H178">
        <v>0.48418</v>
      </c>
      <c r="I178">
        <v>0.42425000000000002</v>
      </c>
      <c r="J178">
        <v>0.43696000000000002</v>
      </c>
      <c r="K178">
        <v>0.50719000000000003</v>
      </c>
      <c r="L178">
        <v>0.52388999999999997</v>
      </c>
      <c r="M178">
        <v>0.46099000000000001</v>
      </c>
      <c r="N178">
        <v>0.45912999999999998</v>
      </c>
      <c r="O178">
        <v>0.60804000000000002</v>
      </c>
      <c r="P178">
        <v>0.61175999999999997</v>
      </c>
      <c r="Q178">
        <v>0.57235999999999998</v>
      </c>
      <c r="R178">
        <v>0.62141000000000002</v>
      </c>
      <c r="S178">
        <v>0.69211</v>
      </c>
      <c r="T178">
        <v>0.73036999999999996</v>
      </c>
      <c r="U178">
        <v>0.62012</v>
      </c>
      <c r="V178">
        <v>0.66124000000000005</v>
      </c>
      <c r="W178">
        <v>0.70521999999999996</v>
      </c>
      <c r="X178">
        <v>0.76626000000000005</v>
      </c>
      <c r="Y178">
        <v>0.84477000000000002</v>
      </c>
      <c r="Z178">
        <v>0.76932</v>
      </c>
      <c r="AA178">
        <v>0.83816000000000002</v>
      </c>
      <c r="AB178">
        <v>0.85718000000000005</v>
      </c>
      <c r="AC178">
        <v>0.89197000000000004</v>
      </c>
      <c r="AD178">
        <v>0.88178000000000001</v>
      </c>
      <c r="AE178">
        <v>0.78837000000000002</v>
      </c>
      <c r="AF178">
        <v>0.94711999999999996</v>
      </c>
      <c r="AG178">
        <v>1.002</v>
      </c>
      <c r="AH178">
        <v>1.12924</v>
      </c>
      <c r="AI178">
        <v>1.1452899999999999</v>
      </c>
      <c r="AJ178">
        <v>1.16178</v>
      </c>
      <c r="AK178">
        <v>1.0061599999999999</v>
      </c>
      <c r="AL178">
        <v>1.25701</v>
      </c>
      <c r="AM178">
        <v>1.3586199999999999</v>
      </c>
      <c r="AN178">
        <v>1.1953800000000001</v>
      </c>
      <c r="AO178">
        <v>1.41977</v>
      </c>
      <c r="AP178">
        <v>1.5298099999999999</v>
      </c>
      <c r="AQ178">
        <v>1.35782</v>
      </c>
      <c r="AR178">
        <v>1.59043</v>
      </c>
      <c r="AS178">
        <v>1.63202</v>
      </c>
      <c r="AT178">
        <v>1.6915100000000001</v>
      </c>
      <c r="AU178">
        <v>1.6823699999999999</v>
      </c>
      <c r="AV178">
        <v>1.59213</v>
      </c>
      <c r="AW178">
        <v>2.16927</v>
      </c>
      <c r="AX178">
        <v>2.1625200000000002</v>
      </c>
      <c r="AY178">
        <v>2.20743</v>
      </c>
      <c r="AZ178">
        <v>2.22126</v>
      </c>
      <c r="BA178">
        <v>2.2534200000000002</v>
      </c>
      <c r="BB178">
        <v>2.3271600000000001</v>
      </c>
      <c r="BC178">
        <v>2.3597199999999998</v>
      </c>
      <c r="BD178">
        <v>2.40001</v>
      </c>
      <c r="BE178">
        <v>2.3117800000000002</v>
      </c>
      <c r="BF178">
        <v>2.4800800000000001</v>
      </c>
      <c r="BG178">
        <v>2.46204</v>
      </c>
      <c r="BH178">
        <v>2.4595199999999999</v>
      </c>
      <c r="BI178">
        <v>2.4375</v>
      </c>
      <c r="BJ178">
        <v>2.4275099999999998</v>
      </c>
      <c r="BK178">
        <v>2.4240200000000001</v>
      </c>
      <c r="BL178">
        <v>2.4190399999999999</v>
      </c>
      <c r="BM178">
        <v>2.4291100000000001</v>
      </c>
      <c r="BN178">
        <v>2.41906</v>
      </c>
      <c r="BO178">
        <v>2.3773900000000001</v>
      </c>
      <c r="BP178">
        <v>2.4090799999999999</v>
      </c>
      <c r="BQ178">
        <v>2.40909</v>
      </c>
      <c r="BR178">
        <v>2.4241899999999998</v>
      </c>
      <c r="BS178">
        <v>2.4241999999999999</v>
      </c>
      <c r="BT178">
        <v>2.42421</v>
      </c>
      <c r="BW178">
        <v>2.4142299999999999</v>
      </c>
      <c r="BX178">
        <v>2.4142399999999999</v>
      </c>
      <c r="BY178">
        <v>2.4092699999999998</v>
      </c>
      <c r="BZ178">
        <v>2.38917</v>
      </c>
      <c r="CA178">
        <v>2.38917</v>
      </c>
      <c r="CB178">
        <v>2.3891800000000001</v>
      </c>
      <c r="CC178">
        <v>2.3891900000000001</v>
      </c>
      <c r="CD178">
        <v>2.3892000000000002</v>
      </c>
      <c r="CE178">
        <v>2.3993199999999999</v>
      </c>
      <c r="CF178">
        <v>2.3993199999999999</v>
      </c>
      <c r="CG178">
        <v>2.3842099999999999</v>
      </c>
      <c r="CH178">
        <v>2.3943500000000002</v>
      </c>
      <c r="CI178">
        <v>2.38937</v>
      </c>
      <c r="CJ178">
        <v>2.38937</v>
      </c>
      <c r="CK178">
        <v>2.3893800000000001</v>
      </c>
      <c r="CL178">
        <v>2.3893800000000001</v>
      </c>
      <c r="CM178">
        <v>2.3893900000000001</v>
      </c>
      <c r="CN178">
        <v>2.39439</v>
      </c>
      <c r="CO178">
        <v>2.3918900000000001</v>
      </c>
      <c r="CP178">
        <v>2.38191</v>
      </c>
      <c r="CQ178">
        <v>2.37941</v>
      </c>
      <c r="CS178">
        <v>2.3769200000000001</v>
      </c>
      <c r="CT178">
        <v>2.3859499999999998</v>
      </c>
      <c r="CU178">
        <v>2.3859499999999998</v>
      </c>
      <c r="CV178">
        <v>2.3744299999999998</v>
      </c>
      <c r="CW178">
        <v>2.3793000000000002</v>
      </c>
      <c r="CX178">
        <v>2.3645900000000002</v>
      </c>
      <c r="CY178">
        <v>2.3793099999999998</v>
      </c>
      <c r="CZ178">
        <v>2.3644500000000002</v>
      </c>
      <c r="DA178">
        <v>2.3496000000000001</v>
      </c>
      <c r="DB178">
        <v>2.3496100000000002</v>
      </c>
    </row>
    <row r="179" spans="1:107" x14ac:dyDescent="0.25">
      <c r="A179">
        <f t="shared" si="2"/>
        <v>4</v>
      </c>
      <c r="B179" s="2">
        <v>42263</v>
      </c>
      <c r="H179">
        <v>0.49029</v>
      </c>
      <c r="I179">
        <v>0.50244999999999995</v>
      </c>
      <c r="J179">
        <v>0.4325</v>
      </c>
      <c r="K179">
        <v>0.52927000000000002</v>
      </c>
      <c r="L179">
        <v>0.53800000000000003</v>
      </c>
      <c r="M179">
        <v>0.45928999999999998</v>
      </c>
      <c r="N179">
        <v>0.45828000000000002</v>
      </c>
      <c r="O179">
        <v>0.61877000000000004</v>
      </c>
      <c r="P179">
        <v>0.66056999999999999</v>
      </c>
      <c r="Q179">
        <v>0.61058999999999997</v>
      </c>
      <c r="R179">
        <v>0.64778999999999998</v>
      </c>
      <c r="S179">
        <v>0.71811000000000003</v>
      </c>
      <c r="T179">
        <v>0.75697000000000003</v>
      </c>
      <c r="U179">
        <v>0.66998999999999997</v>
      </c>
      <c r="V179">
        <v>0.69230000000000003</v>
      </c>
      <c r="W179">
        <v>0.73638000000000003</v>
      </c>
      <c r="X179">
        <v>0.79722000000000004</v>
      </c>
      <c r="Y179">
        <v>0.87451999999999996</v>
      </c>
      <c r="Z179">
        <v>0.79896999999999996</v>
      </c>
      <c r="AA179">
        <v>0.85306000000000004</v>
      </c>
      <c r="AB179">
        <v>0.88637999999999995</v>
      </c>
      <c r="AC179">
        <v>0.92137000000000002</v>
      </c>
      <c r="AD179">
        <v>0.92800000000000005</v>
      </c>
      <c r="AE179">
        <v>0.81964999999999999</v>
      </c>
      <c r="AF179">
        <v>0.97640000000000005</v>
      </c>
      <c r="AG179">
        <v>1.04129</v>
      </c>
      <c r="AH179">
        <v>1.15551</v>
      </c>
      <c r="AI179">
        <v>1.1757500000000001</v>
      </c>
      <c r="AJ179">
        <v>1.19085</v>
      </c>
      <c r="AK179">
        <v>1.0463899999999999</v>
      </c>
      <c r="AL179">
        <v>1.2800400000000001</v>
      </c>
      <c r="AM179">
        <v>1.3894299999999999</v>
      </c>
      <c r="AN179">
        <v>1.22417</v>
      </c>
      <c r="AO179">
        <v>1.4565600000000001</v>
      </c>
      <c r="AP179">
        <v>1.55904</v>
      </c>
      <c r="AQ179">
        <v>1.3694599999999999</v>
      </c>
      <c r="AR179">
        <v>1.60626</v>
      </c>
      <c r="AS179">
        <v>1.6549400000000001</v>
      </c>
      <c r="AT179">
        <v>1.7154199999999999</v>
      </c>
      <c r="AU179">
        <v>1.7005300000000001</v>
      </c>
      <c r="AV179">
        <v>1.6153500000000001</v>
      </c>
      <c r="AW179">
        <v>2.1854100000000001</v>
      </c>
      <c r="AX179">
        <v>2.18309</v>
      </c>
      <c r="AY179">
        <v>2.22811</v>
      </c>
      <c r="AZ179">
        <v>2.2433800000000002</v>
      </c>
      <c r="BA179">
        <v>2.282</v>
      </c>
      <c r="BB179">
        <v>2.35372</v>
      </c>
      <c r="BC179">
        <v>2.3737699999999999</v>
      </c>
      <c r="BD179">
        <v>2.4185300000000001</v>
      </c>
      <c r="BE179">
        <v>2.3296700000000001</v>
      </c>
      <c r="BF179">
        <v>2.5034399999999999</v>
      </c>
      <c r="BG179">
        <v>2.4847100000000002</v>
      </c>
      <c r="BH179">
        <v>2.4752399999999999</v>
      </c>
      <c r="BI179">
        <v>2.45879</v>
      </c>
      <c r="BJ179">
        <v>2.4607700000000001</v>
      </c>
      <c r="BK179">
        <v>2.4453399999999998</v>
      </c>
      <c r="BL179">
        <v>2.4518200000000001</v>
      </c>
      <c r="BM179">
        <v>2.4579499999999999</v>
      </c>
      <c r="BN179">
        <v>2.4403999999999999</v>
      </c>
      <c r="BO179">
        <v>2.3990399999999998</v>
      </c>
      <c r="BP179">
        <v>2.4304299999999999</v>
      </c>
      <c r="BQ179">
        <v>2.4304399999999999</v>
      </c>
      <c r="BR179">
        <v>2.4476499999999999</v>
      </c>
      <c r="BS179">
        <v>2.4476599999999999</v>
      </c>
      <c r="BT179">
        <v>2.4476800000000001</v>
      </c>
      <c r="BW179">
        <v>2.43771</v>
      </c>
      <c r="BX179">
        <v>2.4557699999999998</v>
      </c>
      <c r="BY179">
        <v>2.4327700000000001</v>
      </c>
      <c r="BZ179">
        <v>2.4105699999999999</v>
      </c>
      <c r="CA179">
        <v>2.41059</v>
      </c>
      <c r="CB179">
        <v>2.4106000000000001</v>
      </c>
      <c r="CC179">
        <v>2.4106100000000001</v>
      </c>
      <c r="CD179">
        <v>2.4106200000000002</v>
      </c>
      <c r="CE179">
        <v>2.43587</v>
      </c>
      <c r="CF179">
        <v>2.43588</v>
      </c>
      <c r="CG179">
        <v>2.4178899999999999</v>
      </c>
      <c r="CH179">
        <v>2.42082</v>
      </c>
      <c r="CI179">
        <v>2.4129200000000002</v>
      </c>
      <c r="CJ179">
        <v>2.4129299999999998</v>
      </c>
      <c r="CK179">
        <v>2.4129399999999999</v>
      </c>
      <c r="CL179">
        <v>2.4129499999999999</v>
      </c>
      <c r="CM179">
        <v>2.41296</v>
      </c>
      <c r="CN179">
        <v>2.41797</v>
      </c>
      <c r="CO179">
        <v>2.41547</v>
      </c>
      <c r="CP179">
        <v>2.4154800000000001</v>
      </c>
      <c r="CQ179">
        <v>2.4145699999999999</v>
      </c>
      <c r="CS179">
        <v>2.4039299999999999</v>
      </c>
      <c r="CT179">
        <v>2.4029400000000001</v>
      </c>
      <c r="CU179">
        <v>2.40429</v>
      </c>
      <c r="CV179">
        <v>2.4043000000000001</v>
      </c>
      <c r="CW179">
        <v>2.3993099999999998</v>
      </c>
      <c r="CX179">
        <v>2.3993099999999998</v>
      </c>
      <c r="CY179">
        <v>2.3993199999999999</v>
      </c>
      <c r="CZ179">
        <v>2.3913199999999999</v>
      </c>
      <c r="DA179">
        <v>2.3943300000000001</v>
      </c>
      <c r="DB179">
        <v>2.3943300000000001</v>
      </c>
      <c r="DC179">
        <v>2.27521</v>
      </c>
    </row>
    <row r="180" spans="1:107" x14ac:dyDescent="0.25">
      <c r="A180">
        <f t="shared" si="2"/>
        <v>5</v>
      </c>
      <c r="B180" s="2">
        <v>42264</v>
      </c>
      <c r="H180">
        <v>0.46929999999999999</v>
      </c>
      <c r="I180">
        <v>0.49658000000000002</v>
      </c>
      <c r="J180">
        <v>0.46054</v>
      </c>
      <c r="K180">
        <v>0.50016000000000005</v>
      </c>
      <c r="L180">
        <v>0.50624000000000002</v>
      </c>
      <c r="M180">
        <v>0.54601</v>
      </c>
      <c r="N180">
        <v>0.50973000000000002</v>
      </c>
      <c r="O180">
        <v>0.56596000000000002</v>
      </c>
      <c r="P180">
        <v>0.59831999999999996</v>
      </c>
      <c r="Q180">
        <v>0.56738999999999995</v>
      </c>
      <c r="R180">
        <v>0.60943999999999998</v>
      </c>
      <c r="S180">
        <v>0.67789999999999995</v>
      </c>
      <c r="T180">
        <v>0.72141999999999995</v>
      </c>
      <c r="U180">
        <v>0.62953999999999999</v>
      </c>
      <c r="V180">
        <v>0.65171999999999997</v>
      </c>
      <c r="W180">
        <v>0.69479999999999997</v>
      </c>
      <c r="X180">
        <v>0.75858999999999999</v>
      </c>
      <c r="Y180">
        <v>0.76568000000000003</v>
      </c>
      <c r="Z180">
        <v>0.75410999999999995</v>
      </c>
      <c r="AA180">
        <v>0.80744000000000005</v>
      </c>
      <c r="AB180">
        <v>0.83935999999999999</v>
      </c>
      <c r="AC180">
        <v>0.86814999999999998</v>
      </c>
      <c r="AD180">
        <v>0.85467000000000004</v>
      </c>
      <c r="AE180">
        <v>0.76073999999999997</v>
      </c>
      <c r="AF180">
        <v>0.92645</v>
      </c>
      <c r="AG180">
        <v>0.97255000000000003</v>
      </c>
      <c r="AH180">
        <v>1.0885100000000001</v>
      </c>
      <c r="AI180">
        <v>1.1182700000000001</v>
      </c>
      <c r="AJ180">
        <v>1.1329400000000001</v>
      </c>
      <c r="AK180">
        <v>0.97563999999999995</v>
      </c>
      <c r="AL180">
        <v>1.2222900000000001</v>
      </c>
      <c r="AM180">
        <v>1.33406</v>
      </c>
      <c r="AN180">
        <v>1.16656</v>
      </c>
      <c r="AO180">
        <v>1.3931899999999999</v>
      </c>
      <c r="AP180">
        <v>1.5060800000000001</v>
      </c>
      <c r="AQ180">
        <v>1.32036</v>
      </c>
      <c r="AR180">
        <v>1.56298</v>
      </c>
      <c r="AS180">
        <v>1.6029</v>
      </c>
      <c r="AT180">
        <v>1.6618900000000001</v>
      </c>
      <c r="AU180">
        <v>1.6409499999999999</v>
      </c>
      <c r="AV180">
        <v>1.5561499999999999</v>
      </c>
      <c r="AW180">
        <v>2.1403500000000002</v>
      </c>
      <c r="AX180">
        <v>2.1335099999999998</v>
      </c>
      <c r="AY180">
        <v>2.1734</v>
      </c>
      <c r="AZ180">
        <v>2.1999300000000002</v>
      </c>
      <c r="BA180">
        <v>2.2298900000000001</v>
      </c>
      <c r="BB180">
        <v>2.3057099999999999</v>
      </c>
      <c r="BC180">
        <v>2.3311700000000002</v>
      </c>
      <c r="BD180">
        <v>2.39093</v>
      </c>
      <c r="BE180">
        <v>2.2855799999999999</v>
      </c>
      <c r="BF180">
        <v>2.4609999999999999</v>
      </c>
      <c r="BG180">
        <v>2.4461300000000001</v>
      </c>
      <c r="BH180">
        <v>2.4494699999999998</v>
      </c>
      <c r="BI180">
        <v>2.4335800000000001</v>
      </c>
      <c r="BJ180">
        <v>2.4129100000000001</v>
      </c>
      <c r="BK180">
        <v>2.4236300000000002</v>
      </c>
      <c r="BL180">
        <v>2.4034599999999999</v>
      </c>
      <c r="BM180">
        <v>2.41866</v>
      </c>
      <c r="BN180">
        <v>2.4034900000000001</v>
      </c>
      <c r="BO180">
        <v>2.35561</v>
      </c>
      <c r="BP180">
        <v>2.3935200000000001</v>
      </c>
      <c r="BQ180">
        <v>2.3935300000000002</v>
      </c>
      <c r="BR180">
        <v>2.4087299999999998</v>
      </c>
      <c r="BS180">
        <v>2.4087499999999999</v>
      </c>
      <c r="BT180">
        <v>2.4087700000000001</v>
      </c>
      <c r="BW180">
        <v>2.3988</v>
      </c>
      <c r="BX180">
        <v>2.3988100000000001</v>
      </c>
      <c r="BY180">
        <v>2.39384</v>
      </c>
      <c r="BZ180">
        <v>2.3888400000000001</v>
      </c>
      <c r="CA180">
        <v>2.3888600000000002</v>
      </c>
      <c r="CB180">
        <v>2.3888699999999998</v>
      </c>
      <c r="CC180">
        <v>2.3736999999999999</v>
      </c>
      <c r="CD180">
        <v>2.3687200000000002</v>
      </c>
      <c r="CE180">
        <v>2.3789099999999999</v>
      </c>
      <c r="CF180">
        <v>2.3789199999999999</v>
      </c>
      <c r="CG180">
        <v>2.36375</v>
      </c>
      <c r="CH180">
        <v>2.3739599999999998</v>
      </c>
      <c r="CI180">
        <v>2.3689800000000001</v>
      </c>
      <c r="CJ180">
        <v>2.3689900000000002</v>
      </c>
      <c r="CK180">
        <v>2.3690000000000002</v>
      </c>
      <c r="CL180">
        <v>2.3690099999999998</v>
      </c>
      <c r="CM180">
        <v>2.3690199999999999</v>
      </c>
      <c r="CN180">
        <v>2.3740199999999998</v>
      </c>
      <c r="CO180">
        <v>2.3615300000000001</v>
      </c>
      <c r="CP180">
        <v>2.3615400000000002</v>
      </c>
      <c r="CQ180">
        <v>2.3656299999999999</v>
      </c>
      <c r="CS180">
        <v>2.3606600000000002</v>
      </c>
      <c r="CT180">
        <v>2.3638699999999999</v>
      </c>
      <c r="CU180">
        <v>2.36686</v>
      </c>
      <c r="CV180">
        <v>2.36687</v>
      </c>
      <c r="CW180">
        <v>2.36355</v>
      </c>
      <c r="CX180">
        <v>2.3635600000000001</v>
      </c>
      <c r="CY180">
        <v>2.3609</v>
      </c>
      <c r="CZ180">
        <v>2.3559000000000001</v>
      </c>
      <c r="DA180">
        <v>2.3559100000000002</v>
      </c>
      <c r="DB180">
        <v>2.3559199999999998</v>
      </c>
      <c r="DC180">
        <v>2.2356199999999999</v>
      </c>
    </row>
    <row r="181" spans="1:107" x14ac:dyDescent="0.25">
      <c r="A181">
        <f t="shared" si="2"/>
        <v>6</v>
      </c>
      <c r="B181" s="2">
        <v>42265</v>
      </c>
      <c r="H181">
        <v>0.45917999999999998</v>
      </c>
      <c r="I181">
        <v>0.49114000000000002</v>
      </c>
      <c r="J181">
        <v>0.46045000000000003</v>
      </c>
      <c r="K181">
        <v>0.49003000000000002</v>
      </c>
      <c r="L181">
        <v>0.49736999999999998</v>
      </c>
      <c r="M181">
        <v>0.54598999999999998</v>
      </c>
      <c r="N181">
        <v>0.50961999999999996</v>
      </c>
      <c r="O181">
        <v>0.56084000000000001</v>
      </c>
      <c r="P181">
        <v>0.58811999999999998</v>
      </c>
      <c r="Q181">
        <v>0.53405999999999998</v>
      </c>
      <c r="R181">
        <v>0.58743000000000001</v>
      </c>
      <c r="S181">
        <v>0.65203</v>
      </c>
      <c r="T181">
        <v>0.69567000000000001</v>
      </c>
      <c r="U181">
        <v>0.60509999999999997</v>
      </c>
      <c r="V181">
        <v>0.62843000000000004</v>
      </c>
      <c r="W181">
        <v>0.67374999999999996</v>
      </c>
      <c r="X181">
        <v>0.73524</v>
      </c>
      <c r="Y181">
        <v>0.75978999999999997</v>
      </c>
      <c r="Z181">
        <v>0.72114999999999996</v>
      </c>
      <c r="AA181">
        <v>0.77659999999999996</v>
      </c>
      <c r="AB181">
        <v>0.80867</v>
      </c>
      <c r="AC181">
        <v>0.82703000000000004</v>
      </c>
      <c r="AD181">
        <v>0.80588000000000004</v>
      </c>
      <c r="AE181">
        <v>0.70648</v>
      </c>
      <c r="AF181">
        <v>0.88907999999999998</v>
      </c>
      <c r="AG181">
        <v>0.93606</v>
      </c>
      <c r="AH181">
        <v>1.0640700000000001</v>
      </c>
      <c r="AI181">
        <v>1.0589599999999999</v>
      </c>
      <c r="AJ181">
        <v>1.09493</v>
      </c>
      <c r="AK181">
        <v>0.91756000000000004</v>
      </c>
      <c r="AL181">
        <v>1.1736</v>
      </c>
      <c r="AM181">
        <v>1.2789699999999999</v>
      </c>
      <c r="AN181">
        <v>1.10179</v>
      </c>
      <c r="AO181">
        <v>1.3355399999999999</v>
      </c>
      <c r="AP181">
        <v>1.4299200000000001</v>
      </c>
      <c r="AQ181">
        <v>1.2460800000000001</v>
      </c>
      <c r="AR181">
        <v>1.4877499999999999</v>
      </c>
      <c r="AS181">
        <v>1.5288200000000001</v>
      </c>
      <c r="AT181">
        <v>1.5880000000000001</v>
      </c>
      <c r="AU181">
        <v>1.5784499999999999</v>
      </c>
      <c r="AV181">
        <v>1.48556</v>
      </c>
      <c r="AW181">
        <v>2.0705800000000001</v>
      </c>
      <c r="AX181">
        <v>2.0586500000000001</v>
      </c>
      <c r="AY181">
        <v>2.1018300000000001</v>
      </c>
      <c r="AZ181">
        <v>2.1382699999999999</v>
      </c>
      <c r="BA181">
        <v>2.1540400000000002</v>
      </c>
      <c r="BB181">
        <v>2.23184</v>
      </c>
      <c r="BC181">
        <v>2.2603499999999999</v>
      </c>
      <c r="BD181">
        <v>2.3144800000000001</v>
      </c>
      <c r="BE181">
        <v>2.2151900000000002</v>
      </c>
      <c r="BF181">
        <v>2.3882400000000001</v>
      </c>
      <c r="BG181">
        <v>2.38314</v>
      </c>
      <c r="BH181">
        <v>2.38029</v>
      </c>
      <c r="BI181">
        <v>2.3540800000000002</v>
      </c>
      <c r="BJ181">
        <v>2.3607100000000001</v>
      </c>
      <c r="BK181">
        <v>2.3557399999999999</v>
      </c>
      <c r="BL181">
        <v>2.3346499999999999</v>
      </c>
      <c r="BM181">
        <v>2.3507699999999998</v>
      </c>
      <c r="BN181">
        <v>2.3346800000000001</v>
      </c>
      <c r="BO181">
        <v>2.28627</v>
      </c>
      <c r="BP181">
        <v>2.3247100000000001</v>
      </c>
      <c r="BQ181">
        <v>2.3247200000000001</v>
      </c>
      <c r="BR181">
        <v>2.34084</v>
      </c>
      <c r="BS181">
        <v>2.3408600000000002</v>
      </c>
      <c r="BT181">
        <v>2.3408699999999998</v>
      </c>
      <c r="BW181">
        <v>2.3309000000000002</v>
      </c>
      <c r="BX181">
        <v>2.3454299999999999</v>
      </c>
      <c r="BY181">
        <v>2.3259500000000002</v>
      </c>
      <c r="BZ181">
        <v>2.3209499999999998</v>
      </c>
      <c r="CA181">
        <v>2.3209599999999999</v>
      </c>
      <c r="CB181">
        <v>2.32097</v>
      </c>
      <c r="CC181">
        <v>2.3048799999999998</v>
      </c>
      <c r="CD181">
        <v>2.2999000000000001</v>
      </c>
      <c r="CE181">
        <v>2.3255300000000001</v>
      </c>
      <c r="CF181">
        <v>2.3255400000000002</v>
      </c>
      <c r="CG181">
        <v>2.2949299999999999</v>
      </c>
      <c r="CH181">
        <v>2.30606</v>
      </c>
      <c r="CI181">
        <v>2.3010799999999998</v>
      </c>
      <c r="CJ181">
        <v>2.3010899999999999</v>
      </c>
      <c r="CK181">
        <v>2.3010999999999999</v>
      </c>
      <c r="CL181">
        <v>2.30111</v>
      </c>
      <c r="CM181">
        <v>2.3011200000000001</v>
      </c>
      <c r="CN181">
        <v>2.3061199999999999</v>
      </c>
      <c r="CO181">
        <v>2.3036300000000001</v>
      </c>
      <c r="CP181">
        <v>2.3036300000000001</v>
      </c>
      <c r="CQ181">
        <v>2.30057</v>
      </c>
      <c r="CS181">
        <v>2.2924600000000002</v>
      </c>
      <c r="CT181">
        <v>2.2967200000000001</v>
      </c>
      <c r="CU181">
        <v>2.2967200000000001</v>
      </c>
      <c r="CV181">
        <v>2.2967300000000002</v>
      </c>
      <c r="CW181">
        <v>2.2900800000000001</v>
      </c>
      <c r="CX181">
        <v>2.2900900000000002</v>
      </c>
      <c r="CY181">
        <v>2.2900900000000002</v>
      </c>
      <c r="CZ181">
        <v>2.2850899999999998</v>
      </c>
      <c r="DA181">
        <v>2.2850999999999999</v>
      </c>
      <c r="DB181">
        <v>2.28511</v>
      </c>
      <c r="DC181">
        <v>2.1654800000000001</v>
      </c>
    </row>
    <row r="182" spans="1:107" x14ac:dyDescent="0.25">
      <c r="A182">
        <f t="shared" si="2"/>
        <v>2</v>
      </c>
      <c r="B182" s="2">
        <v>42268</v>
      </c>
      <c r="H182">
        <v>0.49636000000000002</v>
      </c>
      <c r="I182">
        <v>0.44127</v>
      </c>
      <c r="J182">
        <v>0.45139000000000001</v>
      </c>
      <c r="K182">
        <v>0.51631000000000005</v>
      </c>
      <c r="L182">
        <v>0.54952000000000001</v>
      </c>
      <c r="M182">
        <v>0.52437</v>
      </c>
      <c r="N182">
        <v>0.49965999999999999</v>
      </c>
      <c r="O182">
        <v>0.55345</v>
      </c>
      <c r="P182">
        <v>0.61375000000000002</v>
      </c>
      <c r="Q182">
        <v>0.59692000000000001</v>
      </c>
      <c r="R182">
        <v>0.66010000000000002</v>
      </c>
      <c r="S182">
        <v>0.71564000000000005</v>
      </c>
      <c r="T182">
        <v>0.75971</v>
      </c>
      <c r="U182">
        <v>0.67430000000000001</v>
      </c>
      <c r="V182">
        <v>0.69511000000000001</v>
      </c>
      <c r="W182">
        <v>0.73897999999999997</v>
      </c>
      <c r="X182">
        <v>0.80196999999999996</v>
      </c>
      <c r="Y182">
        <v>0.80581999999999998</v>
      </c>
      <c r="Z182">
        <v>0.79118999999999995</v>
      </c>
      <c r="AA182">
        <v>0.84509000000000001</v>
      </c>
      <c r="AB182">
        <v>0.87700999999999996</v>
      </c>
      <c r="AC182">
        <v>0.89034999999999997</v>
      </c>
      <c r="AD182">
        <v>0.87785000000000002</v>
      </c>
      <c r="AE182">
        <v>0.78519000000000005</v>
      </c>
      <c r="AF182">
        <v>0.94965999999999995</v>
      </c>
      <c r="AG182">
        <v>0.99175999999999997</v>
      </c>
      <c r="AH182">
        <v>1.1187800000000001</v>
      </c>
      <c r="AI182">
        <v>1.1448799999999999</v>
      </c>
      <c r="AJ182">
        <v>1.1611199999999999</v>
      </c>
      <c r="AK182">
        <v>0.99656999999999996</v>
      </c>
      <c r="AL182">
        <v>1.2417899999999999</v>
      </c>
      <c r="AM182">
        <v>1.3475299999999999</v>
      </c>
      <c r="AN182">
        <v>1.1845600000000001</v>
      </c>
      <c r="AO182">
        <v>1.4096</v>
      </c>
      <c r="AP182">
        <v>1.51413</v>
      </c>
      <c r="AQ182">
        <v>1.3334900000000001</v>
      </c>
      <c r="AR182">
        <v>1.56131</v>
      </c>
      <c r="AS182">
        <v>1.61127</v>
      </c>
      <c r="AT182">
        <v>1.6707399999999999</v>
      </c>
      <c r="AU182">
        <v>1.6541399999999999</v>
      </c>
      <c r="AV182">
        <v>1.5726599999999999</v>
      </c>
      <c r="AW182">
        <v>2.13653</v>
      </c>
      <c r="AX182">
        <v>2.1340400000000002</v>
      </c>
      <c r="AY182">
        <v>2.1781100000000002</v>
      </c>
      <c r="AZ182">
        <v>2.21095</v>
      </c>
      <c r="BA182">
        <v>2.2343099999999998</v>
      </c>
      <c r="BB182">
        <v>2.3053400000000002</v>
      </c>
      <c r="BC182">
        <v>2.32952</v>
      </c>
      <c r="BD182">
        <v>2.3855</v>
      </c>
      <c r="BE182">
        <v>2.2845</v>
      </c>
      <c r="BF182">
        <v>2.4619499999999999</v>
      </c>
      <c r="BG182">
        <v>2.4519700000000002</v>
      </c>
      <c r="BH182">
        <v>2.4505499999999998</v>
      </c>
      <c r="BI182">
        <v>2.4340000000000002</v>
      </c>
      <c r="BJ182">
        <v>2.4290099999999999</v>
      </c>
      <c r="BK182">
        <v>2.4240300000000001</v>
      </c>
      <c r="BL182">
        <v>2.4037799999999998</v>
      </c>
      <c r="BM182">
        <v>2.4190399999999999</v>
      </c>
      <c r="BN182">
        <v>2.4037999999999999</v>
      </c>
      <c r="BO182">
        <v>2.3536999999999999</v>
      </c>
      <c r="BP182">
        <v>2.4090699999999998</v>
      </c>
      <c r="BQ182">
        <v>2.4090799999999999</v>
      </c>
      <c r="BR182">
        <v>2.40909</v>
      </c>
      <c r="BS182">
        <v>2.4091</v>
      </c>
      <c r="BT182">
        <v>2.4091100000000001</v>
      </c>
      <c r="BW182">
        <v>2.39913</v>
      </c>
      <c r="BX182">
        <v>2.39913</v>
      </c>
      <c r="BY182">
        <v>2.3941599999999998</v>
      </c>
      <c r="BZ182">
        <v>2.3891499999999999</v>
      </c>
      <c r="CA182">
        <v>2.38916</v>
      </c>
      <c r="CB182">
        <v>2.38917</v>
      </c>
      <c r="CC182">
        <v>2.3739300000000001</v>
      </c>
      <c r="CD182">
        <v>2.3689399999999998</v>
      </c>
      <c r="CE182">
        <v>2.3791899999999999</v>
      </c>
      <c r="CF182">
        <v>2.3792</v>
      </c>
      <c r="CG182">
        <v>2.3742200000000002</v>
      </c>
      <c r="CH182">
        <v>2.3639600000000001</v>
      </c>
      <c r="CI182">
        <v>2.36924</v>
      </c>
      <c r="CJ182">
        <v>2.3692500000000001</v>
      </c>
      <c r="CK182">
        <v>2.3692500000000001</v>
      </c>
      <c r="CL182">
        <v>2.3692600000000001</v>
      </c>
      <c r="CM182">
        <v>2.3692600000000001</v>
      </c>
      <c r="CN182">
        <v>2.37426</v>
      </c>
      <c r="CO182">
        <v>2.3717600000000001</v>
      </c>
      <c r="CP182">
        <v>2.3717700000000002</v>
      </c>
      <c r="CQ182">
        <v>2.36937</v>
      </c>
      <c r="CS182">
        <v>2.3608699999999998</v>
      </c>
      <c r="CT182">
        <v>2.3660199999999998</v>
      </c>
      <c r="CU182">
        <v>2.3660299999999999</v>
      </c>
      <c r="CV182">
        <v>2.3660299999999999</v>
      </c>
      <c r="CW182">
        <v>2.35954</v>
      </c>
      <c r="CX182">
        <v>2.35954</v>
      </c>
      <c r="CY182">
        <v>2.35955</v>
      </c>
      <c r="CZ182">
        <v>2.3545500000000001</v>
      </c>
      <c r="DA182">
        <v>2.3545500000000001</v>
      </c>
      <c r="DB182">
        <v>2.3545600000000002</v>
      </c>
      <c r="DC182">
        <v>2.23475</v>
      </c>
    </row>
    <row r="183" spans="1:107" x14ac:dyDescent="0.25">
      <c r="A183">
        <f t="shared" si="2"/>
        <v>3</v>
      </c>
      <c r="B183" s="2">
        <v>42269</v>
      </c>
      <c r="H183">
        <v>0.48803000000000002</v>
      </c>
      <c r="I183">
        <v>0.51859</v>
      </c>
      <c r="J183">
        <v>0.47587000000000002</v>
      </c>
      <c r="K183">
        <v>0.50866999999999996</v>
      </c>
      <c r="L183">
        <v>0.52773000000000003</v>
      </c>
      <c r="M183">
        <v>0.53922999999999999</v>
      </c>
      <c r="N183">
        <v>0.50704000000000005</v>
      </c>
      <c r="O183">
        <v>0.56862999999999997</v>
      </c>
      <c r="P183">
        <v>0.60385999999999995</v>
      </c>
      <c r="Q183">
        <v>0.57355999999999996</v>
      </c>
      <c r="R183">
        <v>0.62470000000000003</v>
      </c>
      <c r="S183">
        <v>0.69013000000000002</v>
      </c>
      <c r="T183">
        <v>0.73399999999999999</v>
      </c>
      <c r="U183">
        <v>0.64587000000000006</v>
      </c>
      <c r="V183">
        <v>0.66923999999999995</v>
      </c>
      <c r="W183">
        <v>0.71431</v>
      </c>
      <c r="X183">
        <v>0.77527000000000001</v>
      </c>
      <c r="Y183">
        <v>0.83384000000000003</v>
      </c>
      <c r="Z183">
        <v>0.75956000000000001</v>
      </c>
      <c r="AA183">
        <v>0.81535999999999997</v>
      </c>
      <c r="AB183">
        <v>0.83818000000000004</v>
      </c>
      <c r="AC183">
        <v>0.85038000000000002</v>
      </c>
      <c r="AD183">
        <v>0.84136</v>
      </c>
      <c r="AE183">
        <v>0.74939999999999996</v>
      </c>
      <c r="AF183">
        <v>0.90966000000000002</v>
      </c>
      <c r="AG183">
        <v>0.95228000000000002</v>
      </c>
      <c r="AH183">
        <v>1.0770900000000001</v>
      </c>
      <c r="AI183">
        <v>1.0955999999999999</v>
      </c>
      <c r="AJ183">
        <v>1.1189800000000001</v>
      </c>
      <c r="AK183">
        <v>0.9536</v>
      </c>
      <c r="AL183">
        <v>1.1999500000000001</v>
      </c>
      <c r="AM183">
        <v>1.3042</v>
      </c>
      <c r="AN183">
        <v>1.1363399999999999</v>
      </c>
      <c r="AO183">
        <v>1.35392</v>
      </c>
      <c r="AP183">
        <v>1.4530700000000001</v>
      </c>
      <c r="AQ183">
        <v>1.27274</v>
      </c>
      <c r="AR183">
        <v>1.5002500000000001</v>
      </c>
      <c r="AS183">
        <v>1.5491999999999999</v>
      </c>
      <c r="AT183">
        <v>1.6085</v>
      </c>
      <c r="AU183">
        <v>1.58518</v>
      </c>
      <c r="AV183">
        <v>1.5116400000000001</v>
      </c>
      <c r="AW183">
        <v>2.07524</v>
      </c>
      <c r="AX183">
        <v>2.0745100000000001</v>
      </c>
      <c r="AY183">
        <v>2.1182300000000001</v>
      </c>
      <c r="AZ183">
        <v>2.1496300000000002</v>
      </c>
      <c r="BA183">
        <v>2.1734300000000002</v>
      </c>
      <c r="BB183">
        <v>2.2410399999999999</v>
      </c>
      <c r="BC183">
        <v>2.2661799999999999</v>
      </c>
      <c r="BD183">
        <v>2.3216000000000001</v>
      </c>
      <c r="BE183">
        <v>2.2202600000000001</v>
      </c>
      <c r="BF183">
        <v>2.4004300000000001</v>
      </c>
      <c r="BG183">
        <v>2.3852000000000002</v>
      </c>
      <c r="BH183">
        <v>2.3872200000000001</v>
      </c>
      <c r="BI183">
        <v>2.3622100000000001</v>
      </c>
      <c r="BJ183">
        <v>2.3599000000000001</v>
      </c>
      <c r="BK183">
        <v>2.3605499999999999</v>
      </c>
      <c r="BL183">
        <v>2.35026</v>
      </c>
      <c r="BM183">
        <v>2.3555600000000001</v>
      </c>
      <c r="BN183">
        <v>2.3427699999999998</v>
      </c>
      <c r="BO183">
        <v>2.2914300000000001</v>
      </c>
      <c r="BP183">
        <v>2.3327900000000001</v>
      </c>
      <c r="BQ183">
        <v>2.3328000000000002</v>
      </c>
      <c r="BR183">
        <v>2.3456100000000002</v>
      </c>
      <c r="BS183">
        <v>2.3456100000000002</v>
      </c>
      <c r="BT183">
        <v>2.3456199999999998</v>
      </c>
      <c r="BW183">
        <v>2.3356400000000002</v>
      </c>
      <c r="BX183">
        <v>2.3356499999999998</v>
      </c>
      <c r="BY183">
        <v>2.33067</v>
      </c>
      <c r="BZ183">
        <v>2.3256700000000001</v>
      </c>
      <c r="CA183">
        <v>2.3256800000000002</v>
      </c>
      <c r="CB183">
        <v>2.3256800000000002</v>
      </c>
      <c r="CC183">
        <v>2.3128899999999999</v>
      </c>
      <c r="CD183">
        <v>2.3079000000000001</v>
      </c>
      <c r="CE183">
        <v>2.3176600000000001</v>
      </c>
      <c r="CF183">
        <v>2.3176700000000001</v>
      </c>
      <c r="CG183">
        <v>2.3126899999999999</v>
      </c>
      <c r="CH183">
        <v>2.3126899999999999</v>
      </c>
      <c r="CI183">
        <v>2.3077000000000001</v>
      </c>
      <c r="CJ183">
        <v>2.3077100000000002</v>
      </c>
      <c r="CK183">
        <v>2.3077100000000002</v>
      </c>
      <c r="CL183">
        <v>2.3077200000000002</v>
      </c>
      <c r="CM183">
        <v>2.3077299999999998</v>
      </c>
      <c r="CN183">
        <v>2.3127200000000001</v>
      </c>
      <c r="CO183">
        <v>2.3054800000000002</v>
      </c>
      <c r="CP183">
        <v>2.3054800000000002</v>
      </c>
      <c r="CQ183">
        <v>2.3071000000000002</v>
      </c>
      <c r="CS183">
        <v>2.3029799999999998</v>
      </c>
      <c r="CT183">
        <v>2.3043200000000001</v>
      </c>
      <c r="CU183">
        <v>2.3043200000000001</v>
      </c>
      <c r="CV183">
        <v>2.3043300000000002</v>
      </c>
      <c r="CW183">
        <v>2.2965300000000002</v>
      </c>
      <c r="CX183">
        <v>2.2965399999999998</v>
      </c>
      <c r="CY183">
        <v>2.2965399999999998</v>
      </c>
      <c r="CZ183">
        <v>2.2915399999999999</v>
      </c>
      <c r="DA183">
        <v>2.29155</v>
      </c>
      <c r="DB183">
        <v>2.29155</v>
      </c>
      <c r="DC183">
        <v>2.1730499999999999</v>
      </c>
    </row>
    <row r="184" spans="1:107" x14ac:dyDescent="0.25">
      <c r="A184">
        <f t="shared" si="2"/>
        <v>4</v>
      </c>
      <c r="B184" s="2">
        <v>42270</v>
      </c>
      <c r="H184">
        <v>0.48176000000000002</v>
      </c>
      <c r="I184">
        <v>0.42405999999999999</v>
      </c>
      <c r="J184">
        <v>0.46969</v>
      </c>
      <c r="K184">
        <v>0.51278999999999997</v>
      </c>
      <c r="L184">
        <v>0.53866999999999998</v>
      </c>
      <c r="M184">
        <v>0.53602000000000005</v>
      </c>
      <c r="N184">
        <v>0.50544999999999995</v>
      </c>
      <c r="O184">
        <v>0.56977</v>
      </c>
      <c r="P184">
        <v>0.60863</v>
      </c>
      <c r="Q184">
        <v>0.60016000000000003</v>
      </c>
      <c r="R184">
        <v>0.64402999999999999</v>
      </c>
      <c r="S184">
        <v>0.70538999999999996</v>
      </c>
      <c r="T184">
        <v>0.75114000000000003</v>
      </c>
      <c r="U184">
        <v>0.66354000000000002</v>
      </c>
      <c r="V184">
        <v>0.68610000000000004</v>
      </c>
      <c r="W184">
        <v>0.73290999999999995</v>
      </c>
      <c r="X184">
        <v>0.79278999999999999</v>
      </c>
      <c r="Y184">
        <v>0.81703999999999999</v>
      </c>
      <c r="Z184">
        <v>0.77381</v>
      </c>
      <c r="AA184">
        <v>0.83001000000000003</v>
      </c>
      <c r="AB184">
        <v>0.85289999999999999</v>
      </c>
      <c r="AC184">
        <v>0.86409999999999998</v>
      </c>
      <c r="AD184">
        <v>0.85748000000000002</v>
      </c>
      <c r="AE184">
        <v>0.76602000000000003</v>
      </c>
      <c r="AF184">
        <v>0.92340999999999995</v>
      </c>
      <c r="AG184">
        <v>0.97667999999999999</v>
      </c>
      <c r="AH184">
        <v>1.0969199999999999</v>
      </c>
      <c r="AI184">
        <v>1.11635</v>
      </c>
      <c r="AJ184">
        <v>1.1319900000000001</v>
      </c>
      <c r="AK184">
        <v>0.96575999999999995</v>
      </c>
      <c r="AL184">
        <v>1.21289</v>
      </c>
      <c r="AM184">
        <v>1.31142</v>
      </c>
      <c r="AN184">
        <v>1.1456900000000001</v>
      </c>
      <c r="AO184">
        <v>1.3663099999999999</v>
      </c>
      <c r="AP184">
        <v>1.45031</v>
      </c>
      <c r="AQ184">
        <v>1.27542</v>
      </c>
      <c r="AR184">
        <v>1.49973</v>
      </c>
      <c r="AS184">
        <v>1.5519099999999999</v>
      </c>
      <c r="AT184">
        <v>1.61147</v>
      </c>
      <c r="AU184">
        <v>1.5854900000000001</v>
      </c>
      <c r="AV184">
        <v>1.51142</v>
      </c>
      <c r="AW184">
        <v>2.0755300000000001</v>
      </c>
      <c r="AX184">
        <v>2.0729899999999999</v>
      </c>
      <c r="AY184">
        <v>2.1187800000000001</v>
      </c>
      <c r="AZ184">
        <v>2.1488200000000002</v>
      </c>
      <c r="BA184">
        <v>2.1721900000000001</v>
      </c>
      <c r="BB184">
        <v>2.2406600000000001</v>
      </c>
      <c r="BC184">
        <v>2.2695599999999998</v>
      </c>
      <c r="BD184">
        <v>2.3225799999999999</v>
      </c>
      <c r="BE184">
        <v>2.22458</v>
      </c>
      <c r="BF184">
        <v>2.4057499999999998</v>
      </c>
      <c r="BG184">
        <v>2.3904800000000002</v>
      </c>
      <c r="BH184">
        <v>2.39086</v>
      </c>
      <c r="BI184">
        <v>2.3718599999999999</v>
      </c>
      <c r="BJ184">
        <v>2.3652099999999998</v>
      </c>
      <c r="BK184">
        <v>2.36592</v>
      </c>
      <c r="BL184">
        <v>2.3555899999999999</v>
      </c>
      <c r="BM184">
        <v>2.3609499999999999</v>
      </c>
      <c r="BN184">
        <v>2.3479999999999999</v>
      </c>
      <c r="BO184">
        <v>2.2970199999999998</v>
      </c>
      <c r="BP184">
        <v>2.3380200000000002</v>
      </c>
      <c r="BQ184">
        <v>2.3380399999999999</v>
      </c>
      <c r="BR184">
        <v>2.3510200000000001</v>
      </c>
      <c r="BS184">
        <v>2.3510399999999998</v>
      </c>
      <c r="BT184">
        <v>2.3510499999999999</v>
      </c>
      <c r="BW184">
        <v>2.3410799999999998</v>
      </c>
      <c r="BX184">
        <v>2.3411</v>
      </c>
      <c r="BY184">
        <v>2.3361299999999998</v>
      </c>
      <c r="BZ184">
        <v>2.3311299999999999</v>
      </c>
      <c r="CA184">
        <v>2.3181799999999999</v>
      </c>
      <c r="CB184">
        <v>2.31819</v>
      </c>
      <c r="CC184">
        <v>2.3182</v>
      </c>
      <c r="CD184">
        <v>2.3132199999999998</v>
      </c>
      <c r="CE184">
        <v>2.32315</v>
      </c>
      <c r="CF184">
        <v>2.3231600000000001</v>
      </c>
      <c r="CG184">
        <v>2.31819</v>
      </c>
      <c r="CH184">
        <v>2.3182</v>
      </c>
      <c r="CI184">
        <v>2.3132100000000002</v>
      </c>
      <c r="CJ184">
        <v>2.3132199999999998</v>
      </c>
      <c r="CK184">
        <v>2.3132299999999999</v>
      </c>
      <c r="CL184">
        <v>2.31324</v>
      </c>
      <c r="CM184">
        <v>2.31325</v>
      </c>
      <c r="CN184">
        <v>2.3219400000000001</v>
      </c>
      <c r="CO184">
        <v>2.3202799999999999</v>
      </c>
      <c r="CP184">
        <v>2.32029</v>
      </c>
      <c r="CQ184">
        <v>2.3073399999999999</v>
      </c>
      <c r="CS184">
        <v>2.3083499999999999</v>
      </c>
      <c r="CT184">
        <v>2.3054100000000002</v>
      </c>
      <c r="CU184">
        <v>2.3054199999999998</v>
      </c>
      <c r="CV184">
        <v>2.3054299999999999</v>
      </c>
      <c r="CW184">
        <v>2.30044</v>
      </c>
      <c r="CX184">
        <v>2.3004500000000001</v>
      </c>
      <c r="CY184">
        <v>2.3004500000000001</v>
      </c>
      <c r="CZ184">
        <v>2.2854000000000001</v>
      </c>
      <c r="DA184">
        <v>2.2954599999999998</v>
      </c>
      <c r="DB184">
        <v>2.2954699999999999</v>
      </c>
      <c r="DC184">
        <v>2.1774800000000001</v>
      </c>
    </row>
    <row r="185" spans="1:107" x14ac:dyDescent="0.25">
      <c r="A185">
        <f t="shared" si="2"/>
        <v>5</v>
      </c>
      <c r="B185" s="2">
        <v>42271</v>
      </c>
      <c r="H185">
        <v>0.47387000000000001</v>
      </c>
      <c r="I185">
        <v>0.50111000000000006</v>
      </c>
      <c r="J185">
        <v>0.46475</v>
      </c>
      <c r="K185">
        <v>0.50599000000000005</v>
      </c>
      <c r="L185">
        <v>0.54640999999999995</v>
      </c>
      <c r="M185">
        <v>0.52614000000000005</v>
      </c>
      <c r="N185">
        <v>0.49869000000000002</v>
      </c>
      <c r="O185">
        <v>0.56594999999999995</v>
      </c>
      <c r="P185">
        <v>0.61404000000000003</v>
      </c>
      <c r="Q185">
        <v>0.57415000000000005</v>
      </c>
      <c r="R185">
        <v>0.63188999999999995</v>
      </c>
      <c r="S185">
        <v>0.69086999999999998</v>
      </c>
      <c r="T185">
        <v>0.73687000000000002</v>
      </c>
      <c r="U185">
        <v>0.64680000000000004</v>
      </c>
      <c r="V185">
        <v>0.66996999999999995</v>
      </c>
      <c r="W185">
        <v>0.71640999999999999</v>
      </c>
      <c r="X185">
        <v>0.77692000000000005</v>
      </c>
      <c r="Y185">
        <v>0.83521999999999996</v>
      </c>
      <c r="Z185">
        <v>0.76043000000000005</v>
      </c>
      <c r="AA185">
        <v>0.81635999999999997</v>
      </c>
      <c r="AB185">
        <v>0.84760000000000002</v>
      </c>
      <c r="AC185">
        <v>0.85821999999999998</v>
      </c>
      <c r="AD185">
        <v>0.85024</v>
      </c>
      <c r="AE185">
        <v>0.75826000000000005</v>
      </c>
      <c r="AF185">
        <v>0.91605999999999999</v>
      </c>
      <c r="AG185">
        <v>0.97553000000000001</v>
      </c>
      <c r="AH185">
        <v>1.0916399999999999</v>
      </c>
      <c r="AI185">
        <v>1.1084700000000001</v>
      </c>
      <c r="AJ185">
        <v>1.13262</v>
      </c>
      <c r="AK185">
        <v>0.96043000000000001</v>
      </c>
      <c r="AL185">
        <v>1.21238</v>
      </c>
      <c r="AM185">
        <v>1.29426</v>
      </c>
      <c r="AN185">
        <v>1.1297299999999999</v>
      </c>
      <c r="AO185">
        <v>1.3459399999999999</v>
      </c>
      <c r="AP185">
        <v>1.4382200000000001</v>
      </c>
      <c r="AQ185">
        <v>1.2596000000000001</v>
      </c>
      <c r="AR185">
        <v>1.48258</v>
      </c>
      <c r="AS185">
        <v>1.52942</v>
      </c>
      <c r="AT185">
        <v>1.5869599999999999</v>
      </c>
      <c r="AU185">
        <v>1.57748</v>
      </c>
      <c r="AV185">
        <v>1.49512</v>
      </c>
      <c r="AW185">
        <v>2.0562299999999998</v>
      </c>
      <c r="AX185">
        <v>2.0551499999999998</v>
      </c>
      <c r="AY185">
        <v>2.0977999999999999</v>
      </c>
      <c r="AZ185">
        <v>2.1362000000000001</v>
      </c>
      <c r="BA185">
        <v>2.15347</v>
      </c>
      <c r="BB185">
        <v>2.22282</v>
      </c>
      <c r="BC185">
        <v>2.2508599999999999</v>
      </c>
      <c r="BD185">
        <v>2.3052000000000001</v>
      </c>
      <c r="BE185">
        <v>2.2040999999999999</v>
      </c>
      <c r="BF185">
        <v>2.38076</v>
      </c>
      <c r="BG185">
        <v>2.3750499999999999</v>
      </c>
      <c r="BH185">
        <v>2.3728099999999999</v>
      </c>
      <c r="BI185">
        <v>2.3518400000000002</v>
      </c>
      <c r="BJ185">
        <v>2.35161</v>
      </c>
      <c r="BK185">
        <v>2.3466499999999999</v>
      </c>
      <c r="BL185">
        <v>2.3416600000000001</v>
      </c>
      <c r="BM185">
        <v>2.3416800000000002</v>
      </c>
      <c r="BN185">
        <v>2.3274599999999999</v>
      </c>
      <c r="BO185">
        <v>2.2763499999999999</v>
      </c>
      <c r="BP185">
        <v>2.3174899999999998</v>
      </c>
      <c r="BQ185">
        <v>2.3174999999999999</v>
      </c>
      <c r="BR185">
        <v>2.33175</v>
      </c>
      <c r="BS185">
        <v>2.3317600000000001</v>
      </c>
      <c r="BT185">
        <v>2.3317800000000002</v>
      </c>
      <c r="BW185">
        <v>2.3218100000000002</v>
      </c>
      <c r="BX185">
        <v>2.3218200000000002</v>
      </c>
      <c r="BY185">
        <v>2.3168500000000001</v>
      </c>
      <c r="BZ185">
        <v>2.3118500000000002</v>
      </c>
      <c r="CA185">
        <v>2.3118699999999999</v>
      </c>
      <c r="CB185">
        <v>2.3118799999999999</v>
      </c>
      <c r="CC185">
        <v>2.29766</v>
      </c>
      <c r="CD185">
        <v>2.2926799999999998</v>
      </c>
      <c r="CE185">
        <v>2.3028900000000001</v>
      </c>
      <c r="CF185">
        <v>2.3029000000000002</v>
      </c>
      <c r="CG185">
        <v>2.29793</v>
      </c>
      <c r="CH185">
        <v>2.2979400000000001</v>
      </c>
      <c r="CI185">
        <v>2.2929499999999998</v>
      </c>
      <c r="CJ185">
        <v>2.2929599999999999</v>
      </c>
      <c r="CK185">
        <v>2.29297</v>
      </c>
      <c r="CL185">
        <v>2.29298</v>
      </c>
      <c r="CM185">
        <v>2.2929900000000001</v>
      </c>
      <c r="CN185">
        <v>2.29799</v>
      </c>
      <c r="CO185">
        <v>2.2955000000000001</v>
      </c>
      <c r="CP185">
        <v>2.2955000000000001</v>
      </c>
      <c r="CQ185">
        <v>2.2923900000000001</v>
      </c>
      <c r="CS185">
        <v>2.28782</v>
      </c>
      <c r="CT185">
        <v>2.2891499999999998</v>
      </c>
      <c r="CU185">
        <v>2.2891599999999999</v>
      </c>
      <c r="CV185">
        <v>2.2891599999999999</v>
      </c>
      <c r="CW185">
        <v>2.28186</v>
      </c>
      <c r="CX185">
        <v>2.28186</v>
      </c>
      <c r="CY185">
        <v>2.2818700000000001</v>
      </c>
      <c r="CZ185">
        <v>2.2671000000000001</v>
      </c>
      <c r="DA185">
        <v>2.2768799999999998</v>
      </c>
      <c r="DB185">
        <v>2.2768899999999999</v>
      </c>
      <c r="DC185">
        <v>2.1579199999999998</v>
      </c>
    </row>
    <row r="186" spans="1:107" x14ac:dyDescent="0.25">
      <c r="A186">
        <f t="shared" si="2"/>
        <v>6</v>
      </c>
      <c r="B186" s="2">
        <v>42272</v>
      </c>
      <c r="H186">
        <v>0.48774000000000001</v>
      </c>
      <c r="I186">
        <v>0.51258999999999999</v>
      </c>
      <c r="J186">
        <v>0.45981</v>
      </c>
      <c r="K186">
        <v>0.52117999999999998</v>
      </c>
      <c r="L186">
        <v>0.56342000000000003</v>
      </c>
      <c r="M186">
        <v>0.53596999999999995</v>
      </c>
      <c r="N186">
        <v>0.50348000000000004</v>
      </c>
      <c r="O186">
        <v>0.61124000000000001</v>
      </c>
      <c r="P186">
        <v>0.64675000000000005</v>
      </c>
      <c r="Q186">
        <v>0.61785999999999996</v>
      </c>
      <c r="R186">
        <v>0.66364000000000001</v>
      </c>
      <c r="S186">
        <v>0.72536999999999996</v>
      </c>
      <c r="T186">
        <v>0.75810999999999995</v>
      </c>
      <c r="U186">
        <v>0.68625000000000003</v>
      </c>
      <c r="V186">
        <v>0.70811999999999997</v>
      </c>
      <c r="W186">
        <v>0.75451999999999997</v>
      </c>
      <c r="X186">
        <v>0.81569000000000003</v>
      </c>
      <c r="Y186">
        <v>0.87511000000000005</v>
      </c>
      <c r="Z186">
        <v>0.79986999999999997</v>
      </c>
      <c r="AA186">
        <v>0.85573999999999995</v>
      </c>
      <c r="AB186">
        <v>0.87626999999999999</v>
      </c>
      <c r="AC186">
        <v>0.90873000000000004</v>
      </c>
      <c r="AD186">
        <v>0.89763999999999999</v>
      </c>
      <c r="AE186">
        <v>0.80427000000000004</v>
      </c>
      <c r="AF186">
        <v>0.96587000000000001</v>
      </c>
      <c r="AG186">
        <v>1.03508</v>
      </c>
      <c r="AH186">
        <v>1.1472800000000001</v>
      </c>
      <c r="AI186">
        <v>1.1675199999999999</v>
      </c>
      <c r="AJ186">
        <v>1.1851499999999999</v>
      </c>
      <c r="AK186">
        <v>1.0174300000000001</v>
      </c>
      <c r="AL186">
        <v>1.26309</v>
      </c>
      <c r="AM186">
        <v>1.35446</v>
      </c>
      <c r="AN186">
        <v>1.18849</v>
      </c>
      <c r="AO186">
        <v>1.40944</v>
      </c>
      <c r="AP186">
        <v>1.4999</v>
      </c>
      <c r="AQ186">
        <v>1.3265199999999999</v>
      </c>
      <c r="AR186">
        <v>1.5484500000000001</v>
      </c>
      <c r="AS186">
        <v>1.59663</v>
      </c>
      <c r="AT186">
        <v>1.6549400000000001</v>
      </c>
      <c r="AU186">
        <v>1.63622</v>
      </c>
      <c r="AV186">
        <v>1.5612999999999999</v>
      </c>
      <c r="AW186">
        <v>2.1178699999999999</v>
      </c>
      <c r="AX186">
        <v>2.1166299999999998</v>
      </c>
      <c r="AY186">
        <v>2.1609099999999999</v>
      </c>
      <c r="AZ186">
        <v>2.19232</v>
      </c>
      <c r="BA186">
        <v>2.21705</v>
      </c>
      <c r="BB186">
        <v>2.27894</v>
      </c>
      <c r="BC186">
        <v>2.3078699999999999</v>
      </c>
      <c r="BD186">
        <v>2.3606799999999999</v>
      </c>
      <c r="BE186">
        <v>2.25854</v>
      </c>
      <c r="BF186">
        <v>2.4385599999999998</v>
      </c>
      <c r="BG186">
        <v>2.4328799999999999</v>
      </c>
      <c r="BH186">
        <v>2.4306100000000002</v>
      </c>
      <c r="BI186">
        <v>2.4093100000000001</v>
      </c>
      <c r="BJ186">
        <v>2.4089499999999999</v>
      </c>
      <c r="BK186">
        <v>2.4039799999999998</v>
      </c>
      <c r="BL186">
        <v>2.39899</v>
      </c>
      <c r="BM186">
        <v>2.3990100000000001</v>
      </c>
      <c r="BN186">
        <v>2.3940399999999999</v>
      </c>
      <c r="BO186">
        <v>2.3344499999999999</v>
      </c>
      <c r="BP186">
        <v>2.3752</v>
      </c>
      <c r="BQ186">
        <v>2.37521</v>
      </c>
      <c r="BR186">
        <v>2.3890799999999999</v>
      </c>
      <c r="BS186">
        <v>2.3891</v>
      </c>
      <c r="BT186">
        <v>2.3891100000000001</v>
      </c>
      <c r="BW186">
        <v>2.3791500000000001</v>
      </c>
      <c r="BX186">
        <v>2.3791600000000002</v>
      </c>
      <c r="BY186">
        <v>2.37419</v>
      </c>
      <c r="BZ186">
        <v>2.3691900000000001</v>
      </c>
      <c r="CA186">
        <v>2.3692099999999998</v>
      </c>
      <c r="CB186">
        <v>2.3692199999999999</v>
      </c>
      <c r="CC186">
        <v>2.3642400000000001</v>
      </c>
      <c r="CD186">
        <v>2.3504</v>
      </c>
      <c r="CE186">
        <v>2.3592599999999999</v>
      </c>
      <c r="CF186">
        <v>2.35927</v>
      </c>
      <c r="CG186">
        <v>2.3542900000000002</v>
      </c>
      <c r="CH186">
        <v>2.3542999999999998</v>
      </c>
      <c r="CI186">
        <v>2.3493200000000001</v>
      </c>
      <c r="CJ186">
        <v>2.3493300000000001</v>
      </c>
      <c r="CK186">
        <v>2.3493400000000002</v>
      </c>
      <c r="CL186">
        <v>2.3493499999999998</v>
      </c>
      <c r="CM186">
        <v>2.3493599999999999</v>
      </c>
      <c r="CN186">
        <v>2.3543599999999998</v>
      </c>
      <c r="CO186">
        <v>2.3480699999999999</v>
      </c>
      <c r="CP186">
        <v>2.3480799999999999</v>
      </c>
      <c r="CQ186">
        <v>2.34944</v>
      </c>
      <c r="CS186">
        <v>2.3455400000000002</v>
      </c>
      <c r="CT186">
        <v>2.3465500000000001</v>
      </c>
      <c r="CU186">
        <v>2.3465600000000002</v>
      </c>
      <c r="CV186">
        <v>2.3465600000000002</v>
      </c>
      <c r="CW186">
        <v>2.3395800000000002</v>
      </c>
      <c r="CX186">
        <v>2.3395800000000002</v>
      </c>
      <c r="CY186">
        <v>2.3395899999999998</v>
      </c>
      <c r="CZ186">
        <v>2.3345899999999999</v>
      </c>
      <c r="DA186">
        <v>2.3346</v>
      </c>
      <c r="DB186">
        <v>2.3346100000000001</v>
      </c>
      <c r="DC186">
        <v>2.2153100000000001</v>
      </c>
    </row>
    <row r="187" spans="1:107" x14ac:dyDescent="0.25">
      <c r="A187">
        <f t="shared" si="2"/>
        <v>2</v>
      </c>
      <c r="B187" s="2">
        <v>42275</v>
      </c>
      <c r="H187">
        <v>0.49487999999999999</v>
      </c>
      <c r="I187">
        <v>0.52361999999999997</v>
      </c>
      <c r="J187">
        <v>0.46571000000000001</v>
      </c>
      <c r="K187">
        <v>0.51504000000000005</v>
      </c>
      <c r="L187">
        <v>0.55305000000000004</v>
      </c>
      <c r="M187">
        <v>0.54013</v>
      </c>
      <c r="N187">
        <v>0.50636999999999999</v>
      </c>
      <c r="O187">
        <v>0.60789000000000004</v>
      </c>
      <c r="P187">
        <v>0.62041999999999997</v>
      </c>
      <c r="Q187">
        <v>0.58387</v>
      </c>
      <c r="R187">
        <v>0.62004000000000004</v>
      </c>
      <c r="S187">
        <v>0.69162999999999997</v>
      </c>
      <c r="T187">
        <v>0.72475999999999996</v>
      </c>
      <c r="U187">
        <v>0.64193999999999996</v>
      </c>
      <c r="V187">
        <v>0.66425000000000001</v>
      </c>
      <c r="W187">
        <v>0.70913999999999999</v>
      </c>
      <c r="X187">
        <v>0.77110000000000001</v>
      </c>
      <c r="Y187">
        <v>0.77136000000000005</v>
      </c>
      <c r="Z187">
        <v>0.75487000000000004</v>
      </c>
      <c r="AA187">
        <v>0.80952999999999997</v>
      </c>
      <c r="AB187">
        <v>0.83115000000000006</v>
      </c>
      <c r="AC187">
        <v>0.84397999999999995</v>
      </c>
      <c r="AD187">
        <v>0.83321999999999996</v>
      </c>
      <c r="AE187">
        <v>0.74129999999999996</v>
      </c>
      <c r="AF187">
        <v>0.90395999999999999</v>
      </c>
      <c r="AG187">
        <v>0.95975999999999995</v>
      </c>
      <c r="AH187">
        <v>1.0783799999999999</v>
      </c>
      <c r="AI187">
        <v>1.0930200000000001</v>
      </c>
      <c r="AJ187">
        <v>1.11907</v>
      </c>
      <c r="AK187">
        <v>0.94830999999999999</v>
      </c>
      <c r="AL187">
        <v>1.1934899999999999</v>
      </c>
      <c r="AM187">
        <v>1.2762</v>
      </c>
      <c r="AN187">
        <v>1.1146799999999999</v>
      </c>
      <c r="AO187">
        <v>1.3293999999999999</v>
      </c>
      <c r="AP187">
        <v>1.4108400000000001</v>
      </c>
      <c r="AQ187">
        <v>1.23631</v>
      </c>
      <c r="AR187">
        <v>1.4588399999999999</v>
      </c>
      <c r="AS187">
        <v>1.5022599999999999</v>
      </c>
      <c r="AT187">
        <v>1.55328</v>
      </c>
      <c r="AU187">
        <v>1.5454300000000001</v>
      </c>
      <c r="AV187">
        <v>1.4691399999999999</v>
      </c>
      <c r="AW187">
        <v>2.0280800000000001</v>
      </c>
      <c r="AX187">
        <v>2.0267599999999999</v>
      </c>
      <c r="AY187">
        <v>2.0698099999999999</v>
      </c>
      <c r="AZ187">
        <v>2.10832</v>
      </c>
      <c r="BA187">
        <v>2.1271100000000001</v>
      </c>
      <c r="BB187">
        <v>2.19936</v>
      </c>
      <c r="BC187">
        <v>2.2258200000000001</v>
      </c>
      <c r="BD187">
        <v>2.2886500000000001</v>
      </c>
      <c r="BE187">
        <v>2.1831100000000001</v>
      </c>
      <c r="BF187">
        <v>2.36</v>
      </c>
      <c r="BG187">
        <v>2.35581</v>
      </c>
      <c r="BH187">
        <v>2.3526899999999999</v>
      </c>
      <c r="BI187">
        <v>2.33534</v>
      </c>
      <c r="BJ187">
        <v>2.3303500000000001</v>
      </c>
      <c r="BK187">
        <v>2.3253699999999999</v>
      </c>
      <c r="BL187">
        <v>2.32037</v>
      </c>
      <c r="BM187">
        <v>2.3247499999999999</v>
      </c>
      <c r="BN187">
        <v>2.31541</v>
      </c>
      <c r="BO187">
        <v>2.2541500000000001</v>
      </c>
      <c r="BP187">
        <v>2.2945000000000002</v>
      </c>
      <c r="BQ187">
        <v>2.3104200000000001</v>
      </c>
      <c r="BR187">
        <v>2.3104200000000001</v>
      </c>
      <c r="BS187">
        <v>2.3104300000000002</v>
      </c>
      <c r="BT187">
        <v>2.3104399999999998</v>
      </c>
      <c r="BW187">
        <v>2.3004600000000002</v>
      </c>
      <c r="BX187">
        <v>2.3004699999999998</v>
      </c>
      <c r="BY187">
        <v>2.29549</v>
      </c>
      <c r="BZ187">
        <v>2.2904900000000001</v>
      </c>
      <c r="CA187">
        <v>2.2905000000000002</v>
      </c>
      <c r="CB187">
        <v>2.2905000000000002</v>
      </c>
      <c r="CC187">
        <v>2.28552</v>
      </c>
      <c r="CD187">
        <v>2.2696200000000002</v>
      </c>
      <c r="CE187">
        <v>2.27955</v>
      </c>
      <c r="CF187">
        <v>2.27956</v>
      </c>
      <c r="CG187">
        <v>2.2646299999999999</v>
      </c>
      <c r="CH187">
        <v>2.2745899999999999</v>
      </c>
      <c r="CI187">
        <v>2.2696000000000001</v>
      </c>
      <c r="CJ187">
        <v>2.2696100000000001</v>
      </c>
      <c r="CK187">
        <v>2.2696200000000002</v>
      </c>
      <c r="CL187">
        <v>2.2696200000000002</v>
      </c>
      <c r="CM187">
        <v>2.2696299999999998</v>
      </c>
      <c r="CN187">
        <v>2.2746300000000002</v>
      </c>
      <c r="CO187">
        <v>2.2721300000000002</v>
      </c>
      <c r="CP187">
        <v>2.2721300000000002</v>
      </c>
      <c r="CQ187">
        <v>2.2691499999999998</v>
      </c>
      <c r="CS187">
        <v>2.2646999999999999</v>
      </c>
      <c r="CT187">
        <v>2.2653799999999999</v>
      </c>
      <c r="CU187">
        <v>2.26539</v>
      </c>
      <c r="CV187">
        <v>2.26539</v>
      </c>
      <c r="CW187">
        <v>2.2587199999999998</v>
      </c>
      <c r="CX187">
        <v>2.2587199999999998</v>
      </c>
      <c r="CY187">
        <v>2.2587299999999999</v>
      </c>
      <c r="CZ187">
        <v>2.2537199999999999</v>
      </c>
      <c r="DA187">
        <v>2.25373</v>
      </c>
      <c r="DB187">
        <v>2.25373</v>
      </c>
      <c r="DC187">
        <v>2.1341100000000002</v>
      </c>
    </row>
    <row r="188" spans="1:107" x14ac:dyDescent="0.25">
      <c r="A188">
        <f t="shared" si="2"/>
        <v>3</v>
      </c>
      <c r="B188" s="2">
        <v>42276</v>
      </c>
      <c r="H188">
        <v>0.49319000000000002</v>
      </c>
      <c r="I188">
        <v>0.43614999999999998</v>
      </c>
      <c r="J188">
        <v>0.46565000000000001</v>
      </c>
      <c r="K188">
        <v>0.51351000000000002</v>
      </c>
      <c r="L188">
        <v>0.55186000000000002</v>
      </c>
      <c r="M188">
        <v>0.54012000000000004</v>
      </c>
      <c r="N188">
        <v>0.50634000000000001</v>
      </c>
      <c r="O188">
        <v>0.60624999999999996</v>
      </c>
      <c r="P188">
        <v>0.61909000000000003</v>
      </c>
      <c r="Q188">
        <v>0.58287999999999995</v>
      </c>
      <c r="R188">
        <v>0.61851999999999996</v>
      </c>
      <c r="S188">
        <v>0.68994999999999995</v>
      </c>
      <c r="T188">
        <v>0.72314999999999996</v>
      </c>
      <c r="U188">
        <v>0.64041999999999999</v>
      </c>
      <c r="V188">
        <v>0.66190000000000004</v>
      </c>
      <c r="W188">
        <v>0.70704</v>
      </c>
      <c r="X188">
        <v>0.76939999999999997</v>
      </c>
      <c r="Y188">
        <v>0.82686000000000004</v>
      </c>
      <c r="Z188">
        <v>0.75019000000000002</v>
      </c>
      <c r="AA188">
        <v>0.80601999999999996</v>
      </c>
      <c r="AB188">
        <v>0.82604999999999995</v>
      </c>
      <c r="AC188">
        <v>0.84040000000000004</v>
      </c>
      <c r="AD188">
        <v>0.83043999999999996</v>
      </c>
      <c r="AE188">
        <v>0.73936999999999997</v>
      </c>
      <c r="AF188">
        <v>0.89883000000000002</v>
      </c>
      <c r="AG188">
        <v>0.96206999999999998</v>
      </c>
      <c r="AH188">
        <v>1.07263</v>
      </c>
      <c r="AI188">
        <v>1.0867100000000001</v>
      </c>
      <c r="AJ188">
        <v>1.1144000000000001</v>
      </c>
      <c r="AK188">
        <v>0.95779999999999998</v>
      </c>
      <c r="AL188">
        <v>1.18821</v>
      </c>
      <c r="AM188">
        <v>1.2683</v>
      </c>
      <c r="AN188">
        <v>1.1130100000000001</v>
      </c>
      <c r="AO188">
        <v>1.3280400000000001</v>
      </c>
      <c r="AP188">
        <v>1.4071199999999999</v>
      </c>
      <c r="AQ188">
        <v>1.23262</v>
      </c>
      <c r="AR188">
        <v>1.4514400000000001</v>
      </c>
      <c r="AS188">
        <v>1.4947999999999999</v>
      </c>
      <c r="AT188">
        <v>1.54582</v>
      </c>
      <c r="AU188">
        <v>1.5354300000000001</v>
      </c>
      <c r="AV188">
        <v>1.4616</v>
      </c>
      <c r="AW188">
        <v>2.0236200000000002</v>
      </c>
      <c r="AX188">
        <v>2.0223399999999998</v>
      </c>
      <c r="AY188">
        <v>2.06555</v>
      </c>
      <c r="AZ188">
        <v>2.0969500000000001</v>
      </c>
      <c r="BA188">
        <v>2.1213700000000002</v>
      </c>
      <c r="BB188">
        <v>2.19469</v>
      </c>
      <c r="BC188">
        <v>2.22471</v>
      </c>
      <c r="BD188">
        <v>2.2816299999999998</v>
      </c>
      <c r="BE188">
        <v>2.1770700000000001</v>
      </c>
      <c r="BF188">
        <v>2.35311</v>
      </c>
      <c r="BG188">
        <v>2.3431299999999999</v>
      </c>
      <c r="BH188">
        <v>2.34449</v>
      </c>
      <c r="BI188">
        <v>2.3221599999999998</v>
      </c>
      <c r="BJ188">
        <v>2.3155000000000001</v>
      </c>
      <c r="BK188">
        <v>2.3155100000000002</v>
      </c>
      <c r="BL188">
        <v>2.3051900000000001</v>
      </c>
      <c r="BM188">
        <v>2.3105199999999999</v>
      </c>
      <c r="BN188">
        <v>2.29766</v>
      </c>
      <c r="BO188">
        <v>2.2468900000000001</v>
      </c>
      <c r="BP188">
        <v>2.2876699999999999</v>
      </c>
      <c r="BQ188">
        <v>2.2876799999999999</v>
      </c>
      <c r="BR188">
        <v>2.3005599999999999</v>
      </c>
      <c r="BS188">
        <v>2.30057</v>
      </c>
      <c r="BT188">
        <v>2.3005800000000001</v>
      </c>
      <c r="BW188">
        <v>2.2906</v>
      </c>
      <c r="BX188">
        <v>2.29061</v>
      </c>
      <c r="BY188">
        <v>2.2856299999999998</v>
      </c>
      <c r="BZ188">
        <v>2.2806299999999999</v>
      </c>
      <c r="CA188">
        <v>2.26776</v>
      </c>
      <c r="CB188">
        <v>2.2677700000000001</v>
      </c>
      <c r="CC188">
        <v>2.2677800000000001</v>
      </c>
      <c r="CD188">
        <v>2.2627899999999999</v>
      </c>
      <c r="CE188">
        <v>2.2726000000000002</v>
      </c>
      <c r="CF188">
        <v>2.2726099999999998</v>
      </c>
      <c r="CG188">
        <v>2.26762</v>
      </c>
      <c r="CH188">
        <v>2.26763</v>
      </c>
      <c r="CI188">
        <v>2.2626400000000002</v>
      </c>
      <c r="CJ188">
        <v>2.2626400000000002</v>
      </c>
      <c r="CK188">
        <v>2.2626499999999998</v>
      </c>
      <c r="CL188">
        <v>2.2626499999999998</v>
      </c>
      <c r="CM188">
        <v>2.2626599999999999</v>
      </c>
      <c r="CN188">
        <v>2.2676500000000002</v>
      </c>
      <c r="CO188">
        <v>2.2651500000000002</v>
      </c>
      <c r="CP188">
        <v>2.2651599999999998</v>
      </c>
      <c r="CQ188">
        <v>2.2570999999999999</v>
      </c>
      <c r="CS188">
        <v>2.25786</v>
      </c>
      <c r="CT188">
        <v>2.2554099999999999</v>
      </c>
      <c r="CU188">
        <v>2.2554099999999999</v>
      </c>
      <c r="CV188">
        <v>2.25542</v>
      </c>
      <c r="CW188">
        <v>2.2504300000000002</v>
      </c>
      <c r="CX188">
        <v>2.2504300000000002</v>
      </c>
      <c r="CY188">
        <v>2.2504300000000002</v>
      </c>
      <c r="CZ188">
        <v>2.2454299999999998</v>
      </c>
      <c r="DA188">
        <v>2.2454299999999998</v>
      </c>
      <c r="DB188">
        <v>2.2454399999999999</v>
      </c>
      <c r="DC188">
        <v>2.1272600000000002</v>
      </c>
    </row>
    <row r="189" spans="1:107" x14ac:dyDescent="0.25">
      <c r="A189">
        <f t="shared" si="2"/>
        <v>4</v>
      </c>
      <c r="B189" s="2">
        <v>42277</v>
      </c>
      <c r="H189">
        <v>0.48670000000000002</v>
      </c>
      <c r="I189">
        <v>0.50287999999999999</v>
      </c>
      <c r="J189">
        <v>0.44963999999999998</v>
      </c>
      <c r="K189">
        <v>0.51612999999999998</v>
      </c>
      <c r="L189">
        <v>0.53454000000000002</v>
      </c>
      <c r="M189">
        <v>0.53683999999999998</v>
      </c>
      <c r="N189">
        <v>0.50470999999999999</v>
      </c>
      <c r="O189">
        <v>0.60594000000000003</v>
      </c>
      <c r="P189">
        <v>0.63939000000000001</v>
      </c>
      <c r="Q189">
        <v>0.60087000000000002</v>
      </c>
      <c r="R189">
        <v>0.63632999999999995</v>
      </c>
      <c r="S189">
        <v>0.70965</v>
      </c>
      <c r="T189">
        <v>0.74214000000000002</v>
      </c>
      <c r="U189">
        <v>0.62739</v>
      </c>
      <c r="V189">
        <v>0.6704</v>
      </c>
      <c r="W189">
        <v>0.71428999999999998</v>
      </c>
      <c r="X189">
        <v>0.77527000000000001</v>
      </c>
      <c r="Y189">
        <v>0.82177999999999995</v>
      </c>
      <c r="Z189">
        <v>0.75007000000000001</v>
      </c>
      <c r="AA189">
        <v>0.80496999999999996</v>
      </c>
      <c r="AB189">
        <v>0.82676000000000005</v>
      </c>
      <c r="AC189">
        <v>0.87204000000000004</v>
      </c>
      <c r="AD189">
        <v>0.85526000000000002</v>
      </c>
      <c r="AE189">
        <v>0.75985000000000003</v>
      </c>
      <c r="AF189">
        <v>0.92544999999999999</v>
      </c>
      <c r="AG189">
        <v>0.98756999999999995</v>
      </c>
      <c r="AH189">
        <v>1.1327700000000001</v>
      </c>
      <c r="AI189">
        <v>1.119</v>
      </c>
      <c r="AJ189">
        <v>1.1456</v>
      </c>
      <c r="AK189">
        <v>0.97609000000000001</v>
      </c>
      <c r="AL189">
        <v>1.2196100000000001</v>
      </c>
      <c r="AM189">
        <v>1.2985800000000001</v>
      </c>
      <c r="AN189">
        <v>1.1433199999999999</v>
      </c>
      <c r="AO189">
        <v>1.3607100000000001</v>
      </c>
      <c r="AP189">
        <v>1.43</v>
      </c>
      <c r="AQ189">
        <v>1.25156</v>
      </c>
      <c r="AR189">
        <v>1.4750700000000001</v>
      </c>
      <c r="AS189">
        <v>1.5119199999999999</v>
      </c>
      <c r="AT189">
        <v>1.56982</v>
      </c>
      <c r="AU189">
        <v>1.56776</v>
      </c>
      <c r="AV189">
        <v>1.4799199999999999</v>
      </c>
      <c r="AW189">
        <v>2.0515699999999999</v>
      </c>
      <c r="AX189">
        <v>2.0493000000000001</v>
      </c>
      <c r="AY189">
        <v>2.0916600000000001</v>
      </c>
      <c r="AZ189">
        <v>2.1232799999999998</v>
      </c>
      <c r="BA189">
        <v>2.1437900000000001</v>
      </c>
      <c r="BB189">
        <v>2.2189399999999999</v>
      </c>
      <c r="BC189">
        <v>2.2454999999999998</v>
      </c>
      <c r="BD189">
        <v>2.3101400000000001</v>
      </c>
      <c r="BE189">
        <v>2.20059</v>
      </c>
      <c r="BF189">
        <v>2.3828200000000002</v>
      </c>
      <c r="BG189">
        <v>2.3773200000000001</v>
      </c>
      <c r="BH189">
        <v>2.3742000000000001</v>
      </c>
      <c r="BI189">
        <v>2.3515700000000002</v>
      </c>
      <c r="BJ189">
        <v>2.35039</v>
      </c>
      <c r="BK189">
        <v>2.3454199999999998</v>
      </c>
      <c r="BL189">
        <v>2.34043</v>
      </c>
      <c r="BM189">
        <v>2.3404500000000001</v>
      </c>
      <c r="BN189">
        <v>2.33067</v>
      </c>
      <c r="BO189">
        <v>2.2740499999999999</v>
      </c>
      <c r="BP189">
        <v>2.3170700000000002</v>
      </c>
      <c r="BQ189">
        <v>2.3170899999999999</v>
      </c>
      <c r="BR189">
        <v>2.3305199999999999</v>
      </c>
      <c r="BS189">
        <v>2.3305400000000001</v>
      </c>
      <c r="BT189">
        <v>2.3305500000000001</v>
      </c>
      <c r="BW189">
        <v>2.3205900000000002</v>
      </c>
      <c r="BX189">
        <v>2.3206000000000002</v>
      </c>
      <c r="BY189">
        <v>2.31562</v>
      </c>
      <c r="BZ189">
        <v>2.3106300000000002</v>
      </c>
      <c r="CA189">
        <v>2.3106399999999998</v>
      </c>
      <c r="CB189">
        <v>2.3106499999999999</v>
      </c>
      <c r="CC189">
        <v>2.3056800000000002</v>
      </c>
      <c r="CD189">
        <v>2.2922699999999998</v>
      </c>
      <c r="CE189">
        <v>2.28728</v>
      </c>
      <c r="CF189">
        <v>2.28729</v>
      </c>
      <c r="CG189">
        <v>2.2947500000000001</v>
      </c>
      <c r="CH189">
        <v>2.2947600000000001</v>
      </c>
      <c r="CI189">
        <v>2.2897799999999999</v>
      </c>
      <c r="CJ189">
        <v>2.28979</v>
      </c>
      <c r="CK189">
        <v>2.2898000000000001</v>
      </c>
      <c r="CL189">
        <v>2.2898000000000001</v>
      </c>
      <c r="CM189">
        <v>2.2898100000000001</v>
      </c>
      <c r="CN189">
        <v>2.29481</v>
      </c>
      <c r="CO189">
        <v>2.28932</v>
      </c>
      <c r="CP189">
        <v>2.2893300000000001</v>
      </c>
      <c r="CQ189">
        <v>2.2943899999999999</v>
      </c>
      <c r="CS189">
        <v>2.2874099999999999</v>
      </c>
      <c r="CT189">
        <v>2.28776</v>
      </c>
      <c r="CU189">
        <v>2.2877700000000001</v>
      </c>
      <c r="CV189">
        <v>2.2877700000000001</v>
      </c>
      <c r="CW189">
        <v>2.2809400000000002</v>
      </c>
      <c r="CX189">
        <v>2.2809499999999998</v>
      </c>
      <c r="CY189">
        <v>2.2809499999999998</v>
      </c>
      <c r="CZ189">
        <v>2.2759499999999999</v>
      </c>
      <c r="DA189">
        <v>2.27596</v>
      </c>
      <c r="DB189">
        <v>2.27596</v>
      </c>
      <c r="DC189">
        <v>2.15801</v>
      </c>
    </row>
    <row r="190" spans="1:107" x14ac:dyDescent="0.25">
      <c r="A190">
        <f t="shared" si="2"/>
        <v>5</v>
      </c>
      <c r="B190" s="2">
        <v>42278</v>
      </c>
      <c r="H190">
        <v>0.47888999999999998</v>
      </c>
      <c r="I190">
        <v>0.51005</v>
      </c>
      <c r="J190">
        <v>0.44954</v>
      </c>
      <c r="K190">
        <v>0.51420999999999994</v>
      </c>
      <c r="L190">
        <v>0.55649999999999999</v>
      </c>
      <c r="M190">
        <v>0.53681999999999996</v>
      </c>
      <c r="N190">
        <v>0.50277000000000005</v>
      </c>
      <c r="O190">
        <v>0.60755000000000003</v>
      </c>
      <c r="P190">
        <v>0.63849999999999996</v>
      </c>
      <c r="Q190">
        <v>0.60075000000000001</v>
      </c>
      <c r="R190">
        <v>0.64507000000000003</v>
      </c>
      <c r="S190">
        <v>0.70767999999999998</v>
      </c>
      <c r="T190">
        <v>0.74073</v>
      </c>
      <c r="U190">
        <v>0.64309000000000005</v>
      </c>
      <c r="V190">
        <v>0.66556000000000004</v>
      </c>
      <c r="W190">
        <v>0.71038000000000001</v>
      </c>
      <c r="X190">
        <v>0.77070000000000005</v>
      </c>
      <c r="Y190">
        <v>0.79371999999999998</v>
      </c>
      <c r="Z190">
        <v>0.75029000000000001</v>
      </c>
      <c r="AA190">
        <v>0.80661000000000005</v>
      </c>
      <c r="AB190">
        <v>0.82969999999999999</v>
      </c>
      <c r="AC190">
        <v>0.86477999999999999</v>
      </c>
      <c r="AD190">
        <v>0.85055000000000003</v>
      </c>
      <c r="AE190">
        <v>0.75861000000000001</v>
      </c>
      <c r="AF190">
        <v>0.91830000000000001</v>
      </c>
      <c r="AG190">
        <v>0.98102999999999996</v>
      </c>
      <c r="AH190">
        <v>1.0952999999999999</v>
      </c>
      <c r="AI190">
        <v>1.1063799999999999</v>
      </c>
      <c r="AJ190">
        <v>1.13629</v>
      </c>
      <c r="AK190">
        <v>0.98065999999999998</v>
      </c>
      <c r="AL190">
        <v>1.21028</v>
      </c>
      <c r="AM190">
        <v>1.2834099999999999</v>
      </c>
      <c r="AN190">
        <v>1.1312500000000001</v>
      </c>
      <c r="AO190">
        <v>1.34036</v>
      </c>
      <c r="AP190">
        <v>1.4042300000000001</v>
      </c>
      <c r="AQ190">
        <v>1.2339100000000001</v>
      </c>
      <c r="AR190">
        <v>1.4493</v>
      </c>
      <c r="AS190">
        <v>1.48858</v>
      </c>
      <c r="AT190">
        <v>1.53962</v>
      </c>
      <c r="AU190">
        <v>1.5330900000000001</v>
      </c>
      <c r="AV190">
        <v>1.4614100000000001</v>
      </c>
      <c r="AW190">
        <v>2.0333399999999999</v>
      </c>
      <c r="AX190">
        <v>2.03118</v>
      </c>
      <c r="AY190">
        <v>2.0763799999999999</v>
      </c>
      <c r="AZ190">
        <v>2.10128</v>
      </c>
      <c r="BA190">
        <v>2.1314700000000002</v>
      </c>
      <c r="BB190">
        <v>2.20662</v>
      </c>
      <c r="BC190">
        <v>2.2340599999999999</v>
      </c>
      <c r="BD190">
        <v>2.2966600000000001</v>
      </c>
      <c r="BE190">
        <v>2.1858499999999998</v>
      </c>
      <c r="BF190">
        <v>2.3759600000000001</v>
      </c>
      <c r="BG190">
        <v>2.36043</v>
      </c>
      <c r="BH190">
        <v>2.3612099999999998</v>
      </c>
      <c r="BI190">
        <v>2.3388200000000001</v>
      </c>
      <c r="BJ190">
        <v>2.3321700000000001</v>
      </c>
      <c r="BK190">
        <v>2.3311500000000001</v>
      </c>
      <c r="BL190">
        <v>2.3205399999999998</v>
      </c>
      <c r="BM190">
        <v>2.3309799999999998</v>
      </c>
      <c r="BN190">
        <v>2.31725</v>
      </c>
      <c r="BO190">
        <v>2.26234</v>
      </c>
      <c r="BP190">
        <v>2.3024499999999999</v>
      </c>
      <c r="BQ190">
        <v>2.30246</v>
      </c>
      <c r="BR190">
        <v>2.3162500000000001</v>
      </c>
      <c r="BS190">
        <v>2.3162600000000002</v>
      </c>
      <c r="BT190">
        <v>2.3162799999999999</v>
      </c>
      <c r="BW190">
        <v>2.3063099999999999</v>
      </c>
      <c r="BX190">
        <v>2.3063199999999999</v>
      </c>
      <c r="BY190">
        <v>2.3013499999999998</v>
      </c>
      <c r="BZ190">
        <v>2.2963499999999999</v>
      </c>
      <c r="CA190">
        <v>2.2826</v>
      </c>
      <c r="CB190">
        <v>2.2963800000000001</v>
      </c>
      <c r="CC190">
        <v>2.2826200000000001</v>
      </c>
      <c r="CD190">
        <v>2.2776399999999999</v>
      </c>
      <c r="CE190">
        <v>2.2883599999999999</v>
      </c>
      <c r="CF190">
        <v>2.28837</v>
      </c>
      <c r="CG190">
        <v>2.2833899999999998</v>
      </c>
      <c r="CH190">
        <v>2.2833999999999999</v>
      </c>
      <c r="CI190">
        <v>2.2784200000000001</v>
      </c>
      <c r="CJ190">
        <v>2.2784300000000002</v>
      </c>
      <c r="CK190">
        <v>2.2784399999999998</v>
      </c>
      <c r="CL190">
        <v>2.2784499999999999</v>
      </c>
      <c r="CM190">
        <v>2.2784599999999999</v>
      </c>
      <c r="CN190">
        <v>2.2801100000000001</v>
      </c>
      <c r="CO190">
        <v>2.2776100000000001</v>
      </c>
      <c r="CP190">
        <v>2.2776200000000002</v>
      </c>
      <c r="CQ190">
        <v>2.2686999999999999</v>
      </c>
      <c r="CS190">
        <v>2.2694200000000002</v>
      </c>
      <c r="CT190">
        <v>2.2637299999999998</v>
      </c>
      <c r="CU190">
        <v>2.26206</v>
      </c>
      <c r="CV190">
        <v>2.26207</v>
      </c>
      <c r="CW190">
        <v>2.2526899999999999</v>
      </c>
      <c r="CX190">
        <v>2.2526999999999999</v>
      </c>
      <c r="CY190">
        <v>2.2502</v>
      </c>
      <c r="CZ190">
        <v>2.2566099999999998</v>
      </c>
      <c r="DA190">
        <v>2.2544599999999999</v>
      </c>
      <c r="DB190">
        <v>2.2544599999999999</v>
      </c>
      <c r="DC190">
        <v>2.1433800000000001</v>
      </c>
    </row>
    <row r="191" spans="1:107" x14ac:dyDescent="0.25">
      <c r="A191">
        <f t="shared" si="2"/>
        <v>6</v>
      </c>
      <c r="B191" s="2">
        <v>42279</v>
      </c>
      <c r="H191">
        <v>0.46949999999999997</v>
      </c>
      <c r="I191">
        <v>0.50209999999999999</v>
      </c>
      <c r="J191">
        <v>0.44944000000000001</v>
      </c>
      <c r="K191">
        <v>0.50453999999999999</v>
      </c>
      <c r="L191">
        <v>0.54295000000000004</v>
      </c>
      <c r="M191">
        <v>0.52693999999999996</v>
      </c>
      <c r="N191">
        <v>0.49767</v>
      </c>
      <c r="O191">
        <v>0.60143000000000002</v>
      </c>
      <c r="P191">
        <v>0.61402000000000001</v>
      </c>
      <c r="Q191">
        <v>0.58728000000000002</v>
      </c>
      <c r="R191">
        <v>0.61029</v>
      </c>
      <c r="S191">
        <v>0.68303000000000003</v>
      </c>
      <c r="T191">
        <v>0.71709999999999996</v>
      </c>
      <c r="U191">
        <v>0.61770000000000003</v>
      </c>
      <c r="V191">
        <v>0.64009000000000005</v>
      </c>
      <c r="W191">
        <v>0.68327000000000004</v>
      </c>
      <c r="X191">
        <v>0.74570000000000003</v>
      </c>
      <c r="Y191">
        <v>0.76578999999999997</v>
      </c>
      <c r="Z191">
        <v>0.72228999999999999</v>
      </c>
      <c r="AA191">
        <v>0.77624000000000004</v>
      </c>
      <c r="AB191">
        <v>0.80825000000000002</v>
      </c>
      <c r="AC191">
        <v>0.8226</v>
      </c>
      <c r="AD191">
        <v>0.81249000000000005</v>
      </c>
      <c r="AE191">
        <v>0.71962000000000004</v>
      </c>
      <c r="AF191">
        <v>0.88329000000000002</v>
      </c>
      <c r="AG191">
        <v>0.93506999999999996</v>
      </c>
      <c r="AH191">
        <v>1.05071</v>
      </c>
      <c r="AI191">
        <v>1.06284</v>
      </c>
      <c r="AJ191">
        <v>1.0923400000000001</v>
      </c>
      <c r="AK191">
        <v>0.92249000000000003</v>
      </c>
      <c r="AL191">
        <v>1.17208</v>
      </c>
      <c r="AM191">
        <v>1.24343</v>
      </c>
      <c r="AN191">
        <v>1.08531</v>
      </c>
      <c r="AO191">
        <v>1.3015699999999999</v>
      </c>
      <c r="AP191">
        <v>1.36246</v>
      </c>
      <c r="AQ191">
        <v>1.18601</v>
      </c>
      <c r="AR191">
        <v>1.41736</v>
      </c>
      <c r="AS191">
        <v>1.44997</v>
      </c>
      <c r="AT191">
        <v>1.50101</v>
      </c>
      <c r="AU191">
        <v>1.4883299999999999</v>
      </c>
      <c r="AV191">
        <v>1.4169099999999999</v>
      </c>
      <c r="AW191">
        <v>2.00928</v>
      </c>
      <c r="AX191">
        <v>2.0053000000000001</v>
      </c>
      <c r="AY191">
        <v>2.0518700000000001</v>
      </c>
      <c r="AZ191">
        <v>2.0811000000000002</v>
      </c>
      <c r="BA191">
        <v>2.1131099999999998</v>
      </c>
      <c r="BB191">
        <v>2.1751499999999999</v>
      </c>
      <c r="BC191">
        <v>2.1989800000000002</v>
      </c>
      <c r="BD191">
        <v>2.2769599999999999</v>
      </c>
      <c r="BE191">
        <v>2.1599400000000002</v>
      </c>
      <c r="BF191">
        <v>2.3557299999999999</v>
      </c>
      <c r="BG191">
        <v>2.3414299999999999</v>
      </c>
      <c r="BH191">
        <v>2.3398099999999999</v>
      </c>
      <c r="BI191">
        <v>2.32016</v>
      </c>
      <c r="BJ191">
        <v>2.3134999999999999</v>
      </c>
      <c r="BK191">
        <v>2.3128899999999999</v>
      </c>
      <c r="BL191">
        <v>2.30254</v>
      </c>
      <c r="BM191">
        <v>2.3079200000000002</v>
      </c>
      <c r="BN191">
        <v>2.3029500000000001</v>
      </c>
      <c r="BO191">
        <v>2.2442099999999998</v>
      </c>
      <c r="BP191">
        <v>2.2859400000000001</v>
      </c>
      <c r="BQ191">
        <v>2.2859600000000002</v>
      </c>
      <c r="BR191">
        <v>2.29799</v>
      </c>
      <c r="BS191">
        <v>2.2980100000000001</v>
      </c>
      <c r="BT191">
        <v>2.2980200000000002</v>
      </c>
      <c r="BW191">
        <v>2.2880600000000002</v>
      </c>
      <c r="BX191">
        <v>2.2880699999999998</v>
      </c>
      <c r="BY191">
        <v>2.2830900000000001</v>
      </c>
      <c r="BZ191">
        <v>2.2780999999999998</v>
      </c>
      <c r="CA191">
        <v>2.2660900000000002</v>
      </c>
      <c r="CB191">
        <v>2.2781199999999999</v>
      </c>
      <c r="CC191">
        <v>2.2731499999999998</v>
      </c>
      <c r="CD191">
        <v>2.2611300000000001</v>
      </c>
      <c r="CE191">
        <v>2.2691300000000001</v>
      </c>
      <c r="CF191">
        <v>2.2691400000000002</v>
      </c>
      <c r="CG191">
        <v>2.26416</v>
      </c>
      <c r="CH191">
        <v>2.26417</v>
      </c>
      <c r="CI191">
        <v>2.2591800000000002</v>
      </c>
      <c r="CJ191">
        <v>2.2591899999999998</v>
      </c>
      <c r="CK191">
        <v>2.2591999999999999</v>
      </c>
      <c r="CL191">
        <v>2.2592099999999999</v>
      </c>
      <c r="CM191">
        <v>2.25922</v>
      </c>
      <c r="CN191">
        <v>2.2549299999999999</v>
      </c>
      <c r="CO191">
        <v>2.2532700000000001</v>
      </c>
      <c r="CP191">
        <v>2.2532800000000002</v>
      </c>
      <c r="CQ191">
        <v>2.2492999999999999</v>
      </c>
      <c r="CS191">
        <v>2.2493099999999999</v>
      </c>
      <c r="CT191">
        <v>2.2433100000000001</v>
      </c>
      <c r="CU191">
        <v>2.2416499999999999</v>
      </c>
      <c r="CV191">
        <v>2.24166</v>
      </c>
      <c r="CW191">
        <v>2.2298399999999998</v>
      </c>
      <c r="CX191">
        <v>2.2298499999999999</v>
      </c>
      <c r="CY191">
        <v>2.22736</v>
      </c>
      <c r="CZ191">
        <v>2.2383299999999999</v>
      </c>
      <c r="DA191">
        <v>2.2367599999999999</v>
      </c>
      <c r="DB191">
        <v>2.2367599999999999</v>
      </c>
      <c r="DC191">
        <v>2.11937</v>
      </c>
    </row>
    <row r="192" spans="1:107" x14ac:dyDescent="0.25">
      <c r="A192">
        <f t="shared" si="2"/>
        <v>2</v>
      </c>
      <c r="B192" s="2">
        <v>42282</v>
      </c>
      <c r="H192">
        <v>0.48734</v>
      </c>
      <c r="I192">
        <v>0.51944999999999997</v>
      </c>
      <c r="J192">
        <v>0.45546999999999999</v>
      </c>
      <c r="K192">
        <v>0.51209000000000005</v>
      </c>
      <c r="L192">
        <v>0.54071000000000002</v>
      </c>
      <c r="M192">
        <v>0.53012000000000004</v>
      </c>
      <c r="N192">
        <v>0.50005999999999995</v>
      </c>
      <c r="O192">
        <v>0.61180000000000001</v>
      </c>
      <c r="P192">
        <v>0.62114000000000003</v>
      </c>
      <c r="Q192">
        <v>0.59716999999999998</v>
      </c>
      <c r="R192">
        <v>0.62119000000000002</v>
      </c>
      <c r="S192">
        <v>0.69313000000000002</v>
      </c>
      <c r="T192">
        <v>0.72614000000000001</v>
      </c>
      <c r="U192">
        <v>0.61028000000000004</v>
      </c>
      <c r="V192">
        <v>0.65049999999999997</v>
      </c>
      <c r="W192">
        <v>0.69467000000000001</v>
      </c>
      <c r="X192">
        <v>0.75593999999999995</v>
      </c>
      <c r="Y192">
        <v>0.78112000000000004</v>
      </c>
      <c r="Z192">
        <v>0.73640000000000005</v>
      </c>
      <c r="AA192">
        <v>0.79078000000000004</v>
      </c>
      <c r="AB192">
        <v>0.82272000000000001</v>
      </c>
      <c r="AC192">
        <v>0.84577999999999998</v>
      </c>
      <c r="AD192">
        <v>0.83416000000000001</v>
      </c>
      <c r="AE192">
        <v>0.74375000000000002</v>
      </c>
      <c r="AF192">
        <v>0.90232000000000001</v>
      </c>
      <c r="AG192">
        <v>0.94898000000000005</v>
      </c>
      <c r="AH192">
        <v>1.0737000000000001</v>
      </c>
      <c r="AI192">
        <v>1.08972</v>
      </c>
      <c r="AJ192">
        <v>1.11612</v>
      </c>
      <c r="AK192">
        <v>0.96006000000000002</v>
      </c>
      <c r="AL192">
        <v>1.1887700000000001</v>
      </c>
      <c r="AM192">
        <v>1.27355</v>
      </c>
      <c r="AN192">
        <v>1.1147199999999999</v>
      </c>
      <c r="AO192">
        <v>1.33541</v>
      </c>
      <c r="AP192">
        <v>1.40001</v>
      </c>
      <c r="AQ192">
        <v>1.2290399999999999</v>
      </c>
      <c r="AR192">
        <v>1.4552400000000001</v>
      </c>
      <c r="AS192">
        <v>1.4931000000000001</v>
      </c>
      <c r="AT192">
        <v>1.5556000000000001</v>
      </c>
      <c r="AU192">
        <v>1.52728</v>
      </c>
      <c r="AV192">
        <v>1.46329</v>
      </c>
      <c r="AW192">
        <v>2.0570599999999999</v>
      </c>
      <c r="AX192">
        <v>2.0358700000000001</v>
      </c>
      <c r="AY192">
        <v>2.0996100000000002</v>
      </c>
      <c r="AZ192">
        <v>2.12792</v>
      </c>
      <c r="BA192">
        <v>2.1579799999999998</v>
      </c>
      <c r="BB192">
        <v>2.2152500000000002</v>
      </c>
      <c r="BC192">
        <v>2.24193</v>
      </c>
      <c r="BD192">
        <v>2.3141099999999999</v>
      </c>
      <c r="BE192">
        <v>2.1994899999999999</v>
      </c>
      <c r="BF192">
        <v>2.39758</v>
      </c>
      <c r="BG192">
        <v>2.3830399999999998</v>
      </c>
      <c r="BH192">
        <v>2.3863799999999999</v>
      </c>
      <c r="BI192">
        <v>2.3617400000000002</v>
      </c>
      <c r="BJ192">
        <v>2.35507</v>
      </c>
      <c r="BK192">
        <v>2.3556499999999998</v>
      </c>
      <c r="BL192">
        <v>2.35066</v>
      </c>
      <c r="BM192">
        <v>2.35067</v>
      </c>
      <c r="BN192">
        <v>2.3456899999999998</v>
      </c>
      <c r="BO192">
        <v>2.28613</v>
      </c>
      <c r="BP192">
        <v>2.3260399999999999</v>
      </c>
      <c r="BQ192">
        <v>2.32605</v>
      </c>
      <c r="BR192">
        <v>2.3407100000000001</v>
      </c>
      <c r="BS192">
        <v>2.3407200000000001</v>
      </c>
      <c r="BT192">
        <v>2.3407300000000002</v>
      </c>
      <c r="BW192">
        <v>2.3307500000000001</v>
      </c>
      <c r="BX192">
        <v>2.3307600000000002</v>
      </c>
      <c r="BY192">
        <v>2.32578</v>
      </c>
      <c r="BZ192">
        <v>2.3207800000000001</v>
      </c>
      <c r="CA192">
        <v>2.3207800000000001</v>
      </c>
      <c r="CB192">
        <v>2.3207900000000001</v>
      </c>
      <c r="CC192">
        <v>2.3158099999999999</v>
      </c>
      <c r="CD192">
        <v>2.3011599999999999</v>
      </c>
      <c r="CE192">
        <v>2.31081</v>
      </c>
      <c r="CF192">
        <v>2.3108200000000001</v>
      </c>
      <c r="CG192">
        <v>2.3058399999999999</v>
      </c>
      <c r="CH192">
        <v>2.30585</v>
      </c>
      <c r="CI192">
        <v>2.3008600000000001</v>
      </c>
      <c r="CJ192">
        <v>2.3008600000000001</v>
      </c>
      <c r="CK192">
        <v>2.30165</v>
      </c>
      <c r="CL192">
        <v>2.30165</v>
      </c>
      <c r="CM192">
        <v>2.30166</v>
      </c>
      <c r="CN192">
        <v>2.2949999999999999</v>
      </c>
      <c r="CO192">
        <v>2.2933400000000002</v>
      </c>
      <c r="CP192">
        <v>2.2933400000000002</v>
      </c>
      <c r="CQ192">
        <v>2.2883499999999999</v>
      </c>
      <c r="CS192">
        <v>2.2866900000000001</v>
      </c>
      <c r="CT192">
        <v>2.2884199999999999</v>
      </c>
      <c r="CU192">
        <v>2.28592</v>
      </c>
      <c r="CV192">
        <v>2.28592</v>
      </c>
      <c r="CW192">
        <v>2.28342</v>
      </c>
      <c r="CX192">
        <v>2.28342</v>
      </c>
      <c r="CY192">
        <v>2.2809200000000001</v>
      </c>
      <c r="CZ192">
        <v>2.2809200000000001</v>
      </c>
      <c r="DA192">
        <v>2.2765200000000001</v>
      </c>
      <c r="DB192">
        <v>2.2765200000000001</v>
      </c>
      <c r="DC192">
        <v>2.1593</v>
      </c>
    </row>
    <row r="193" spans="1:107" x14ac:dyDescent="0.25">
      <c r="A193">
        <f t="shared" si="2"/>
        <v>3</v>
      </c>
      <c r="B193" s="2">
        <v>42283</v>
      </c>
      <c r="H193">
        <v>0.47843999999999998</v>
      </c>
      <c r="I193">
        <v>0.43271999999999999</v>
      </c>
      <c r="J193">
        <v>0.45540999999999998</v>
      </c>
      <c r="K193">
        <v>0.51017000000000001</v>
      </c>
      <c r="L193">
        <v>0.54790000000000005</v>
      </c>
      <c r="M193">
        <v>0.53010999999999997</v>
      </c>
      <c r="N193">
        <v>0.49997000000000003</v>
      </c>
      <c r="O193">
        <v>0.60731999999999997</v>
      </c>
      <c r="P193">
        <v>0.61546000000000001</v>
      </c>
      <c r="Q193">
        <v>0.60367999999999999</v>
      </c>
      <c r="R193">
        <v>0.62155000000000005</v>
      </c>
      <c r="S193">
        <v>0.69191999999999998</v>
      </c>
      <c r="T193">
        <v>0.72513000000000005</v>
      </c>
      <c r="U193">
        <v>0.61116999999999999</v>
      </c>
      <c r="V193">
        <v>0.65278000000000003</v>
      </c>
      <c r="W193">
        <v>0.69725000000000004</v>
      </c>
      <c r="X193">
        <v>0.75810999999999995</v>
      </c>
      <c r="Y193">
        <v>0.78056000000000003</v>
      </c>
      <c r="Z193">
        <v>0.73763000000000001</v>
      </c>
      <c r="AA193">
        <v>0.79235</v>
      </c>
      <c r="AB193">
        <v>0.82433000000000001</v>
      </c>
      <c r="AC193">
        <v>0.83916000000000002</v>
      </c>
      <c r="AD193">
        <v>0.82969000000000004</v>
      </c>
      <c r="AE193">
        <v>0.73656999999999995</v>
      </c>
      <c r="AF193">
        <v>0.89929999999999999</v>
      </c>
      <c r="AG193">
        <v>0.96306000000000003</v>
      </c>
      <c r="AH193">
        <v>1.0665</v>
      </c>
      <c r="AI193">
        <v>1.08511</v>
      </c>
      <c r="AJ193">
        <v>1.11083</v>
      </c>
      <c r="AK193">
        <v>0.94025999999999998</v>
      </c>
      <c r="AL193">
        <v>1.18249</v>
      </c>
      <c r="AM193">
        <v>1.26844</v>
      </c>
      <c r="AN193">
        <v>1.10528</v>
      </c>
      <c r="AO193">
        <v>1.32498</v>
      </c>
      <c r="AP193">
        <v>1.4035500000000001</v>
      </c>
      <c r="AQ193">
        <v>1.2246600000000001</v>
      </c>
      <c r="AR193">
        <v>1.45784</v>
      </c>
      <c r="AS193">
        <v>1.4975400000000001</v>
      </c>
      <c r="AT193">
        <v>1.5485599999999999</v>
      </c>
      <c r="AU193">
        <v>1.53609</v>
      </c>
      <c r="AV193">
        <v>1.4513100000000001</v>
      </c>
      <c r="AW193">
        <v>2.0526800000000001</v>
      </c>
      <c r="AX193">
        <v>2.0428899999999999</v>
      </c>
      <c r="AY193">
        <v>2.0973600000000001</v>
      </c>
      <c r="AZ193">
        <v>2.1382300000000001</v>
      </c>
      <c r="BA193">
        <v>2.1625100000000002</v>
      </c>
      <c r="BB193">
        <v>2.2174100000000001</v>
      </c>
      <c r="BC193">
        <v>2.2470500000000002</v>
      </c>
      <c r="BD193">
        <v>2.31732</v>
      </c>
      <c r="BE193">
        <v>2.1967500000000002</v>
      </c>
      <c r="BF193">
        <v>2.4189600000000002</v>
      </c>
      <c r="BG193">
        <v>2.4059900000000001</v>
      </c>
      <c r="BH193">
        <v>2.3674300000000001</v>
      </c>
      <c r="BI193">
        <v>2.3846799999999999</v>
      </c>
      <c r="BJ193">
        <v>2.36741</v>
      </c>
      <c r="BK193">
        <v>2.3826399999999999</v>
      </c>
      <c r="BL193">
        <v>2.37765</v>
      </c>
      <c r="BM193">
        <v>2.3580899999999998</v>
      </c>
      <c r="BN193">
        <v>2.34917</v>
      </c>
      <c r="BO193">
        <v>2.2846099999999998</v>
      </c>
      <c r="BP193">
        <v>2.34416</v>
      </c>
      <c r="BQ193">
        <v>2.3441700000000001</v>
      </c>
      <c r="BR193">
        <v>2.3441800000000002</v>
      </c>
      <c r="BS193">
        <v>2.3441900000000002</v>
      </c>
      <c r="BT193">
        <v>2.3441999999999998</v>
      </c>
      <c r="BW193">
        <v>2.3342200000000002</v>
      </c>
      <c r="BX193">
        <v>2.3342200000000002</v>
      </c>
      <c r="BY193">
        <v>2.32925</v>
      </c>
      <c r="BZ193">
        <v>2.3242400000000001</v>
      </c>
      <c r="CA193">
        <v>2.3192699999999999</v>
      </c>
      <c r="CB193">
        <v>2.31928</v>
      </c>
      <c r="CC193">
        <v>2.3041299999999998</v>
      </c>
      <c r="CD193">
        <v>2.29915</v>
      </c>
      <c r="CE193">
        <v>2.3092999999999999</v>
      </c>
      <c r="CF193">
        <v>2.30931</v>
      </c>
      <c r="CG193">
        <v>2.2941600000000002</v>
      </c>
      <c r="CH193">
        <v>2.2941699999999998</v>
      </c>
      <c r="CI193">
        <v>2.29935</v>
      </c>
      <c r="CJ193">
        <v>2.2993600000000001</v>
      </c>
      <c r="CK193">
        <v>2.2989700000000002</v>
      </c>
      <c r="CL193">
        <v>2.2989799999999998</v>
      </c>
      <c r="CM193">
        <v>2.2989799999999998</v>
      </c>
      <c r="CN193">
        <v>2.2923200000000001</v>
      </c>
      <c r="CO193">
        <v>2.2906599999999999</v>
      </c>
      <c r="CP193">
        <v>2.2906599999999999</v>
      </c>
      <c r="CQ193">
        <v>2.2894000000000001</v>
      </c>
      <c r="CS193">
        <v>2.2869000000000002</v>
      </c>
      <c r="CT193">
        <v>2.2869100000000002</v>
      </c>
      <c r="CU193">
        <v>2.2844099999999998</v>
      </c>
      <c r="CV193">
        <v>2.2844099999999998</v>
      </c>
      <c r="CW193">
        <v>2.2819099999999999</v>
      </c>
      <c r="CX193">
        <v>2.2819199999999999</v>
      </c>
      <c r="CY193">
        <v>2.2794099999999999</v>
      </c>
      <c r="CZ193">
        <v>2.2794099999999999</v>
      </c>
      <c r="DA193">
        <v>2.2743899999999999</v>
      </c>
      <c r="DB193">
        <v>2.2743899999999999</v>
      </c>
      <c r="DC193">
        <v>2.1572800000000001</v>
      </c>
    </row>
    <row r="194" spans="1:107" x14ac:dyDescent="0.25">
      <c r="A194">
        <f t="shared" si="2"/>
        <v>4</v>
      </c>
      <c r="B194" s="2">
        <v>42284</v>
      </c>
      <c r="H194">
        <v>0.47120000000000001</v>
      </c>
      <c r="I194">
        <v>0.48549999999999999</v>
      </c>
      <c r="J194">
        <v>0.44568999999999998</v>
      </c>
      <c r="K194">
        <v>0.51070000000000004</v>
      </c>
      <c r="L194">
        <v>0.54120999999999997</v>
      </c>
      <c r="M194">
        <v>0.52517999999999998</v>
      </c>
      <c r="N194">
        <v>0.49764000000000003</v>
      </c>
      <c r="O194">
        <v>0.58796999999999999</v>
      </c>
      <c r="P194">
        <v>0.61399999999999999</v>
      </c>
      <c r="Q194">
        <v>0.62356</v>
      </c>
      <c r="R194">
        <v>0.64049999999999996</v>
      </c>
      <c r="S194">
        <v>0.71335000000000004</v>
      </c>
      <c r="T194">
        <v>0.75909000000000004</v>
      </c>
      <c r="U194">
        <v>0.63612000000000002</v>
      </c>
      <c r="V194">
        <v>0.67312000000000005</v>
      </c>
      <c r="W194">
        <v>0.71763999999999994</v>
      </c>
      <c r="X194">
        <v>0.77730999999999995</v>
      </c>
      <c r="Y194">
        <v>0.80564000000000002</v>
      </c>
      <c r="Z194">
        <v>0.75751000000000002</v>
      </c>
      <c r="AA194">
        <v>0.81189999999999996</v>
      </c>
      <c r="AB194">
        <v>0.84389999999999998</v>
      </c>
      <c r="AC194">
        <v>0.86592000000000002</v>
      </c>
      <c r="AD194">
        <v>0.85443000000000002</v>
      </c>
      <c r="AE194">
        <v>0.76195999999999997</v>
      </c>
      <c r="AF194">
        <v>0.92466999999999999</v>
      </c>
      <c r="AG194">
        <v>0.98748000000000002</v>
      </c>
      <c r="AH194">
        <v>1.09223</v>
      </c>
      <c r="AI194">
        <v>1.1131</v>
      </c>
      <c r="AJ194">
        <v>1.1358900000000001</v>
      </c>
      <c r="AK194">
        <v>0.96792</v>
      </c>
      <c r="AL194">
        <v>1.2184699999999999</v>
      </c>
      <c r="AM194">
        <v>1.29556</v>
      </c>
      <c r="AN194">
        <v>1.1327700000000001</v>
      </c>
      <c r="AO194">
        <v>1.3472299999999999</v>
      </c>
      <c r="AP194">
        <v>1.4392499999999999</v>
      </c>
      <c r="AQ194">
        <v>1.2532700000000001</v>
      </c>
      <c r="AR194">
        <v>1.4860199999999999</v>
      </c>
      <c r="AS194">
        <v>1.5275799999999999</v>
      </c>
      <c r="AT194">
        <v>1.57863</v>
      </c>
      <c r="AU194">
        <v>1.56158</v>
      </c>
      <c r="AV194">
        <v>1.47621</v>
      </c>
      <c r="AW194">
        <v>2.07742</v>
      </c>
      <c r="AX194">
        <v>2.0669499999999998</v>
      </c>
      <c r="AY194">
        <v>2.1142799999999999</v>
      </c>
      <c r="AZ194">
        <v>2.1630400000000001</v>
      </c>
      <c r="BA194">
        <v>2.1883300000000001</v>
      </c>
      <c r="BB194">
        <v>2.23583</v>
      </c>
      <c r="BC194">
        <v>2.2726999999999999</v>
      </c>
      <c r="BD194">
        <v>2.3433299999999999</v>
      </c>
      <c r="BE194">
        <v>2.2270099999999999</v>
      </c>
      <c r="BF194">
        <v>2.4475600000000002</v>
      </c>
      <c r="BG194">
        <v>2.4339499999999998</v>
      </c>
      <c r="BH194">
        <v>2.3948</v>
      </c>
      <c r="BI194">
        <v>2.4043100000000002</v>
      </c>
      <c r="BJ194">
        <v>2.3728699999999998</v>
      </c>
      <c r="BK194">
        <v>2.4109799999999999</v>
      </c>
      <c r="BL194">
        <v>2.4060100000000002</v>
      </c>
      <c r="BM194">
        <v>2.3858100000000002</v>
      </c>
      <c r="BN194">
        <v>2.3614600000000001</v>
      </c>
      <c r="BO194">
        <v>2.3125399999999998</v>
      </c>
      <c r="BP194">
        <v>2.3715700000000002</v>
      </c>
      <c r="BQ194">
        <v>2.3715899999999999</v>
      </c>
      <c r="BR194">
        <v>2.37161</v>
      </c>
      <c r="BS194">
        <v>2.3716300000000001</v>
      </c>
      <c r="BT194">
        <v>2.3716499999999998</v>
      </c>
      <c r="BW194">
        <v>2.3616899999999998</v>
      </c>
      <c r="BX194">
        <v>2.3616999999999999</v>
      </c>
      <c r="BY194">
        <v>2.3567399999999998</v>
      </c>
      <c r="BZ194">
        <v>2.3517399999999999</v>
      </c>
      <c r="CA194">
        <v>2.3467799999999999</v>
      </c>
      <c r="CB194">
        <v>2.3467899999999999</v>
      </c>
      <c r="CC194">
        <v>2.3317100000000002</v>
      </c>
      <c r="CD194">
        <v>2.3267199999999999</v>
      </c>
      <c r="CE194">
        <v>2.3378299999999999</v>
      </c>
      <c r="CF194">
        <v>2.3378399999999999</v>
      </c>
      <c r="CG194">
        <v>2.3328700000000002</v>
      </c>
      <c r="CH194">
        <v>2.3328799999999998</v>
      </c>
      <c r="CI194">
        <v>2.3279000000000001</v>
      </c>
      <c r="CJ194">
        <v>2.3279100000000001</v>
      </c>
      <c r="CK194">
        <v>2.3279200000000002</v>
      </c>
      <c r="CL194">
        <v>2.3279399999999999</v>
      </c>
      <c r="CM194">
        <v>2.32795</v>
      </c>
      <c r="CN194">
        <v>2.3289599999999999</v>
      </c>
      <c r="CO194">
        <v>2.32647</v>
      </c>
      <c r="CP194">
        <v>2.3264800000000001</v>
      </c>
      <c r="CQ194">
        <v>2.3179599999999998</v>
      </c>
      <c r="CS194">
        <v>2.3163100000000001</v>
      </c>
      <c r="CT194">
        <v>2.3129900000000001</v>
      </c>
      <c r="CU194">
        <v>2.3113299999999999</v>
      </c>
      <c r="CV194">
        <v>2.31134</v>
      </c>
      <c r="CW194">
        <v>2.3063500000000001</v>
      </c>
      <c r="CX194">
        <v>2.3015599999999998</v>
      </c>
      <c r="CY194">
        <v>2.2990699999999999</v>
      </c>
      <c r="CZ194">
        <v>2.30708</v>
      </c>
      <c r="DA194">
        <v>2.30294</v>
      </c>
      <c r="DB194">
        <v>2.3054700000000001</v>
      </c>
      <c r="DC194">
        <v>2.1770100000000001</v>
      </c>
    </row>
    <row r="195" spans="1:107" x14ac:dyDescent="0.25">
      <c r="A195">
        <f t="shared" ref="A195:A251" si="3">WEEKDAY(B195)</f>
        <v>5</v>
      </c>
      <c r="B195" s="2">
        <v>42285</v>
      </c>
      <c r="H195">
        <v>0.46224999999999999</v>
      </c>
      <c r="I195">
        <v>0.48491000000000001</v>
      </c>
      <c r="J195">
        <v>0.45513999999999999</v>
      </c>
      <c r="K195">
        <v>0.5111</v>
      </c>
      <c r="L195">
        <v>0.53851000000000004</v>
      </c>
      <c r="M195">
        <v>0.52417000000000002</v>
      </c>
      <c r="N195">
        <v>0.49454999999999999</v>
      </c>
      <c r="O195">
        <v>0.58860999999999997</v>
      </c>
      <c r="P195">
        <v>0.61714000000000002</v>
      </c>
      <c r="Q195">
        <v>0.63470000000000004</v>
      </c>
      <c r="R195">
        <v>0.65688000000000002</v>
      </c>
      <c r="S195">
        <v>0.72535000000000005</v>
      </c>
      <c r="T195">
        <v>0.75641000000000003</v>
      </c>
      <c r="U195">
        <v>0.65344999999999998</v>
      </c>
      <c r="V195">
        <v>0.69235999999999998</v>
      </c>
      <c r="W195">
        <v>0.74119000000000002</v>
      </c>
      <c r="X195">
        <v>0.79849000000000003</v>
      </c>
      <c r="Y195">
        <v>0.85101000000000004</v>
      </c>
      <c r="Z195">
        <v>0.77666000000000002</v>
      </c>
      <c r="AA195">
        <v>0.83462999999999998</v>
      </c>
      <c r="AB195">
        <v>0.86556</v>
      </c>
      <c r="AC195">
        <v>0.89066000000000001</v>
      </c>
      <c r="AD195">
        <v>0.88966999999999996</v>
      </c>
      <c r="AE195">
        <v>0.79491999999999996</v>
      </c>
      <c r="AF195">
        <v>0.95967999999999998</v>
      </c>
      <c r="AG195">
        <v>1.0100899999999999</v>
      </c>
      <c r="AH195">
        <v>1.11582</v>
      </c>
      <c r="AI195">
        <v>1.1463099999999999</v>
      </c>
      <c r="AJ195">
        <v>1.1651400000000001</v>
      </c>
      <c r="AK195">
        <v>0.99092999999999998</v>
      </c>
      <c r="AL195">
        <v>1.2487699999999999</v>
      </c>
      <c r="AM195">
        <v>1.3392599999999999</v>
      </c>
      <c r="AN195">
        <v>1.1637599999999999</v>
      </c>
      <c r="AO195">
        <v>1.39317</v>
      </c>
      <c r="AP195">
        <v>1.47</v>
      </c>
      <c r="AQ195">
        <v>1.2992900000000001</v>
      </c>
      <c r="AR195">
        <v>1.5296400000000001</v>
      </c>
      <c r="AS195">
        <v>1.57656</v>
      </c>
      <c r="AT195">
        <v>1.62195</v>
      </c>
      <c r="AU195">
        <v>1.59782</v>
      </c>
      <c r="AV195">
        <v>1.5307500000000001</v>
      </c>
      <c r="AW195">
        <v>2.1270600000000002</v>
      </c>
      <c r="AX195">
        <v>2.1230199999999999</v>
      </c>
      <c r="AY195">
        <v>2.1708799999999999</v>
      </c>
      <c r="AZ195">
        <v>2.2064599999999999</v>
      </c>
      <c r="BA195">
        <v>2.2229299999999999</v>
      </c>
      <c r="BB195">
        <v>2.2774299999999998</v>
      </c>
      <c r="BC195">
        <v>2.3157800000000002</v>
      </c>
      <c r="BD195">
        <v>2.3734500000000001</v>
      </c>
      <c r="BE195">
        <v>2.27521</v>
      </c>
      <c r="BF195">
        <v>2.4866999999999999</v>
      </c>
      <c r="BG195">
        <v>2.4834999999999998</v>
      </c>
      <c r="BH195">
        <v>2.44462</v>
      </c>
      <c r="BI195">
        <v>2.4619</v>
      </c>
      <c r="BJ195">
        <v>2.44564</v>
      </c>
      <c r="BK195">
        <v>2.4586399999999999</v>
      </c>
      <c r="BL195">
        <v>2.4536699999999998</v>
      </c>
      <c r="BM195">
        <v>2.4353600000000002</v>
      </c>
      <c r="BN195">
        <v>2.4267099999999999</v>
      </c>
      <c r="BO195">
        <v>2.36104</v>
      </c>
      <c r="BP195">
        <v>2.4217200000000001</v>
      </c>
      <c r="BQ195">
        <v>2.4217399999999998</v>
      </c>
      <c r="BR195">
        <v>2.4217599999999999</v>
      </c>
      <c r="BS195">
        <v>2.42178</v>
      </c>
      <c r="BT195">
        <v>2.4218000000000002</v>
      </c>
      <c r="BW195">
        <v>2.4118400000000002</v>
      </c>
      <c r="BX195">
        <v>2.4118599999999999</v>
      </c>
      <c r="BY195">
        <v>2.4068900000000002</v>
      </c>
      <c r="BZ195">
        <v>2.4018899999999999</v>
      </c>
      <c r="CA195">
        <v>2.3969299999999998</v>
      </c>
      <c r="CB195">
        <v>2.3969399999999998</v>
      </c>
      <c r="CC195">
        <v>2.3919700000000002</v>
      </c>
      <c r="CD195">
        <v>2.3760599999999998</v>
      </c>
      <c r="CE195">
        <v>2.3710800000000001</v>
      </c>
      <c r="CF195">
        <v>2.3710900000000001</v>
      </c>
      <c r="CG195">
        <v>2.3711000000000002</v>
      </c>
      <c r="CH195">
        <v>2.3711199999999999</v>
      </c>
      <c r="CI195">
        <v>2.3740800000000002</v>
      </c>
      <c r="CJ195">
        <v>2.3740899999999998</v>
      </c>
      <c r="CK195">
        <v>2.3724500000000002</v>
      </c>
      <c r="CL195">
        <v>2.3724599999999998</v>
      </c>
      <c r="CM195">
        <v>2.3724699999999999</v>
      </c>
      <c r="CN195">
        <v>2.37913</v>
      </c>
      <c r="CO195">
        <v>2.3741500000000002</v>
      </c>
      <c r="CP195">
        <v>2.3741599999999998</v>
      </c>
      <c r="CQ195">
        <v>2.3727100000000001</v>
      </c>
      <c r="CS195">
        <v>2.3729100000000001</v>
      </c>
      <c r="CT195">
        <v>2.36775</v>
      </c>
      <c r="CU195">
        <v>2.3695900000000001</v>
      </c>
      <c r="CV195">
        <v>2.3696000000000002</v>
      </c>
      <c r="CW195">
        <v>2.3627699999999998</v>
      </c>
      <c r="CX195">
        <v>2.3627699999999998</v>
      </c>
      <c r="CY195">
        <v>2.3662899999999998</v>
      </c>
      <c r="CZ195">
        <v>2.3584900000000002</v>
      </c>
      <c r="DA195">
        <v>2.35778</v>
      </c>
      <c r="DB195">
        <v>2.3577900000000001</v>
      </c>
      <c r="DC195">
        <v>2.2378499999999999</v>
      </c>
    </row>
    <row r="196" spans="1:107" x14ac:dyDescent="0.25">
      <c r="A196">
        <f t="shared" si="3"/>
        <v>6</v>
      </c>
      <c r="B196" s="2">
        <v>42286</v>
      </c>
      <c r="H196">
        <v>0.45968999999999999</v>
      </c>
      <c r="I196">
        <v>0.48410999999999998</v>
      </c>
      <c r="J196">
        <v>0.45500000000000002</v>
      </c>
      <c r="K196">
        <v>0.51156000000000001</v>
      </c>
      <c r="L196">
        <v>0.53937000000000002</v>
      </c>
      <c r="M196">
        <v>0.52512000000000003</v>
      </c>
      <c r="N196">
        <v>0.49486000000000002</v>
      </c>
      <c r="O196">
        <v>0.58867000000000003</v>
      </c>
      <c r="P196">
        <v>0.62097999999999998</v>
      </c>
      <c r="Q196">
        <v>0.63658000000000003</v>
      </c>
      <c r="R196">
        <v>0.66127999999999998</v>
      </c>
      <c r="S196">
        <v>0.73345000000000005</v>
      </c>
      <c r="T196">
        <v>0.76585999999999999</v>
      </c>
      <c r="U196">
        <v>0.66066000000000003</v>
      </c>
      <c r="V196">
        <v>0.69811999999999996</v>
      </c>
      <c r="W196">
        <v>0.74309000000000003</v>
      </c>
      <c r="X196">
        <v>0.80410000000000004</v>
      </c>
      <c r="Y196">
        <v>0.82962000000000002</v>
      </c>
      <c r="Z196">
        <v>0.78237000000000001</v>
      </c>
      <c r="AA196">
        <v>0.83586000000000005</v>
      </c>
      <c r="AB196">
        <v>0.86797000000000002</v>
      </c>
      <c r="AC196">
        <v>0.90508999999999995</v>
      </c>
      <c r="AD196">
        <v>0.91213</v>
      </c>
      <c r="AE196">
        <v>0.80096000000000001</v>
      </c>
      <c r="AF196">
        <v>0.96384999999999998</v>
      </c>
      <c r="AG196">
        <v>1.0158400000000001</v>
      </c>
      <c r="AH196">
        <v>1.1389199999999999</v>
      </c>
      <c r="AI196">
        <v>1.16181</v>
      </c>
      <c r="AJ196">
        <v>1.17445</v>
      </c>
      <c r="AK196">
        <v>1.0104599999999999</v>
      </c>
      <c r="AL196">
        <v>1.26532</v>
      </c>
      <c r="AM196">
        <v>1.34796</v>
      </c>
      <c r="AN196">
        <v>1.18205</v>
      </c>
      <c r="AO196">
        <v>1.40456</v>
      </c>
      <c r="AP196">
        <v>1.5028600000000001</v>
      </c>
      <c r="AQ196">
        <v>1.3167</v>
      </c>
      <c r="AR196">
        <v>1.5496300000000001</v>
      </c>
      <c r="AS196">
        <v>1.5910599999999999</v>
      </c>
      <c r="AT196">
        <v>1.64211</v>
      </c>
      <c r="AU196">
        <v>1.62477</v>
      </c>
      <c r="AV196">
        <v>1.5392699999999999</v>
      </c>
      <c r="AW196">
        <v>2.14906</v>
      </c>
      <c r="AX196">
        <v>2.1297199999999998</v>
      </c>
      <c r="AY196">
        <v>2.17821</v>
      </c>
      <c r="AZ196">
        <v>2.2282000000000002</v>
      </c>
      <c r="BA196">
        <v>2.2539400000000001</v>
      </c>
      <c r="BB196">
        <v>2.3031299999999999</v>
      </c>
      <c r="BC196">
        <v>2.3343699999999998</v>
      </c>
      <c r="BD196">
        <v>2.4022600000000001</v>
      </c>
      <c r="BE196">
        <v>2.2831100000000002</v>
      </c>
      <c r="BF196">
        <v>2.5093700000000001</v>
      </c>
      <c r="BG196">
        <v>2.4964200000000001</v>
      </c>
      <c r="BH196">
        <v>2.4570099999999999</v>
      </c>
      <c r="BI196">
        <v>2.4744799999999998</v>
      </c>
      <c r="BJ196">
        <v>2.4575100000000001</v>
      </c>
      <c r="BK196">
        <v>2.4725700000000002</v>
      </c>
      <c r="BL196">
        <v>2.4676</v>
      </c>
      <c r="BM196">
        <v>2.4479500000000001</v>
      </c>
      <c r="BN196">
        <v>2.4226800000000002</v>
      </c>
      <c r="BO196">
        <v>2.3739499999999998</v>
      </c>
      <c r="BP196">
        <v>2.4336600000000002</v>
      </c>
      <c r="BQ196">
        <v>2.4336799999999998</v>
      </c>
      <c r="BR196">
        <v>2.4337</v>
      </c>
      <c r="BS196">
        <v>2.4337200000000001</v>
      </c>
      <c r="BT196">
        <v>2.4337300000000002</v>
      </c>
      <c r="BW196">
        <v>2.4237799999999998</v>
      </c>
      <c r="BX196">
        <v>2.4237899999999999</v>
      </c>
      <c r="BY196">
        <v>2.4188299999999998</v>
      </c>
      <c r="BZ196">
        <v>2.4138299999999999</v>
      </c>
      <c r="CA196">
        <v>2.4088699999999998</v>
      </c>
      <c r="CB196">
        <v>2.4088799999999999</v>
      </c>
      <c r="CC196">
        <v>2.4039199999999998</v>
      </c>
      <c r="CD196">
        <v>2.38795</v>
      </c>
      <c r="CE196">
        <v>2.3979300000000001</v>
      </c>
      <c r="CF196">
        <v>2.3979400000000002</v>
      </c>
      <c r="CG196">
        <v>2.3829899999999999</v>
      </c>
      <c r="CH196">
        <v>2.383</v>
      </c>
      <c r="CI196">
        <v>2.38801</v>
      </c>
      <c r="CJ196">
        <v>2.38802</v>
      </c>
      <c r="CK196">
        <v>2.3880300000000001</v>
      </c>
      <c r="CL196">
        <v>2.3880499999999998</v>
      </c>
      <c r="CM196">
        <v>2.3880599999999998</v>
      </c>
      <c r="CN196">
        <v>2.3954</v>
      </c>
      <c r="CO196">
        <v>2.3937400000000002</v>
      </c>
      <c r="CP196">
        <v>2.3937499999999998</v>
      </c>
      <c r="CQ196">
        <v>2.3827600000000002</v>
      </c>
      <c r="CS196">
        <v>2.3831199999999999</v>
      </c>
      <c r="CT196">
        <v>2.3796400000000002</v>
      </c>
      <c r="CU196">
        <v>2.3796499999999998</v>
      </c>
      <c r="CV196">
        <v>2.3796599999999999</v>
      </c>
      <c r="CW196">
        <v>2.37466</v>
      </c>
      <c r="CX196">
        <v>2.3746700000000001</v>
      </c>
      <c r="CY196">
        <v>2.3746800000000001</v>
      </c>
      <c r="CZ196">
        <v>2.3661699999999999</v>
      </c>
      <c r="DA196">
        <v>2.3696799999999998</v>
      </c>
      <c r="DB196">
        <v>2.3696899999999999</v>
      </c>
      <c r="DC196">
        <v>2.2497500000000001</v>
      </c>
    </row>
    <row r="197" spans="1:107" x14ac:dyDescent="0.25">
      <c r="A197">
        <f t="shared" si="3"/>
        <v>3</v>
      </c>
      <c r="B197" s="2">
        <v>42290</v>
      </c>
      <c r="H197">
        <v>0.48098000000000002</v>
      </c>
      <c r="I197">
        <v>0.50729999999999997</v>
      </c>
      <c r="J197">
        <v>0.46471000000000001</v>
      </c>
      <c r="K197">
        <v>0.51448000000000005</v>
      </c>
      <c r="L197">
        <v>0.51073999999999997</v>
      </c>
      <c r="M197">
        <v>0.53</v>
      </c>
      <c r="N197">
        <v>0.49869000000000002</v>
      </c>
      <c r="O197">
        <v>0.55998999999999999</v>
      </c>
      <c r="P197">
        <v>0.61328000000000005</v>
      </c>
      <c r="Q197">
        <v>0.63104000000000005</v>
      </c>
      <c r="R197">
        <v>0.64797000000000005</v>
      </c>
      <c r="S197">
        <v>0.72094000000000003</v>
      </c>
      <c r="T197">
        <v>0.75370999999999999</v>
      </c>
      <c r="U197">
        <v>0.64717999999999998</v>
      </c>
      <c r="V197">
        <v>0.68393999999999999</v>
      </c>
      <c r="W197">
        <v>0.72750999999999999</v>
      </c>
      <c r="X197">
        <v>0.78937999999999997</v>
      </c>
      <c r="Y197">
        <v>0.80978000000000006</v>
      </c>
      <c r="Z197">
        <v>0.76343000000000005</v>
      </c>
      <c r="AA197">
        <v>0.81672</v>
      </c>
      <c r="AB197">
        <v>0.84882000000000002</v>
      </c>
      <c r="AC197">
        <v>0.86297000000000001</v>
      </c>
      <c r="AD197">
        <v>0.85340000000000005</v>
      </c>
      <c r="AE197">
        <v>0.76193999999999995</v>
      </c>
      <c r="AF197">
        <v>0.92271000000000003</v>
      </c>
      <c r="AG197">
        <v>0.97728000000000004</v>
      </c>
      <c r="AH197">
        <v>1.0914200000000001</v>
      </c>
      <c r="AI197">
        <v>1.11266</v>
      </c>
      <c r="AJ197">
        <v>1.1359699999999999</v>
      </c>
      <c r="AK197">
        <v>0.97970999999999997</v>
      </c>
      <c r="AL197">
        <v>1.21933</v>
      </c>
      <c r="AM197">
        <v>1.2954600000000001</v>
      </c>
      <c r="AN197">
        <v>1.1334200000000001</v>
      </c>
      <c r="AO197">
        <v>1.3520000000000001</v>
      </c>
      <c r="AP197">
        <v>1.42638</v>
      </c>
      <c r="AQ197">
        <v>1.23692</v>
      </c>
      <c r="AR197">
        <v>1.4724299999999999</v>
      </c>
      <c r="AS197">
        <v>1.51708</v>
      </c>
      <c r="AT197">
        <v>1.56809</v>
      </c>
      <c r="AU197">
        <v>1.5553399999999999</v>
      </c>
      <c r="AV197">
        <v>1.47448</v>
      </c>
      <c r="AW197">
        <v>2.0734300000000001</v>
      </c>
      <c r="AX197">
        <v>2.0598900000000002</v>
      </c>
      <c r="AY197">
        <v>2.1087199999999999</v>
      </c>
      <c r="AZ197">
        <v>2.1674099999999998</v>
      </c>
      <c r="BA197">
        <v>2.18485</v>
      </c>
      <c r="BB197">
        <v>2.2374399999999999</v>
      </c>
      <c r="BC197">
        <v>2.2744</v>
      </c>
      <c r="BD197">
        <v>2.3450500000000001</v>
      </c>
      <c r="BE197">
        <v>2.2277499999999999</v>
      </c>
      <c r="BF197">
        <v>2.46251</v>
      </c>
      <c r="BG197">
        <v>2.4386100000000002</v>
      </c>
      <c r="BH197">
        <v>2.4068200000000002</v>
      </c>
      <c r="BI197">
        <v>2.41764</v>
      </c>
      <c r="BJ197">
        <v>2.4033500000000001</v>
      </c>
      <c r="BK197">
        <v>2.38666</v>
      </c>
      <c r="BL197">
        <v>2.39601</v>
      </c>
      <c r="BM197">
        <v>2.38937</v>
      </c>
      <c r="BN197">
        <v>2.3767100000000001</v>
      </c>
      <c r="BO197">
        <v>2.3152900000000001</v>
      </c>
      <c r="BP197">
        <v>2.36192</v>
      </c>
      <c r="BQ197">
        <v>2.3619300000000001</v>
      </c>
      <c r="BR197">
        <v>2.3569399999999998</v>
      </c>
      <c r="BS197">
        <v>2.3569499999999999</v>
      </c>
      <c r="BT197">
        <v>2.3721399999999999</v>
      </c>
      <c r="BW197">
        <v>2.3621599999999998</v>
      </c>
      <c r="BX197">
        <v>2.3469899999999999</v>
      </c>
      <c r="BY197">
        <v>2.347</v>
      </c>
      <c r="BZ197">
        <v>2.35622</v>
      </c>
      <c r="CA197">
        <v>2.3420100000000001</v>
      </c>
      <c r="CB197">
        <v>2.3420200000000002</v>
      </c>
      <c r="CC197">
        <v>2.34626</v>
      </c>
      <c r="CD197">
        <v>2.3462700000000001</v>
      </c>
      <c r="CE197">
        <v>2.3462700000000001</v>
      </c>
      <c r="CF197">
        <v>2.3462800000000001</v>
      </c>
      <c r="CG197">
        <v>2.3412799999999998</v>
      </c>
      <c r="CH197">
        <v>2.3412899999999999</v>
      </c>
      <c r="CI197">
        <v>2.3222800000000001</v>
      </c>
      <c r="CJ197">
        <v>2.3222900000000002</v>
      </c>
      <c r="CK197">
        <v>2.34022</v>
      </c>
      <c r="CL197">
        <v>2.34023</v>
      </c>
      <c r="CM197">
        <v>2.34023</v>
      </c>
      <c r="CN197">
        <v>2.3335900000000001</v>
      </c>
      <c r="CO197">
        <v>2.3319200000000002</v>
      </c>
      <c r="CP197">
        <v>2.3319299999999998</v>
      </c>
      <c r="CQ197">
        <v>2.3209300000000002</v>
      </c>
      <c r="CS197">
        <v>2.3241299999999998</v>
      </c>
      <c r="CT197">
        <v>2.3181400000000001</v>
      </c>
      <c r="CU197">
        <v>2.3181400000000001</v>
      </c>
      <c r="CV197">
        <v>2.3181400000000001</v>
      </c>
      <c r="CW197">
        <v>2.3131400000000002</v>
      </c>
      <c r="CX197">
        <v>2.3131499999999998</v>
      </c>
      <c r="CY197">
        <v>2.3131499999999998</v>
      </c>
      <c r="CZ197">
        <v>2.29739</v>
      </c>
      <c r="DA197">
        <v>2.3081399999999999</v>
      </c>
      <c r="DB197">
        <v>2.3081499999999999</v>
      </c>
      <c r="DC197">
        <v>2.1875300000000002</v>
      </c>
    </row>
    <row r="198" spans="1:107" x14ac:dyDescent="0.25">
      <c r="A198">
        <f t="shared" si="3"/>
        <v>4</v>
      </c>
      <c r="B198" s="2">
        <v>42291</v>
      </c>
      <c r="H198">
        <v>0.46499000000000001</v>
      </c>
      <c r="I198">
        <v>0.47859000000000002</v>
      </c>
      <c r="J198">
        <v>0.45773000000000003</v>
      </c>
      <c r="K198">
        <v>0.51376999999999995</v>
      </c>
      <c r="L198">
        <v>0.51658999999999999</v>
      </c>
      <c r="M198">
        <v>0.52664</v>
      </c>
      <c r="N198">
        <v>0.49709999999999999</v>
      </c>
      <c r="O198">
        <v>0.55157999999999996</v>
      </c>
      <c r="P198">
        <v>0.60441</v>
      </c>
      <c r="Q198">
        <v>0.61004999999999998</v>
      </c>
      <c r="R198">
        <v>0.62973999999999997</v>
      </c>
      <c r="S198">
        <v>0.70006000000000002</v>
      </c>
      <c r="T198">
        <v>0.73267000000000004</v>
      </c>
      <c r="U198">
        <v>0.62777000000000005</v>
      </c>
      <c r="V198">
        <v>0.66486000000000001</v>
      </c>
      <c r="W198">
        <v>0.70909999999999995</v>
      </c>
      <c r="X198">
        <v>0.76953000000000005</v>
      </c>
      <c r="Y198">
        <v>0.81391999999999998</v>
      </c>
      <c r="Z198">
        <v>0.7389</v>
      </c>
      <c r="AA198">
        <v>0.79362999999999995</v>
      </c>
      <c r="AB198">
        <v>0.82565999999999995</v>
      </c>
      <c r="AC198">
        <v>0.82394000000000001</v>
      </c>
      <c r="AD198">
        <v>0.81299999999999994</v>
      </c>
      <c r="AE198">
        <v>0.72092999999999996</v>
      </c>
      <c r="AF198">
        <v>0.88295000000000001</v>
      </c>
      <c r="AG198">
        <v>0.93320000000000003</v>
      </c>
      <c r="AH198">
        <v>1.04497</v>
      </c>
      <c r="AI198">
        <v>1.0650999999999999</v>
      </c>
      <c r="AJ198">
        <v>1.0961000000000001</v>
      </c>
      <c r="AK198">
        <v>0.92000999999999999</v>
      </c>
      <c r="AL198">
        <v>1.1733</v>
      </c>
      <c r="AM198">
        <v>1.24732</v>
      </c>
      <c r="AN198">
        <v>1.08324</v>
      </c>
      <c r="AO198">
        <v>1.3038799999999999</v>
      </c>
      <c r="AP198">
        <v>1.37799</v>
      </c>
      <c r="AQ198">
        <v>1.19164</v>
      </c>
      <c r="AR198">
        <v>1.42042</v>
      </c>
      <c r="AS198">
        <v>1.4644900000000001</v>
      </c>
      <c r="AT198">
        <v>1.51552</v>
      </c>
      <c r="AU198">
        <v>1.5023200000000001</v>
      </c>
      <c r="AV198">
        <v>1.4155599999999999</v>
      </c>
      <c r="AW198">
        <v>2.0245000000000002</v>
      </c>
      <c r="AX198">
        <v>2.0127299999999999</v>
      </c>
      <c r="AY198">
        <v>2.06162</v>
      </c>
      <c r="AZ198">
        <v>2.1101000000000001</v>
      </c>
      <c r="BA198">
        <v>2.1357200000000001</v>
      </c>
      <c r="BB198">
        <v>2.1892</v>
      </c>
      <c r="BC198">
        <v>2.2332399999999999</v>
      </c>
      <c r="BD198">
        <v>2.3031899999999998</v>
      </c>
      <c r="BE198">
        <v>2.1844800000000002</v>
      </c>
      <c r="BF198">
        <v>2.4254199999999999</v>
      </c>
      <c r="BG198">
        <v>2.4019300000000001</v>
      </c>
      <c r="BH198">
        <v>2.37636</v>
      </c>
      <c r="BI198">
        <v>2.3806500000000002</v>
      </c>
      <c r="BJ198">
        <v>2.3671099999999998</v>
      </c>
      <c r="BK198">
        <v>2.3492999999999999</v>
      </c>
      <c r="BL198">
        <v>2.3590499999999999</v>
      </c>
      <c r="BM198">
        <v>2.35242</v>
      </c>
      <c r="BN198">
        <v>2.3440099999999999</v>
      </c>
      <c r="BO198">
        <v>2.2768999999999999</v>
      </c>
      <c r="BP198">
        <v>2.3251300000000001</v>
      </c>
      <c r="BQ198">
        <v>2.3251499999999998</v>
      </c>
      <c r="BR198">
        <v>2.3201700000000001</v>
      </c>
      <c r="BS198">
        <v>2.3201800000000001</v>
      </c>
      <c r="BT198">
        <v>2.3340700000000001</v>
      </c>
      <c r="BW198">
        <v>2.3102299999999998</v>
      </c>
      <c r="BX198">
        <v>2.3102499999999999</v>
      </c>
      <c r="BY198">
        <v>2.31026</v>
      </c>
      <c r="BZ198">
        <v>2.3191700000000002</v>
      </c>
      <c r="CA198">
        <v>2.31419</v>
      </c>
      <c r="CB198">
        <v>2.3142</v>
      </c>
      <c r="CC198">
        <v>2.3092199999999998</v>
      </c>
      <c r="CD198">
        <v>2.3092299999999999</v>
      </c>
      <c r="CE198">
        <v>2.30924</v>
      </c>
      <c r="CF198">
        <v>2.30925</v>
      </c>
      <c r="CG198">
        <v>2.3042600000000002</v>
      </c>
      <c r="CH198">
        <v>2.3149700000000002</v>
      </c>
      <c r="CI198">
        <v>2.2992699999999999</v>
      </c>
      <c r="CJ198">
        <v>2.29928</v>
      </c>
      <c r="CK198">
        <v>2.3043800000000001</v>
      </c>
      <c r="CL198">
        <v>2.3043900000000002</v>
      </c>
      <c r="CM198">
        <v>2.3043999999999998</v>
      </c>
      <c r="CN198">
        <v>2.29433</v>
      </c>
      <c r="CO198">
        <v>2.28803</v>
      </c>
      <c r="CP198">
        <v>2.2880400000000001</v>
      </c>
      <c r="CQ198">
        <v>2.2844600000000002</v>
      </c>
      <c r="CS198">
        <v>2.2854700000000001</v>
      </c>
      <c r="CT198">
        <v>2.2825899999999999</v>
      </c>
      <c r="CU198">
        <v>2.2826</v>
      </c>
      <c r="CV198">
        <v>2.28261</v>
      </c>
      <c r="CW198">
        <v>2.2776100000000001</v>
      </c>
      <c r="CX198">
        <v>2.2776200000000002</v>
      </c>
      <c r="CY198">
        <v>2.2776299999999998</v>
      </c>
      <c r="CZ198">
        <v>2.2615500000000002</v>
      </c>
      <c r="DA198">
        <v>2.2726299999999999</v>
      </c>
      <c r="DB198">
        <v>2.27264</v>
      </c>
      <c r="DC198">
        <v>2.15198</v>
      </c>
    </row>
    <row r="199" spans="1:107" x14ac:dyDescent="0.25">
      <c r="A199">
        <f t="shared" si="3"/>
        <v>5</v>
      </c>
      <c r="B199" s="2">
        <v>42292</v>
      </c>
      <c r="H199">
        <v>0.46244000000000002</v>
      </c>
      <c r="I199">
        <v>0.47671999999999998</v>
      </c>
      <c r="J199">
        <v>0.45279000000000003</v>
      </c>
      <c r="K199">
        <v>0.50370000000000004</v>
      </c>
      <c r="L199">
        <v>0.50749999999999995</v>
      </c>
      <c r="M199">
        <v>0.53054999999999997</v>
      </c>
      <c r="N199">
        <v>0.49730000000000002</v>
      </c>
      <c r="O199">
        <v>0.58221000000000001</v>
      </c>
      <c r="P199">
        <v>0.61172000000000004</v>
      </c>
      <c r="Q199">
        <v>0.62278999999999995</v>
      </c>
      <c r="R199">
        <v>0.6421</v>
      </c>
      <c r="S199">
        <v>0.71347000000000005</v>
      </c>
      <c r="T199">
        <v>0.74551999999999996</v>
      </c>
      <c r="U199">
        <v>0.64588000000000001</v>
      </c>
      <c r="V199">
        <v>0.68184</v>
      </c>
      <c r="W199">
        <v>0.72724</v>
      </c>
      <c r="X199">
        <v>0.78815999999999997</v>
      </c>
      <c r="Y199">
        <v>0.83343999999999996</v>
      </c>
      <c r="Z199">
        <v>0.75780999999999998</v>
      </c>
      <c r="AA199">
        <v>0.81333</v>
      </c>
      <c r="AB199">
        <v>0.84526999999999997</v>
      </c>
      <c r="AC199">
        <v>0.85907</v>
      </c>
      <c r="AD199">
        <v>0.84909000000000001</v>
      </c>
      <c r="AE199">
        <v>0.75638000000000005</v>
      </c>
      <c r="AF199">
        <v>0.91722999999999999</v>
      </c>
      <c r="AG199">
        <v>0.98028000000000004</v>
      </c>
      <c r="AH199">
        <v>1.0854900000000001</v>
      </c>
      <c r="AI199">
        <v>1.10622</v>
      </c>
      <c r="AJ199">
        <v>1.1295599999999999</v>
      </c>
      <c r="AK199">
        <v>0.96084000000000003</v>
      </c>
      <c r="AL199">
        <v>1.20103</v>
      </c>
      <c r="AM199">
        <v>1.2883800000000001</v>
      </c>
      <c r="AN199">
        <v>1.1266799999999999</v>
      </c>
      <c r="AO199">
        <v>1.3449599999999999</v>
      </c>
      <c r="AP199">
        <v>1.4204300000000001</v>
      </c>
      <c r="AQ199">
        <v>1.2427299999999999</v>
      </c>
      <c r="AR199">
        <v>1.4759199999999999</v>
      </c>
      <c r="AS199">
        <v>1.5156099999999999</v>
      </c>
      <c r="AT199">
        <v>1.5666500000000001</v>
      </c>
      <c r="AU199">
        <v>1.5504800000000001</v>
      </c>
      <c r="AV199">
        <v>1.4615</v>
      </c>
      <c r="AW199">
        <v>2.06894</v>
      </c>
      <c r="AX199">
        <v>2.0564800000000001</v>
      </c>
      <c r="AY199">
        <v>2.1040800000000002</v>
      </c>
      <c r="AZ199">
        <v>2.1545399999999999</v>
      </c>
      <c r="BA199">
        <v>2.1827000000000001</v>
      </c>
      <c r="BB199">
        <v>2.2266499999999998</v>
      </c>
      <c r="BC199">
        <v>2.27149</v>
      </c>
      <c r="BD199">
        <v>2.33372</v>
      </c>
      <c r="BE199">
        <v>2.2185600000000001</v>
      </c>
      <c r="BF199">
        <v>2.4519799999999998</v>
      </c>
      <c r="BG199">
        <v>2.4270800000000001</v>
      </c>
      <c r="BH199">
        <v>2.3938000000000001</v>
      </c>
      <c r="BI199">
        <v>2.4048099999999999</v>
      </c>
      <c r="BJ199">
        <v>2.3903500000000002</v>
      </c>
      <c r="BK199">
        <v>2.37418</v>
      </c>
      <c r="BL199">
        <v>2.38354</v>
      </c>
      <c r="BM199">
        <v>2.3769100000000001</v>
      </c>
      <c r="BN199">
        <v>2.3642599999999998</v>
      </c>
      <c r="BO199">
        <v>2.3003399999999998</v>
      </c>
      <c r="BP199">
        <v>2.3494600000000001</v>
      </c>
      <c r="BQ199">
        <v>2.3494799999999998</v>
      </c>
      <c r="BR199">
        <v>2.3445</v>
      </c>
      <c r="BS199">
        <v>2.3445200000000002</v>
      </c>
      <c r="BT199">
        <v>2.3597199999999998</v>
      </c>
      <c r="BW199">
        <v>2.3497499999999998</v>
      </c>
      <c r="BX199">
        <v>2.3345799999999999</v>
      </c>
      <c r="BY199">
        <v>2.3345899999999999</v>
      </c>
      <c r="BZ199">
        <v>2.3438300000000001</v>
      </c>
      <c r="CA199">
        <v>2.3296199999999998</v>
      </c>
      <c r="CB199">
        <v>2.3296299999999999</v>
      </c>
      <c r="CC199">
        <v>2.3338899999999998</v>
      </c>
      <c r="CD199">
        <v>2.3338999999999999</v>
      </c>
      <c r="CE199">
        <v>2.33392</v>
      </c>
      <c r="CF199">
        <v>2.3339300000000001</v>
      </c>
      <c r="CG199">
        <v>2.3289399999999998</v>
      </c>
      <c r="CH199">
        <v>2.3289499999999999</v>
      </c>
      <c r="CI199">
        <v>2.3099400000000001</v>
      </c>
      <c r="CJ199">
        <v>2.3099500000000002</v>
      </c>
      <c r="CK199">
        <v>2.32396</v>
      </c>
      <c r="CL199">
        <v>2.3239700000000001</v>
      </c>
      <c r="CM199">
        <v>2.3239800000000002</v>
      </c>
      <c r="CN199">
        <v>2.31901</v>
      </c>
      <c r="CO199">
        <v>2.3129200000000001</v>
      </c>
      <c r="CP199">
        <v>2.3129300000000002</v>
      </c>
      <c r="CQ199">
        <v>2.3099400000000001</v>
      </c>
      <c r="CS199">
        <v>2.3098000000000001</v>
      </c>
      <c r="CT199">
        <v>2.30782</v>
      </c>
      <c r="CU199">
        <v>2.3098299999999998</v>
      </c>
      <c r="CV199">
        <v>2.3098399999999999</v>
      </c>
      <c r="CW199">
        <v>2.3028400000000002</v>
      </c>
      <c r="CX199">
        <v>2.3028499999999998</v>
      </c>
      <c r="CY199">
        <v>2.3028499999999998</v>
      </c>
      <c r="CZ199">
        <v>2.2978499999999999</v>
      </c>
      <c r="DA199">
        <v>2.2978499999999999</v>
      </c>
      <c r="DB199">
        <v>2.29786</v>
      </c>
      <c r="DC199">
        <v>2.17658</v>
      </c>
    </row>
    <row r="200" spans="1:107" x14ac:dyDescent="0.25">
      <c r="A200">
        <f t="shared" si="3"/>
        <v>6</v>
      </c>
      <c r="B200" s="2">
        <v>42293</v>
      </c>
      <c r="H200">
        <v>0.46087</v>
      </c>
      <c r="I200">
        <v>0.47581000000000001</v>
      </c>
      <c r="J200">
        <v>0.45266000000000001</v>
      </c>
      <c r="K200">
        <v>0.50316000000000005</v>
      </c>
      <c r="L200">
        <v>0.50638000000000005</v>
      </c>
      <c r="M200">
        <v>0.53052999999999995</v>
      </c>
      <c r="N200">
        <v>0.49712000000000001</v>
      </c>
      <c r="O200">
        <v>0.58140999999999998</v>
      </c>
      <c r="P200">
        <v>0.60984000000000005</v>
      </c>
      <c r="Q200">
        <v>0.61982999999999999</v>
      </c>
      <c r="R200">
        <v>0.63836999999999999</v>
      </c>
      <c r="S200">
        <v>0.71050000000000002</v>
      </c>
      <c r="T200">
        <v>0.74231000000000003</v>
      </c>
      <c r="U200">
        <v>0.64359</v>
      </c>
      <c r="V200">
        <v>0.67976999999999999</v>
      </c>
      <c r="W200">
        <v>0.72460999999999998</v>
      </c>
      <c r="X200">
        <v>0.78549000000000002</v>
      </c>
      <c r="Y200">
        <v>0.83533999999999997</v>
      </c>
      <c r="Z200">
        <v>0.75971</v>
      </c>
      <c r="AA200">
        <v>0.81467000000000001</v>
      </c>
      <c r="AB200">
        <v>0.83628999999999998</v>
      </c>
      <c r="AC200">
        <v>0.87492000000000003</v>
      </c>
      <c r="AD200">
        <v>0.88044999999999995</v>
      </c>
      <c r="AE200">
        <v>0.77095999999999998</v>
      </c>
      <c r="AF200">
        <v>0.93266000000000004</v>
      </c>
      <c r="AG200">
        <v>0.99261999999999995</v>
      </c>
      <c r="AH200">
        <v>1.1024400000000001</v>
      </c>
      <c r="AI200">
        <v>1.1233599999999999</v>
      </c>
      <c r="AJ200">
        <v>1.14639</v>
      </c>
      <c r="AK200">
        <v>0.97799999999999998</v>
      </c>
      <c r="AL200">
        <v>1.22926</v>
      </c>
      <c r="AM200">
        <v>1.30999</v>
      </c>
      <c r="AN200">
        <v>1.14564</v>
      </c>
      <c r="AO200">
        <v>1.36656</v>
      </c>
      <c r="AP200">
        <v>1.4496500000000001</v>
      </c>
      <c r="AQ200">
        <v>1.2634799999999999</v>
      </c>
      <c r="AR200">
        <v>1.4964</v>
      </c>
      <c r="AS200">
        <v>1.5355300000000001</v>
      </c>
      <c r="AT200">
        <v>1.58657</v>
      </c>
      <c r="AU200">
        <v>1.56962</v>
      </c>
      <c r="AV200">
        <v>1.4816800000000001</v>
      </c>
      <c r="AW200">
        <v>2.0933299999999999</v>
      </c>
      <c r="AX200">
        <v>2.0729899999999999</v>
      </c>
      <c r="AY200">
        <v>2.1215000000000002</v>
      </c>
      <c r="AZ200">
        <v>2.1727099999999999</v>
      </c>
      <c r="BA200">
        <v>2.2002700000000002</v>
      </c>
      <c r="BB200">
        <v>2.24973</v>
      </c>
      <c r="BC200">
        <v>2.2885499999999999</v>
      </c>
      <c r="BD200">
        <v>2.3528099999999998</v>
      </c>
      <c r="BE200">
        <v>2.23292</v>
      </c>
      <c r="BF200">
        <v>2.46983</v>
      </c>
      <c r="BG200">
        <v>2.4461599999999999</v>
      </c>
      <c r="BH200">
        <v>2.4202300000000001</v>
      </c>
      <c r="BI200">
        <v>2.42489</v>
      </c>
      <c r="BJ200">
        <v>2.4109699999999998</v>
      </c>
      <c r="BK200">
        <v>2.3942100000000002</v>
      </c>
      <c r="BL200">
        <v>2.4036200000000001</v>
      </c>
      <c r="BM200">
        <v>2.3969900000000002</v>
      </c>
      <c r="BN200">
        <v>2.3889399999999998</v>
      </c>
      <c r="BO200">
        <v>2.32029</v>
      </c>
      <c r="BP200">
        <v>2.3700100000000002</v>
      </c>
      <c r="BQ200">
        <v>2.3700299999999999</v>
      </c>
      <c r="BR200">
        <v>2.3650500000000001</v>
      </c>
      <c r="BS200">
        <v>2.3650699999999998</v>
      </c>
      <c r="BT200">
        <v>2.379</v>
      </c>
      <c r="BW200">
        <v>2.3551099999999998</v>
      </c>
      <c r="BX200">
        <v>2.3551299999999999</v>
      </c>
      <c r="BY200">
        <v>2.35514</v>
      </c>
      <c r="BZ200">
        <v>2.3641000000000001</v>
      </c>
      <c r="CA200">
        <v>2.3591199999999999</v>
      </c>
      <c r="CB200">
        <v>2.35914</v>
      </c>
      <c r="CC200">
        <v>2.3541500000000002</v>
      </c>
      <c r="CD200">
        <v>2.3541699999999999</v>
      </c>
      <c r="CE200">
        <v>2.3541799999999999</v>
      </c>
      <c r="CF200">
        <v>2.35419</v>
      </c>
      <c r="CG200">
        <v>2.3491900000000001</v>
      </c>
      <c r="CH200">
        <v>2.35934</v>
      </c>
      <c r="CI200">
        <v>2.3441999999999998</v>
      </c>
      <c r="CJ200">
        <v>2.3442099999999999</v>
      </c>
      <c r="CK200">
        <v>2.3496199999999998</v>
      </c>
      <c r="CL200">
        <v>2.3496299999999999</v>
      </c>
      <c r="CM200">
        <v>2.3578899999999998</v>
      </c>
      <c r="CN200">
        <v>2.33927</v>
      </c>
      <c r="CO200">
        <v>2.3329499999999999</v>
      </c>
      <c r="CP200">
        <v>2.3329599999999999</v>
      </c>
      <c r="CQ200">
        <v>2.3296999999999999</v>
      </c>
      <c r="CS200">
        <v>2.3303500000000001</v>
      </c>
      <c r="CT200">
        <v>2.32796</v>
      </c>
      <c r="CU200">
        <v>2.3304299999999998</v>
      </c>
      <c r="CV200">
        <v>2.3304399999999998</v>
      </c>
      <c r="CW200">
        <v>2.3229799999999998</v>
      </c>
      <c r="CX200">
        <v>2.3229899999999999</v>
      </c>
      <c r="CY200">
        <v>2.323</v>
      </c>
      <c r="CZ200">
        <v>2.3069700000000002</v>
      </c>
      <c r="DA200">
        <v>2.3180000000000001</v>
      </c>
      <c r="DB200">
        <v>2.3180100000000001</v>
      </c>
      <c r="DC200">
        <v>2.19719</v>
      </c>
    </row>
    <row r="201" spans="1:107" x14ac:dyDescent="0.25">
      <c r="A201">
        <f t="shared" si="3"/>
        <v>2</v>
      </c>
      <c r="B201" s="2">
        <v>42296</v>
      </c>
      <c r="H201">
        <v>0.47917999999999999</v>
      </c>
      <c r="I201">
        <v>0.49715999999999999</v>
      </c>
      <c r="J201">
        <v>0.45935999999999999</v>
      </c>
      <c r="K201">
        <v>0.50873000000000002</v>
      </c>
      <c r="L201">
        <v>0.52424000000000004</v>
      </c>
      <c r="M201">
        <v>0.53486</v>
      </c>
      <c r="N201">
        <v>0.50026999999999999</v>
      </c>
      <c r="O201">
        <v>0.55501</v>
      </c>
      <c r="P201">
        <v>0.61014000000000002</v>
      </c>
      <c r="Q201">
        <v>0.61106000000000005</v>
      </c>
      <c r="R201">
        <v>0.63490999999999997</v>
      </c>
      <c r="S201">
        <v>0.70711999999999997</v>
      </c>
      <c r="T201">
        <v>0.73916000000000004</v>
      </c>
      <c r="U201">
        <v>0.65214000000000005</v>
      </c>
      <c r="V201">
        <v>0.67630000000000001</v>
      </c>
      <c r="W201">
        <v>0.72036</v>
      </c>
      <c r="X201">
        <v>0.78197000000000005</v>
      </c>
      <c r="Y201">
        <v>0.83474999999999999</v>
      </c>
      <c r="Z201">
        <v>0.75905999999999996</v>
      </c>
      <c r="AA201">
        <v>0.81399999999999995</v>
      </c>
      <c r="AB201">
        <v>0.83611000000000002</v>
      </c>
      <c r="AC201">
        <v>0.87770999999999999</v>
      </c>
      <c r="AD201">
        <v>0.86548000000000003</v>
      </c>
      <c r="AE201">
        <v>0.77256999999999998</v>
      </c>
      <c r="AF201">
        <v>0.95965999999999996</v>
      </c>
      <c r="AG201">
        <v>1.00031</v>
      </c>
      <c r="AH201">
        <v>1.10097</v>
      </c>
      <c r="AI201">
        <v>1.12262</v>
      </c>
      <c r="AJ201">
        <v>1.1445099999999999</v>
      </c>
      <c r="AK201">
        <v>0.97743000000000002</v>
      </c>
      <c r="AL201">
        <v>1.2155800000000001</v>
      </c>
      <c r="AM201">
        <v>1.30674</v>
      </c>
      <c r="AN201">
        <v>1.1444700000000001</v>
      </c>
      <c r="AO201">
        <v>1.3632899999999999</v>
      </c>
      <c r="AP201">
        <v>1.45112</v>
      </c>
      <c r="AQ201">
        <v>1.2647999999999999</v>
      </c>
      <c r="AR201">
        <v>1.4978400000000001</v>
      </c>
      <c r="AS201">
        <v>1.5370699999999999</v>
      </c>
      <c r="AT201">
        <v>1.58809</v>
      </c>
      <c r="AU201">
        <v>1.56918</v>
      </c>
      <c r="AV201">
        <v>1.4802</v>
      </c>
      <c r="AW201">
        <v>2.08066</v>
      </c>
      <c r="AX201">
        <v>2.07491</v>
      </c>
      <c r="AY201">
        <v>2.1209799999999999</v>
      </c>
      <c r="AZ201">
        <v>2.1725099999999999</v>
      </c>
      <c r="BA201">
        <v>2.1917800000000001</v>
      </c>
      <c r="BB201">
        <v>2.2464</v>
      </c>
      <c r="BC201">
        <v>2.2881800000000001</v>
      </c>
      <c r="BD201">
        <v>2.3569200000000001</v>
      </c>
      <c r="BE201">
        <v>2.24078</v>
      </c>
      <c r="BF201">
        <v>2.4727100000000002</v>
      </c>
      <c r="BG201">
        <v>2.4437000000000002</v>
      </c>
      <c r="BH201">
        <v>2.4287200000000002</v>
      </c>
      <c r="BI201">
        <v>2.4282400000000002</v>
      </c>
      <c r="BJ201">
        <v>2.4137400000000002</v>
      </c>
      <c r="BK201">
        <v>2.3979300000000001</v>
      </c>
      <c r="BL201">
        <v>2.4069400000000001</v>
      </c>
      <c r="BM201">
        <v>2.4003000000000001</v>
      </c>
      <c r="BN201">
        <v>2.3933200000000001</v>
      </c>
      <c r="BO201">
        <v>2.3213499999999998</v>
      </c>
      <c r="BP201">
        <v>2.3883200000000002</v>
      </c>
      <c r="BQ201">
        <v>2.3733300000000002</v>
      </c>
      <c r="BR201">
        <v>2.36835</v>
      </c>
      <c r="BS201">
        <v>2.36836</v>
      </c>
      <c r="BT201">
        <v>2.3823500000000002</v>
      </c>
      <c r="BW201">
        <v>2.35839</v>
      </c>
      <c r="BX201">
        <v>2.3584000000000001</v>
      </c>
      <c r="BY201">
        <v>2.3584100000000001</v>
      </c>
      <c r="BZ201">
        <v>2.3684099999999999</v>
      </c>
      <c r="CA201">
        <v>2.3634300000000001</v>
      </c>
      <c r="CB201">
        <v>2.3634300000000001</v>
      </c>
      <c r="CC201">
        <v>2.3584499999999999</v>
      </c>
      <c r="CD201">
        <v>2.3584499999999999</v>
      </c>
      <c r="CE201">
        <v>2.35846</v>
      </c>
      <c r="CF201">
        <v>2.3584700000000001</v>
      </c>
      <c r="CG201">
        <v>2.3534700000000002</v>
      </c>
      <c r="CH201">
        <v>2.3619699999999999</v>
      </c>
      <c r="CI201">
        <v>2.36198</v>
      </c>
      <c r="CJ201">
        <v>2.36198</v>
      </c>
      <c r="CK201">
        <v>2.36049</v>
      </c>
      <c r="CL201">
        <v>2.36049</v>
      </c>
      <c r="CM201">
        <v>2.3605</v>
      </c>
      <c r="CN201">
        <v>2.3461799999999999</v>
      </c>
      <c r="CO201">
        <v>2.3445100000000001</v>
      </c>
      <c r="CP201">
        <v>2.3445100000000001</v>
      </c>
      <c r="CQ201">
        <v>2.3321999999999998</v>
      </c>
      <c r="CS201">
        <v>2.3361999999999998</v>
      </c>
      <c r="CT201">
        <v>2.3295599999999999</v>
      </c>
      <c r="CU201">
        <v>2.3295599999999999</v>
      </c>
      <c r="CV201">
        <v>2.3295699999999999</v>
      </c>
      <c r="CW201">
        <v>2.32457</v>
      </c>
      <c r="CX201">
        <v>2.32457</v>
      </c>
      <c r="CY201">
        <v>2.3245800000000001</v>
      </c>
      <c r="CZ201">
        <v>2.30959</v>
      </c>
      <c r="DA201">
        <v>2.3195700000000001</v>
      </c>
      <c r="DB201">
        <v>2.3195800000000002</v>
      </c>
      <c r="DC201">
        <v>2.2010999999999998</v>
      </c>
    </row>
    <row r="202" spans="1:107" x14ac:dyDescent="0.25">
      <c r="A202">
        <f t="shared" si="3"/>
        <v>3</v>
      </c>
      <c r="B202" s="2">
        <v>42297</v>
      </c>
      <c r="H202">
        <v>0.48426999999999998</v>
      </c>
      <c r="I202">
        <v>0.50260000000000005</v>
      </c>
      <c r="J202">
        <v>0.45928000000000002</v>
      </c>
      <c r="K202">
        <v>0.51873000000000002</v>
      </c>
      <c r="L202">
        <v>0.53757999999999995</v>
      </c>
      <c r="M202">
        <v>0.53483999999999998</v>
      </c>
      <c r="N202">
        <v>0.49989</v>
      </c>
      <c r="O202">
        <v>0.59558</v>
      </c>
      <c r="P202">
        <v>0.62336999999999998</v>
      </c>
      <c r="Q202">
        <v>0.63951000000000002</v>
      </c>
      <c r="R202">
        <v>0.67425000000000002</v>
      </c>
      <c r="S202">
        <v>0.71006000000000002</v>
      </c>
      <c r="T202">
        <v>0.76526000000000005</v>
      </c>
      <c r="U202">
        <v>0.68183000000000005</v>
      </c>
      <c r="V202">
        <v>0.70569999999999999</v>
      </c>
      <c r="W202">
        <v>0.76617000000000002</v>
      </c>
      <c r="X202">
        <v>0.81140999999999996</v>
      </c>
      <c r="Y202">
        <v>0.87229000000000001</v>
      </c>
      <c r="Z202">
        <v>0.79678000000000004</v>
      </c>
      <c r="AA202">
        <v>0.85314999999999996</v>
      </c>
      <c r="AB202">
        <v>0.87621000000000004</v>
      </c>
      <c r="AC202">
        <v>0.93035000000000001</v>
      </c>
      <c r="AD202">
        <v>0.94028999999999996</v>
      </c>
      <c r="AE202">
        <v>0.83686000000000005</v>
      </c>
      <c r="AF202">
        <v>0.99807000000000001</v>
      </c>
      <c r="AG202">
        <v>1.05688</v>
      </c>
      <c r="AH202">
        <v>1.1381600000000001</v>
      </c>
      <c r="AI202">
        <v>1.1824699999999999</v>
      </c>
      <c r="AJ202">
        <v>1.1993499999999999</v>
      </c>
      <c r="AK202">
        <v>1.03094</v>
      </c>
      <c r="AL202">
        <v>1.28298</v>
      </c>
      <c r="AM202">
        <v>1.3709800000000001</v>
      </c>
      <c r="AN202">
        <v>1.2019899999999999</v>
      </c>
      <c r="AO202">
        <v>1.42754</v>
      </c>
      <c r="AP202">
        <v>1.5268600000000001</v>
      </c>
      <c r="AQ202">
        <v>1.3442700000000001</v>
      </c>
      <c r="AR202">
        <v>1.57778</v>
      </c>
      <c r="AS202">
        <v>1.62466</v>
      </c>
      <c r="AT202">
        <v>1.6755199999999999</v>
      </c>
      <c r="AU202">
        <v>1.6515</v>
      </c>
      <c r="AV202">
        <v>1.55959</v>
      </c>
      <c r="AW202">
        <v>2.1604399999999999</v>
      </c>
      <c r="AX202">
        <v>2.1556299999999999</v>
      </c>
      <c r="AY202">
        <v>2.2001499999999998</v>
      </c>
      <c r="AZ202">
        <v>2.2435900000000002</v>
      </c>
      <c r="BA202">
        <v>2.2596699999999998</v>
      </c>
      <c r="BB202">
        <v>2.32775</v>
      </c>
      <c r="BC202">
        <v>2.3671799999999998</v>
      </c>
      <c r="BD202">
        <v>2.4271199999999999</v>
      </c>
      <c r="BE202">
        <v>2.3117700000000001</v>
      </c>
      <c r="BF202">
        <v>2.5364499999999999</v>
      </c>
      <c r="BG202">
        <v>2.51355</v>
      </c>
      <c r="BH202">
        <v>2.49525</v>
      </c>
      <c r="BI202">
        <v>2.4922499999999999</v>
      </c>
      <c r="BJ202">
        <v>2.4855900000000002</v>
      </c>
      <c r="BK202">
        <v>2.4612799999999999</v>
      </c>
      <c r="BL202">
        <v>2.4655399999999998</v>
      </c>
      <c r="BM202">
        <v>2.4605700000000001</v>
      </c>
      <c r="BN202">
        <v>2.45133</v>
      </c>
      <c r="BO202">
        <v>2.3890199999999999</v>
      </c>
      <c r="BP202">
        <v>2.45059</v>
      </c>
      <c r="BQ202">
        <v>2.4506000000000001</v>
      </c>
      <c r="BR202">
        <v>2.4338799999999998</v>
      </c>
      <c r="BS202">
        <v>2.4338899999999999</v>
      </c>
      <c r="BT202">
        <v>2.4446099999999999</v>
      </c>
      <c r="BW202">
        <v>2.4239199999999999</v>
      </c>
      <c r="BX202">
        <v>2.4239299999999999</v>
      </c>
      <c r="BY202">
        <v>2.4239299999999999</v>
      </c>
      <c r="BZ202">
        <v>2.4306800000000002</v>
      </c>
      <c r="CA202">
        <v>2.4256899999999999</v>
      </c>
      <c r="CB202">
        <v>2.4257</v>
      </c>
      <c r="CC202">
        <v>2.4147099999999999</v>
      </c>
      <c r="CD202">
        <v>2.4207200000000002</v>
      </c>
      <c r="CE202">
        <v>2.4207200000000002</v>
      </c>
      <c r="CF202">
        <v>2.4207299999999998</v>
      </c>
      <c r="CG202">
        <v>2.4157199999999999</v>
      </c>
      <c r="CH202">
        <v>2.4289999999999998</v>
      </c>
      <c r="CI202">
        <v>2.3947500000000002</v>
      </c>
      <c r="CJ202">
        <v>2.3947600000000002</v>
      </c>
      <c r="CK202">
        <v>2.3947699999999998</v>
      </c>
      <c r="CL202">
        <v>2.3947699999999998</v>
      </c>
      <c r="CM202">
        <v>2.3947799999999999</v>
      </c>
      <c r="CN202">
        <v>2.4015200000000001</v>
      </c>
      <c r="CO202">
        <v>2.3998499999999998</v>
      </c>
      <c r="CP202">
        <v>2.3998599999999999</v>
      </c>
      <c r="CQ202">
        <v>2.4015399999999998</v>
      </c>
      <c r="CS202">
        <v>2.40272</v>
      </c>
      <c r="CT202">
        <v>2.3994</v>
      </c>
      <c r="CU202">
        <v>2.4025799999999999</v>
      </c>
      <c r="CV202">
        <v>2.4025799999999999</v>
      </c>
      <c r="CW202">
        <v>2.3915899999999999</v>
      </c>
      <c r="CX202">
        <v>2.3915899999999999</v>
      </c>
      <c r="CY202">
        <v>2.3915999999999999</v>
      </c>
      <c r="CZ202">
        <v>2.38659</v>
      </c>
      <c r="DA202">
        <v>2.3866000000000001</v>
      </c>
      <c r="DB202">
        <v>2.3866000000000001</v>
      </c>
      <c r="DC202">
        <v>2.26613</v>
      </c>
    </row>
    <row r="203" spans="1:107" x14ac:dyDescent="0.25">
      <c r="A203">
        <f t="shared" si="3"/>
        <v>4</v>
      </c>
      <c r="B203" s="2">
        <v>42298</v>
      </c>
      <c r="H203">
        <v>0.46410000000000001</v>
      </c>
      <c r="I203">
        <v>0.47464000000000001</v>
      </c>
      <c r="J203">
        <v>0.45201000000000002</v>
      </c>
      <c r="K203">
        <v>0.51961999999999997</v>
      </c>
      <c r="L203">
        <v>0.52912999999999999</v>
      </c>
      <c r="M203">
        <v>0.53137999999999996</v>
      </c>
      <c r="N203">
        <v>0.49918000000000001</v>
      </c>
      <c r="O203">
        <v>0.59067999999999998</v>
      </c>
      <c r="P203">
        <v>0.61178999999999994</v>
      </c>
      <c r="Q203">
        <v>0.62587000000000004</v>
      </c>
      <c r="R203">
        <v>0.65854000000000001</v>
      </c>
      <c r="S203">
        <v>0.69513000000000003</v>
      </c>
      <c r="T203">
        <v>0.75256000000000001</v>
      </c>
      <c r="U203">
        <v>0.66344999999999998</v>
      </c>
      <c r="V203">
        <v>0.68566000000000005</v>
      </c>
      <c r="W203">
        <v>0.74641999999999997</v>
      </c>
      <c r="X203">
        <v>0.78166000000000002</v>
      </c>
      <c r="Y203">
        <v>0.84645999999999999</v>
      </c>
      <c r="Z203">
        <v>0.77292000000000005</v>
      </c>
      <c r="AA203">
        <v>0.84006000000000003</v>
      </c>
      <c r="AB203">
        <v>0.85821000000000003</v>
      </c>
      <c r="AC203">
        <v>0.86611000000000005</v>
      </c>
      <c r="AD203">
        <v>0.88553999999999999</v>
      </c>
      <c r="AE203">
        <v>0.77941000000000005</v>
      </c>
      <c r="AF203">
        <v>0.96943000000000001</v>
      </c>
      <c r="AG203">
        <v>0.99509999999999998</v>
      </c>
      <c r="AH203">
        <v>1.1043700000000001</v>
      </c>
      <c r="AI203">
        <v>1.1107800000000001</v>
      </c>
      <c r="AJ203">
        <v>1.1311500000000001</v>
      </c>
      <c r="AK203">
        <v>0.97967000000000004</v>
      </c>
      <c r="AL203">
        <v>1.20919</v>
      </c>
      <c r="AM203">
        <v>1.3044500000000001</v>
      </c>
      <c r="AN203">
        <v>1.1516999999999999</v>
      </c>
      <c r="AO203">
        <v>1.36103</v>
      </c>
      <c r="AP203">
        <v>1.43754</v>
      </c>
      <c r="AQ203">
        <v>1.26857</v>
      </c>
      <c r="AR203">
        <v>1.48512</v>
      </c>
      <c r="AS203">
        <v>1.54129</v>
      </c>
      <c r="AT203">
        <v>1.59233</v>
      </c>
      <c r="AU203">
        <v>1.58467</v>
      </c>
      <c r="AV203">
        <v>1.47634</v>
      </c>
      <c r="AW203">
        <v>2.0798000000000001</v>
      </c>
      <c r="AX203">
        <v>2.07193</v>
      </c>
      <c r="AY203">
        <v>2.12622</v>
      </c>
      <c r="AZ203">
        <v>2.1802299999999999</v>
      </c>
      <c r="BA203">
        <v>2.1812900000000002</v>
      </c>
      <c r="BB203">
        <v>2.2530299999999999</v>
      </c>
      <c r="BC203">
        <v>2.2926600000000001</v>
      </c>
      <c r="BD203">
        <v>2.3686099999999999</v>
      </c>
      <c r="BE203">
        <v>2.24939</v>
      </c>
      <c r="BF203">
        <v>2.45804</v>
      </c>
      <c r="BG203">
        <v>2.44306</v>
      </c>
      <c r="BH203">
        <v>2.4380700000000002</v>
      </c>
      <c r="BI203">
        <v>2.4211200000000002</v>
      </c>
      <c r="BJ203">
        <v>2.4297300000000002</v>
      </c>
      <c r="BK203">
        <v>2.4214699999999998</v>
      </c>
      <c r="BL203">
        <v>2.4165100000000002</v>
      </c>
      <c r="BM203">
        <v>2.39473</v>
      </c>
      <c r="BN203">
        <v>2.3897499999999998</v>
      </c>
      <c r="BO203">
        <v>2.3290899999999999</v>
      </c>
      <c r="BP203">
        <v>2.4064899999999998</v>
      </c>
      <c r="BQ203">
        <v>2.4064999999999999</v>
      </c>
      <c r="BR203">
        <v>2.4039799999999998</v>
      </c>
      <c r="BS203">
        <v>2.4039899999999998</v>
      </c>
      <c r="BT203">
        <v>2.4014700000000002</v>
      </c>
      <c r="BW203">
        <v>2.3964500000000002</v>
      </c>
      <c r="BX203">
        <v>2.3940199999999998</v>
      </c>
      <c r="BY203">
        <v>2.3915199999999999</v>
      </c>
      <c r="BZ203">
        <v>2.3889999999999998</v>
      </c>
      <c r="CA203">
        <v>2.3840599999999998</v>
      </c>
      <c r="CB203">
        <v>2.3840599999999998</v>
      </c>
      <c r="CC203">
        <v>2.3791199999999999</v>
      </c>
      <c r="CD203">
        <v>2.3765999999999998</v>
      </c>
      <c r="CE203">
        <v>2.3716400000000002</v>
      </c>
      <c r="CF203">
        <v>2.3716499999999998</v>
      </c>
      <c r="CG203">
        <v>2.3691300000000002</v>
      </c>
      <c r="CH203">
        <v>2.3666999999999998</v>
      </c>
      <c r="CI203">
        <v>2.3641800000000002</v>
      </c>
      <c r="CJ203">
        <v>2.3641800000000002</v>
      </c>
      <c r="CK203">
        <v>2.3634599999999999</v>
      </c>
      <c r="CL203">
        <v>2.3634599999999999</v>
      </c>
      <c r="CM203">
        <v>2.36347</v>
      </c>
      <c r="CN203">
        <v>2.35853</v>
      </c>
      <c r="CO203">
        <v>2.3572700000000002</v>
      </c>
      <c r="CP203">
        <v>2.3572700000000002</v>
      </c>
      <c r="CQ203">
        <v>2.3535699999999999</v>
      </c>
      <c r="CS203">
        <v>2.3369300000000002</v>
      </c>
      <c r="CT203">
        <v>2.3369399999999998</v>
      </c>
      <c r="CU203">
        <v>2.3369499999999999</v>
      </c>
      <c r="CV203">
        <v>2.3369499999999999</v>
      </c>
      <c r="CW203">
        <v>2.3369599999999999</v>
      </c>
      <c r="CX203">
        <v>2.33697</v>
      </c>
      <c r="CY203">
        <v>2.33697</v>
      </c>
      <c r="CZ203">
        <v>2.3369800000000001</v>
      </c>
      <c r="DA203">
        <v>2.3369900000000001</v>
      </c>
      <c r="DB203">
        <v>2.3370000000000002</v>
      </c>
      <c r="DC203">
        <v>2.21069</v>
      </c>
    </row>
    <row r="204" spans="1:107" x14ac:dyDescent="0.25">
      <c r="A204">
        <f t="shared" si="3"/>
        <v>5</v>
      </c>
      <c r="B204" s="2">
        <v>42299</v>
      </c>
      <c r="H204">
        <v>0.43769999999999998</v>
      </c>
      <c r="I204">
        <v>0.46618999999999999</v>
      </c>
      <c r="J204">
        <v>0.45186999999999999</v>
      </c>
      <c r="K204">
        <v>0.51075000000000004</v>
      </c>
      <c r="L204">
        <v>0.51834999999999998</v>
      </c>
      <c r="M204">
        <v>0.53134999999999999</v>
      </c>
      <c r="N204">
        <v>0.49652000000000002</v>
      </c>
      <c r="O204">
        <v>0.58526</v>
      </c>
      <c r="P204">
        <v>0.60460999999999998</v>
      </c>
      <c r="Q204">
        <v>0.61177000000000004</v>
      </c>
      <c r="R204">
        <v>0.64512999999999998</v>
      </c>
      <c r="S204">
        <v>0.68222000000000005</v>
      </c>
      <c r="T204">
        <v>0.73950000000000005</v>
      </c>
      <c r="U204">
        <v>0.64988000000000001</v>
      </c>
      <c r="V204">
        <v>0.67305000000000004</v>
      </c>
      <c r="W204">
        <v>0.73138999999999998</v>
      </c>
      <c r="X204">
        <v>0.77825999999999995</v>
      </c>
      <c r="Y204">
        <v>0.82643999999999995</v>
      </c>
      <c r="Z204">
        <v>0.75299000000000005</v>
      </c>
      <c r="AA204">
        <v>0.81894</v>
      </c>
      <c r="AB204">
        <v>0.82655999999999996</v>
      </c>
      <c r="AC204">
        <v>0.86509000000000003</v>
      </c>
      <c r="AD204">
        <v>0.85168999999999995</v>
      </c>
      <c r="AE204">
        <v>0.75880999999999998</v>
      </c>
      <c r="AF204">
        <v>0.93118999999999996</v>
      </c>
      <c r="AG204">
        <v>0.97719999999999996</v>
      </c>
      <c r="AH204">
        <v>1.0772699999999999</v>
      </c>
      <c r="AI204">
        <v>1.0954200000000001</v>
      </c>
      <c r="AJ204">
        <v>1.12181</v>
      </c>
      <c r="AK204">
        <v>0.95077999999999996</v>
      </c>
      <c r="AL204">
        <v>1.1940999999999999</v>
      </c>
      <c r="AM204">
        <v>1.2887900000000001</v>
      </c>
      <c r="AN204">
        <v>1.123</v>
      </c>
      <c r="AO204">
        <v>1.3453599999999999</v>
      </c>
      <c r="AP204">
        <v>1.4323900000000001</v>
      </c>
      <c r="AQ204">
        <v>1.24549</v>
      </c>
      <c r="AR204">
        <v>1.4791399999999999</v>
      </c>
      <c r="AS204">
        <v>1.52057</v>
      </c>
      <c r="AT204">
        <v>1.5764199999999999</v>
      </c>
      <c r="AU204">
        <v>1.54976</v>
      </c>
      <c r="AV204">
        <v>1.4702200000000001</v>
      </c>
      <c r="AW204">
        <v>2.0712999999999999</v>
      </c>
      <c r="AX204">
        <v>2.0656500000000002</v>
      </c>
      <c r="AY204">
        <v>2.1113</v>
      </c>
      <c r="AZ204">
        <v>2.15524</v>
      </c>
      <c r="BA204">
        <v>2.17232</v>
      </c>
      <c r="BB204">
        <v>2.25136</v>
      </c>
      <c r="BC204">
        <v>2.28586</v>
      </c>
      <c r="BD204">
        <v>2.3521399999999999</v>
      </c>
      <c r="BE204">
        <v>2.2331599999999998</v>
      </c>
      <c r="BF204">
        <v>2.4635699999999998</v>
      </c>
      <c r="BG204">
        <v>2.44021</v>
      </c>
      <c r="BH204">
        <v>2.4161600000000001</v>
      </c>
      <c r="BI204">
        <v>2.4189400000000001</v>
      </c>
      <c r="BJ204">
        <v>2.41229</v>
      </c>
      <c r="BK204">
        <v>2.3893200000000001</v>
      </c>
      <c r="BL204">
        <v>2.3980000000000001</v>
      </c>
      <c r="BM204">
        <v>2.3913700000000002</v>
      </c>
      <c r="BN204">
        <v>2.3793899999999999</v>
      </c>
      <c r="BO204">
        <v>2.3127599999999999</v>
      </c>
      <c r="BP204">
        <v>2.36666</v>
      </c>
      <c r="BQ204">
        <v>2.3666800000000001</v>
      </c>
      <c r="BR204">
        <v>2.3616999999999999</v>
      </c>
      <c r="BS204">
        <v>2.36171</v>
      </c>
      <c r="BT204">
        <v>2.3738299999999999</v>
      </c>
      <c r="BW204">
        <v>2.3517600000000001</v>
      </c>
      <c r="BX204">
        <v>2.3517800000000002</v>
      </c>
      <c r="BY204">
        <v>2.3517899999999998</v>
      </c>
      <c r="BZ204">
        <v>2.3468</v>
      </c>
      <c r="CA204">
        <v>2.3529599999999999</v>
      </c>
      <c r="CB204">
        <v>2.35297</v>
      </c>
      <c r="CC204">
        <v>2.3439700000000001</v>
      </c>
      <c r="CD204">
        <v>2.3479999999999999</v>
      </c>
      <c r="CE204">
        <v>2.3480099999999999</v>
      </c>
      <c r="CF204">
        <v>2.34802</v>
      </c>
      <c r="CG204">
        <v>2.3430200000000001</v>
      </c>
      <c r="CH204">
        <v>2.3430300000000002</v>
      </c>
      <c r="CI204">
        <v>2.3240500000000002</v>
      </c>
      <c r="CJ204">
        <v>2.3240599999999998</v>
      </c>
      <c r="CK204">
        <v>2.33846</v>
      </c>
      <c r="CL204">
        <v>2.33847</v>
      </c>
      <c r="CM204">
        <v>2.3384800000000001</v>
      </c>
      <c r="CN204">
        <v>2.3297099999999999</v>
      </c>
      <c r="CO204">
        <v>2.3280500000000002</v>
      </c>
      <c r="CP204">
        <v>2.3280599999999998</v>
      </c>
      <c r="CQ204">
        <v>2.3289800000000001</v>
      </c>
      <c r="CS204">
        <v>2.3296800000000002</v>
      </c>
      <c r="CT204">
        <v>2.3263500000000001</v>
      </c>
      <c r="CU204">
        <v>2.3263600000000002</v>
      </c>
      <c r="CV204">
        <v>2.3263699999999998</v>
      </c>
      <c r="CW204">
        <v>2.3190400000000002</v>
      </c>
      <c r="CX204">
        <v>2.3190499999999998</v>
      </c>
      <c r="CY204">
        <v>2.3190499999999998</v>
      </c>
      <c r="CZ204">
        <v>2.3140499999999999</v>
      </c>
      <c r="DA204">
        <v>2.3140499999999999</v>
      </c>
      <c r="DB204">
        <v>2.31406</v>
      </c>
      <c r="DC204">
        <v>2.19312</v>
      </c>
    </row>
    <row r="205" spans="1:107" x14ac:dyDescent="0.25">
      <c r="A205">
        <f t="shared" si="3"/>
        <v>6</v>
      </c>
      <c r="B205" s="2">
        <v>42300</v>
      </c>
      <c r="H205">
        <v>0.44375999999999999</v>
      </c>
      <c r="I205">
        <v>0.45973000000000003</v>
      </c>
      <c r="J205">
        <v>0.44691999999999998</v>
      </c>
      <c r="K205">
        <v>0.51280000000000003</v>
      </c>
      <c r="L205">
        <v>0.52166999999999997</v>
      </c>
      <c r="M205">
        <v>0.51558000000000004</v>
      </c>
      <c r="N205">
        <v>0.48847000000000002</v>
      </c>
      <c r="O205">
        <v>0.60433999999999999</v>
      </c>
      <c r="P205">
        <v>0.60823000000000005</v>
      </c>
      <c r="Q205">
        <v>0.59965999999999997</v>
      </c>
      <c r="R205">
        <v>0.64941000000000004</v>
      </c>
      <c r="S205">
        <v>0.68818999999999997</v>
      </c>
      <c r="T205">
        <v>0.74275999999999998</v>
      </c>
      <c r="U205">
        <v>0.66102000000000005</v>
      </c>
      <c r="V205">
        <v>0.68364000000000003</v>
      </c>
      <c r="W205">
        <v>0.74158000000000002</v>
      </c>
      <c r="X205">
        <v>0.78844999999999998</v>
      </c>
      <c r="Y205">
        <v>0.84394999999999998</v>
      </c>
      <c r="Z205">
        <v>0.77029999999999998</v>
      </c>
      <c r="AA205">
        <v>0.83550000000000002</v>
      </c>
      <c r="AB205">
        <v>0.84399999999999997</v>
      </c>
      <c r="AC205">
        <v>0.88878999999999997</v>
      </c>
      <c r="AD205">
        <v>0.87600999999999996</v>
      </c>
      <c r="AE205">
        <v>0.78042</v>
      </c>
      <c r="AF205">
        <v>0.96941999999999995</v>
      </c>
      <c r="AG205">
        <v>1.0047299999999999</v>
      </c>
      <c r="AH205">
        <v>1.0915299999999999</v>
      </c>
      <c r="AI205">
        <v>1.1211199999999999</v>
      </c>
      <c r="AJ205">
        <v>1.1454200000000001</v>
      </c>
      <c r="AK205">
        <v>0.98353000000000002</v>
      </c>
      <c r="AL205">
        <v>1.2256400000000001</v>
      </c>
      <c r="AM205">
        <v>1.3304100000000001</v>
      </c>
      <c r="AN205">
        <v>1.1611499999999999</v>
      </c>
      <c r="AO205">
        <v>1.3869899999999999</v>
      </c>
      <c r="AP205">
        <v>1.49265</v>
      </c>
      <c r="AQ205">
        <v>1.30524</v>
      </c>
      <c r="AR205">
        <v>1.5351699999999999</v>
      </c>
      <c r="AS205">
        <v>1.58168</v>
      </c>
      <c r="AT205">
        <v>1.63273</v>
      </c>
      <c r="AU205">
        <v>1.6080399999999999</v>
      </c>
      <c r="AV205">
        <v>1.52702</v>
      </c>
      <c r="AW205">
        <v>2.12053</v>
      </c>
      <c r="AX205">
        <v>2.1203400000000001</v>
      </c>
      <c r="AY205">
        <v>2.1650100000000001</v>
      </c>
      <c r="AZ205">
        <v>2.2081900000000001</v>
      </c>
      <c r="BA205">
        <v>2.22478</v>
      </c>
      <c r="BB205">
        <v>2.2952900000000001</v>
      </c>
      <c r="BC205">
        <v>2.34795</v>
      </c>
      <c r="BD205">
        <v>2.4003399999999999</v>
      </c>
      <c r="BE205">
        <v>2.2848799999999998</v>
      </c>
      <c r="BF205">
        <v>2.49329</v>
      </c>
      <c r="BG205">
        <v>2.4835099999999999</v>
      </c>
      <c r="BH205">
        <v>2.4654600000000002</v>
      </c>
      <c r="BI205">
        <v>2.4563799999999998</v>
      </c>
      <c r="BJ205">
        <v>2.4555899999999999</v>
      </c>
      <c r="BK205">
        <v>2.4319600000000001</v>
      </c>
      <c r="BL205">
        <v>2.4349400000000001</v>
      </c>
      <c r="BM205">
        <v>2.42998</v>
      </c>
      <c r="BN205">
        <v>2.42204</v>
      </c>
      <c r="BO205">
        <v>2.3553999999999999</v>
      </c>
      <c r="BP205">
        <v>2.4101400000000002</v>
      </c>
      <c r="BQ205">
        <v>2.4101499999999998</v>
      </c>
      <c r="BR205">
        <v>2.40517</v>
      </c>
      <c r="BS205">
        <v>2.4051900000000002</v>
      </c>
      <c r="BT205">
        <v>2.4160699999999999</v>
      </c>
      <c r="BW205">
        <v>2.3952399999999998</v>
      </c>
      <c r="BX205">
        <v>2.3952599999999999</v>
      </c>
      <c r="BY205">
        <v>2.39527</v>
      </c>
      <c r="BZ205">
        <v>2.3902800000000002</v>
      </c>
      <c r="CA205">
        <v>2.3951899999999999</v>
      </c>
      <c r="CB205">
        <v>2.3952</v>
      </c>
      <c r="CC205">
        <v>2.3862100000000002</v>
      </c>
      <c r="CD205">
        <v>2.3902199999999998</v>
      </c>
      <c r="CE205">
        <v>2.3902399999999999</v>
      </c>
      <c r="CF205">
        <v>2.39025</v>
      </c>
      <c r="CG205">
        <v>2.3852500000000001</v>
      </c>
      <c r="CH205">
        <v>2.3852600000000002</v>
      </c>
      <c r="CI205">
        <v>2.3662899999999998</v>
      </c>
      <c r="CJ205">
        <v>2.3662999999999998</v>
      </c>
      <c r="CK205">
        <v>2.3756400000000002</v>
      </c>
      <c r="CL205">
        <v>2.36632</v>
      </c>
      <c r="CM205">
        <v>2.36633</v>
      </c>
      <c r="CN205">
        <v>2.37236</v>
      </c>
      <c r="CO205">
        <v>2.3754400000000002</v>
      </c>
      <c r="CP205">
        <v>2.3754499999999998</v>
      </c>
      <c r="CQ205">
        <v>2.3771200000000001</v>
      </c>
      <c r="CS205">
        <v>2.3738199999999998</v>
      </c>
      <c r="CT205">
        <v>2.3704999999999998</v>
      </c>
      <c r="CU205">
        <v>2.3685</v>
      </c>
      <c r="CV205">
        <v>2.3685100000000001</v>
      </c>
      <c r="CW205">
        <v>2.3635199999999998</v>
      </c>
      <c r="CX205">
        <v>2.3635299999999999</v>
      </c>
      <c r="CY205">
        <v>2.3635299999999999</v>
      </c>
      <c r="CZ205">
        <v>2.35853</v>
      </c>
      <c r="DA205">
        <v>2.3585400000000001</v>
      </c>
      <c r="DB205">
        <v>2.3585400000000001</v>
      </c>
      <c r="DC205">
        <v>2.23726</v>
      </c>
    </row>
    <row r="206" spans="1:107" x14ac:dyDescent="0.25">
      <c r="A206">
        <f t="shared" si="3"/>
        <v>2</v>
      </c>
      <c r="B206" s="2">
        <v>42303</v>
      </c>
      <c r="H206">
        <v>0.46357999999999999</v>
      </c>
      <c r="I206">
        <v>0.48172999999999999</v>
      </c>
      <c r="J206">
        <v>0.45390000000000003</v>
      </c>
      <c r="K206">
        <v>0.51568000000000003</v>
      </c>
      <c r="L206">
        <v>0.52017999999999998</v>
      </c>
      <c r="M206">
        <v>0.51988999999999996</v>
      </c>
      <c r="N206">
        <v>0.49163000000000001</v>
      </c>
      <c r="O206">
        <v>0.60636000000000001</v>
      </c>
      <c r="P206">
        <v>0.60624</v>
      </c>
      <c r="Q206">
        <v>0.60624</v>
      </c>
      <c r="R206">
        <v>0.64007000000000003</v>
      </c>
      <c r="S206">
        <v>0.67823</v>
      </c>
      <c r="T206">
        <v>0.73363999999999996</v>
      </c>
      <c r="U206">
        <v>0.64661000000000002</v>
      </c>
      <c r="V206">
        <v>0.66978000000000004</v>
      </c>
      <c r="W206">
        <v>0.72882999999999998</v>
      </c>
      <c r="X206">
        <v>0.77503999999999995</v>
      </c>
      <c r="Y206">
        <v>0.82337000000000005</v>
      </c>
      <c r="Z206">
        <v>0.75197999999999998</v>
      </c>
      <c r="AA206">
        <v>0.81601000000000001</v>
      </c>
      <c r="AB206">
        <v>0.83516999999999997</v>
      </c>
      <c r="AC206">
        <v>0.83740000000000003</v>
      </c>
      <c r="AD206">
        <v>0.83621000000000001</v>
      </c>
      <c r="AE206">
        <v>0.74351</v>
      </c>
      <c r="AF206">
        <v>0.92834000000000005</v>
      </c>
      <c r="AG206">
        <v>0.95930000000000004</v>
      </c>
      <c r="AH206">
        <v>1.04301</v>
      </c>
      <c r="AI206">
        <v>1.08368</v>
      </c>
      <c r="AJ206">
        <v>1.0974699999999999</v>
      </c>
      <c r="AK206">
        <v>0.93703999999999998</v>
      </c>
      <c r="AL206">
        <v>1.1793</v>
      </c>
      <c r="AM206">
        <v>1.2815399999999999</v>
      </c>
      <c r="AN206">
        <v>1.1140600000000001</v>
      </c>
      <c r="AO206">
        <v>1.3380799999999999</v>
      </c>
      <c r="AP206">
        <v>1.42828</v>
      </c>
      <c r="AQ206">
        <v>1.2451399999999999</v>
      </c>
      <c r="AR206">
        <v>1.4743299999999999</v>
      </c>
      <c r="AS206">
        <v>1.51894</v>
      </c>
      <c r="AT206">
        <v>1.56996</v>
      </c>
      <c r="AU206">
        <v>1.54582</v>
      </c>
      <c r="AV206">
        <v>1.46783</v>
      </c>
      <c r="AW206">
        <v>2.0604399999999998</v>
      </c>
      <c r="AX206">
        <v>2.05958</v>
      </c>
      <c r="AY206">
        <v>2.10432</v>
      </c>
      <c r="AZ206">
        <v>2.1577000000000002</v>
      </c>
      <c r="BA206">
        <v>2.1653899999999999</v>
      </c>
      <c r="BB206">
        <v>2.2377099999999999</v>
      </c>
      <c r="BC206">
        <v>2.27915</v>
      </c>
      <c r="BD206">
        <v>2.3477399999999999</v>
      </c>
      <c r="BE206">
        <v>2.2321800000000001</v>
      </c>
      <c r="BF206">
        <v>2.4350999999999998</v>
      </c>
      <c r="BG206">
        <v>2.4284699999999999</v>
      </c>
      <c r="BH206">
        <v>2.4014199999999999</v>
      </c>
      <c r="BI206">
        <v>2.40482</v>
      </c>
      <c r="BJ206">
        <v>2.3981599999999998</v>
      </c>
      <c r="BK206">
        <v>2.3758499999999998</v>
      </c>
      <c r="BL206">
        <v>2.3841999999999999</v>
      </c>
      <c r="BM206">
        <v>2.3742399999999999</v>
      </c>
      <c r="BN206">
        <v>2.3658899999999998</v>
      </c>
      <c r="BO206">
        <v>2.3009900000000001</v>
      </c>
      <c r="BP206">
        <v>2.3541799999999999</v>
      </c>
      <c r="BQ206">
        <v>2.35419</v>
      </c>
      <c r="BR206">
        <v>2.3492000000000002</v>
      </c>
      <c r="BS206">
        <v>2.3492099999999998</v>
      </c>
      <c r="BT206">
        <v>2.3592900000000001</v>
      </c>
      <c r="BW206">
        <v>2.3392400000000002</v>
      </c>
      <c r="BX206">
        <v>2.3392499999999998</v>
      </c>
      <c r="BY206">
        <v>2.3392599999999999</v>
      </c>
      <c r="BZ206">
        <v>2.33426</v>
      </c>
      <c r="CA206">
        <v>2.3393700000000002</v>
      </c>
      <c r="CB206">
        <v>2.3393700000000002</v>
      </c>
      <c r="CC206">
        <v>2.32938</v>
      </c>
      <c r="CD206">
        <v>2.3343799999999999</v>
      </c>
      <c r="CE206">
        <v>2.33439</v>
      </c>
      <c r="CF206">
        <v>2.3344</v>
      </c>
      <c r="CG206">
        <v>2.3293900000000001</v>
      </c>
      <c r="CH206">
        <v>2.3343799999999999</v>
      </c>
      <c r="CI206">
        <v>2.32558</v>
      </c>
      <c r="CJ206">
        <v>2.32559</v>
      </c>
      <c r="CK206">
        <v>2.3248500000000001</v>
      </c>
      <c r="CL206">
        <v>2.3248600000000001</v>
      </c>
      <c r="CM206">
        <v>2.3248600000000001</v>
      </c>
      <c r="CN206">
        <v>2.31989</v>
      </c>
      <c r="CO206">
        <v>2.3233600000000001</v>
      </c>
      <c r="CP206">
        <v>2.3233600000000001</v>
      </c>
      <c r="CQ206">
        <v>2.3153899999999998</v>
      </c>
      <c r="CS206">
        <v>2.3167300000000002</v>
      </c>
      <c r="CT206">
        <v>2.3104100000000001</v>
      </c>
      <c r="CU206">
        <v>2.3104200000000001</v>
      </c>
      <c r="CV206">
        <v>2.3104200000000001</v>
      </c>
      <c r="CW206">
        <v>2.3054199999999998</v>
      </c>
      <c r="CX206">
        <v>2.3054299999999999</v>
      </c>
      <c r="CY206">
        <v>2.3054299999999999</v>
      </c>
      <c r="CZ206">
        <v>2.3004199999999999</v>
      </c>
      <c r="DA206">
        <v>2.30043</v>
      </c>
      <c r="DB206">
        <v>2.30043</v>
      </c>
      <c r="DC206">
        <v>2.1819500000000001</v>
      </c>
    </row>
    <row r="207" spans="1:107" x14ac:dyDescent="0.25">
      <c r="A207">
        <f t="shared" si="3"/>
        <v>3</v>
      </c>
      <c r="B207" s="2">
        <v>42304</v>
      </c>
      <c r="H207">
        <v>0.45107000000000003</v>
      </c>
      <c r="I207">
        <v>0.47702</v>
      </c>
      <c r="J207">
        <v>0.45380999999999999</v>
      </c>
      <c r="K207">
        <v>0.50843000000000005</v>
      </c>
      <c r="L207">
        <v>0.50819999999999999</v>
      </c>
      <c r="M207">
        <v>0.51987000000000005</v>
      </c>
      <c r="N207">
        <v>0.49117</v>
      </c>
      <c r="O207">
        <v>0.58150999999999997</v>
      </c>
      <c r="P207">
        <v>0.59606000000000003</v>
      </c>
      <c r="Q207">
        <v>0.58279999999999998</v>
      </c>
      <c r="R207">
        <v>0.60584000000000005</v>
      </c>
      <c r="S207">
        <v>0.65283999999999998</v>
      </c>
      <c r="T207">
        <v>0.70957999999999999</v>
      </c>
      <c r="U207">
        <v>0.61729999999999996</v>
      </c>
      <c r="V207">
        <v>0.63300000000000001</v>
      </c>
      <c r="W207">
        <v>0.70040999999999998</v>
      </c>
      <c r="X207">
        <v>0.74590000000000001</v>
      </c>
      <c r="Y207">
        <v>0.79386999999999996</v>
      </c>
      <c r="Z207">
        <v>0.72228999999999999</v>
      </c>
      <c r="AA207">
        <v>0.78732999999999997</v>
      </c>
      <c r="AB207">
        <v>0.80657000000000001</v>
      </c>
      <c r="AC207">
        <v>0.80654999999999999</v>
      </c>
      <c r="AD207">
        <v>0.81645000000000001</v>
      </c>
      <c r="AE207">
        <v>0.70918000000000003</v>
      </c>
      <c r="AF207">
        <v>0.89300999999999997</v>
      </c>
      <c r="AG207">
        <v>0.92312000000000005</v>
      </c>
      <c r="AH207">
        <v>1.0035499999999999</v>
      </c>
      <c r="AI207">
        <v>1.0337000000000001</v>
      </c>
      <c r="AJ207">
        <v>1.0581400000000001</v>
      </c>
      <c r="AK207">
        <v>0.89549000000000001</v>
      </c>
      <c r="AL207">
        <v>1.1491</v>
      </c>
      <c r="AM207">
        <v>1.24518</v>
      </c>
      <c r="AN207">
        <v>1.0766899999999999</v>
      </c>
      <c r="AO207">
        <v>1.30172</v>
      </c>
      <c r="AP207">
        <v>1.40629</v>
      </c>
      <c r="AQ207">
        <v>1.2194100000000001</v>
      </c>
      <c r="AR207">
        <v>1.4530099999999999</v>
      </c>
      <c r="AS207">
        <v>1.4947600000000001</v>
      </c>
      <c r="AT207">
        <v>1.5457799999999999</v>
      </c>
      <c r="AU207">
        <v>1.5295700000000001</v>
      </c>
      <c r="AV207">
        <v>1.4404999999999999</v>
      </c>
      <c r="AW207">
        <v>2.03552</v>
      </c>
      <c r="AX207">
        <v>2.0348899999999999</v>
      </c>
      <c r="AY207">
        <v>2.08283</v>
      </c>
      <c r="AZ207">
        <v>2.1286299999999998</v>
      </c>
      <c r="BA207">
        <v>2.1413500000000001</v>
      </c>
      <c r="BB207">
        <v>2.2193299999999998</v>
      </c>
      <c r="BC207">
        <v>2.2450800000000002</v>
      </c>
      <c r="BD207">
        <v>2.3296700000000001</v>
      </c>
      <c r="BE207">
        <v>2.2183700000000002</v>
      </c>
      <c r="BF207">
        <v>2.4241999999999999</v>
      </c>
      <c r="BG207">
        <v>2.4165800000000002</v>
      </c>
      <c r="BH207">
        <v>2.3905799999999999</v>
      </c>
      <c r="BI207">
        <v>2.3936000000000002</v>
      </c>
      <c r="BJ207">
        <v>2.3869400000000001</v>
      </c>
      <c r="BK207">
        <v>2.3652700000000002</v>
      </c>
      <c r="BL207">
        <v>2.37297</v>
      </c>
      <c r="BM207">
        <v>2.3633099999999998</v>
      </c>
      <c r="BN207">
        <v>2.3553199999999999</v>
      </c>
      <c r="BO207">
        <v>2.29135</v>
      </c>
      <c r="BP207">
        <v>2.3533400000000002</v>
      </c>
      <c r="BQ207">
        <v>2.3533499999999998</v>
      </c>
      <c r="BR207">
        <v>2.33934</v>
      </c>
      <c r="BS207">
        <v>2.33935</v>
      </c>
      <c r="BT207">
        <v>2.3343500000000001</v>
      </c>
      <c r="BW207">
        <v>2.32938</v>
      </c>
      <c r="BX207">
        <v>2.32938</v>
      </c>
      <c r="BY207">
        <v>2.3293900000000001</v>
      </c>
      <c r="BZ207">
        <v>2.3334199999999998</v>
      </c>
      <c r="CA207">
        <v>2.32843</v>
      </c>
      <c r="CB207">
        <v>2.3284400000000001</v>
      </c>
      <c r="CC207">
        <v>2.3184499999999999</v>
      </c>
      <c r="CD207">
        <v>2.3134600000000001</v>
      </c>
      <c r="CE207">
        <v>2.3234599999999999</v>
      </c>
      <c r="CF207">
        <v>2.3234599999999999</v>
      </c>
      <c r="CG207">
        <v>2.3184499999999999</v>
      </c>
      <c r="CH207">
        <v>2.32315</v>
      </c>
      <c r="CI207">
        <v>2.3147000000000002</v>
      </c>
      <c r="CJ207">
        <v>2.3147000000000002</v>
      </c>
      <c r="CK207">
        <v>2.3139599999999998</v>
      </c>
      <c r="CL207">
        <v>2.3139699999999999</v>
      </c>
      <c r="CM207">
        <v>2.3139699999999999</v>
      </c>
      <c r="CN207">
        <v>2.3090099999999998</v>
      </c>
      <c r="CO207">
        <v>2.31284</v>
      </c>
      <c r="CP207">
        <v>2.3128500000000001</v>
      </c>
      <c r="CQ207">
        <v>2.3045499999999999</v>
      </c>
      <c r="CS207">
        <v>2.3095599999999998</v>
      </c>
      <c r="CT207">
        <v>2.2995700000000001</v>
      </c>
      <c r="CU207">
        <v>2.2995800000000002</v>
      </c>
      <c r="CV207">
        <v>2.2995800000000002</v>
      </c>
      <c r="CW207">
        <v>2.2945799999999998</v>
      </c>
      <c r="CX207">
        <v>2.2945799999999998</v>
      </c>
      <c r="CY207">
        <v>2.2945899999999999</v>
      </c>
      <c r="CZ207">
        <v>2.2895799999999999</v>
      </c>
      <c r="DA207">
        <v>2.2895799999999999</v>
      </c>
      <c r="DB207">
        <v>2.2895799999999999</v>
      </c>
      <c r="DC207">
        <v>2.16961</v>
      </c>
    </row>
    <row r="208" spans="1:107" x14ac:dyDescent="0.25">
      <c r="A208">
        <f t="shared" si="3"/>
        <v>4</v>
      </c>
      <c r="B208" s="2">
        <v>42305</v>
      </c>
      <c r="H208">
        <v>0.44697999999999999</v>
      </c>
      <c r="I208">
        <v>0.45779999999999998</v>
      </c>
      <c r="J208">
        <v>0.42699999999999999</v>
      </c>
      <c r="K208">
        <v>0.51944000000000001</v>
      </c>
      <c r="L208">
        <v>0.52930999999999995</v>
      </c>
      <c r="M208">
        <v>0.51641999999999999</v>
      </c>
      <c r="N208">
        <v>0.49457000000000001</v>
      </c>
      <c r="O208">
        <v>0.64136000000000004</v>
      </c>
      <c r="P208">
        <v>0.62214000000000003</v>
      </c>
      <c r="Q208">
        <v>0.62231999999999998</v>
      </c>
      <c r="R208">
        <v>0.65630999999999995</v>
      </c>
      <c r="S208">
        <v>0.69520000000000004</v>
      </c>
      <c r="T208">
        <v>0.75078</v>
      </c>
      <c r="U208">
        <v>0.66415999999999997</v>
      </c>
      <c r="V208">
        <v>0.68694999999999995</v>
      </c>
      <c r="W208">
        <v>0.74546000000000001</v>
      </c>
      <c r="X208">
        <v>0.79193000000000002</v>
      </c>
      <c r="Y208">
        <v>0.84347000000000005</v>
      </c>
      <c r="Z208">
        <v>0.77000999999999997</v>
      </c>
      <c r="AA208">
        <v>0.83596999999999999</v>
      </c>
      <c r="AB208">
        <v>0.85399000000000003</v>
      </c>
      <c r="AC208">
        <v>0.86129999999999995</v>
      </c>
      <c r="AD208">
        <v>0.85934999999999995</v>
      </c>
      <c r="AE208">
        <v>0.76641000000000004</v>
      </c>
      <c r="AF208">
        <v>0.95035000000000003</v>
      </c>
      <c r="AG208">
        <v>0.98712</v>
      </c>
      <c r="AH208">
        <v>1.0807500000000001</v>
      </c>
      <c r="AI208">
        <v>1.0925800000000001</v>
      </c>
      <c r="AJ208">
        <v>1.12418</v>
      </c>
      <c r="AK208">
        <v>0.95376000000000005</v>
      </c>
      <c r="AL208">
        <v>1.2078100000000001</v>
      </c>
      <c r="AM208">
        <v>1.2994300000000001</v>
      </c>
      <c r="AN208">
        <v>1.1331800000000001</v>
      </c>
      <c r="AO208">
        <v>1.3560099999999999</v>
      </c>
      <c r="AP208">
        <v>1.46255</v>
      </c>
      <c r="AQ208">
        <v>1.27478</v>
      </c>
      <c r="AR208">
        <v>1.5093000000000001</v>
      </c>
      <c r="AS208">
        <v>1.5518400000000001</v>
      </c>
      <c r="AT208">
        <v>1.6028899999999999</v>
      </c>
      <c r="AU208">
        <v>1.5865</v>
      </c>
      <c r="AV208">
        <v>1.49533</v>
      </c>
      <c r="AW208">
        <v>2.0897899999999998</v>
      </c>
      <c r="AX208">
        <v>2.0890300000000002</v>
      </c>
      <c r="AY208">
        <v>2.13835</v>
      </c>
      <c r="AZ208">
        <v>2.1846000000000001</v>
      </c>
      <c r="BA208">
        <v>2.2042000000000002</v>
      </c>
      <c r="BB208">
        <v>2.25597</v>
      </c>
      <c r="BC208">
        <v>2.29474</v>
      </c>
      <c r="BD208">
        <v>2.3704100000000001</v>
      </c>
      <c r="BE208">
        <v>2.2581899999999999</v>
      </c>
      <c r="BF208">
        <v>2.45716</v>
      </c>
      <c r="BG208">
        <v>2.4498700000000002</v>
      </c>
      <c r="BH208">
        <v>2.4279700000000002</v>
      </c>
      <c r="BI208">
        <v>2.42658</v>
      </c>
      <c r="BJ208">
        <v>2.4199299999999999</v>
      </c>
      <c r="BK208">
        <v>2.3972899999999999</v>
      </c>
      <c r="BL208">
        <v>2.4009399999999999</v>
      </c>
      <c r="BM208">
        <v>2.3959700000000002</v>
      </c>
      <c r="BN208">
        <v>2.3873600000000001</v>
      </c>
      <c r="BO208">
        <v>2.3225899999999999</v>
      </c>
      <c r="BP208">
        <v>2.3860100000000002</v>
      </c>
      <c r="BQ208">
        <v>2.3860299999999999</v>
      </c>
      <c r="BR208">
        <v>2.3711600000000002</v>
      </c>
      <c r="BS208">
        <v>2.3711700000000002</v>
      </c>
      <c r="BT208">
        <v>2.36619</v>
      </c>
      <c r="BW208">
        <v>2.3612199999999999</v>
      </c>
      <c r="BX208">
        <v>2.36124</v>
      </c>
      <c r="BY208">
        <v>2.3612500000000001</v>
      </c>
      <c r="BZ208">
        <v>2.3661599999999998</v>
      </c>
      <c r="CA208">
        <v>2.36117</v>
      </c>
      <c r="CB208">
        <v>2.3611900000000001</v>
      </c>
      <c r="CC208">
        <v>2.3502200000000002</v>
      </c>
      <c r="CD208">
        <v>2.3452299999999999</v>
      </c>
      <c r="CE208">
        <v>2.35622</v>
      </c>
      <c r="CF208">
        <v>2.35623</v>
      </c>
      <c r="CG208">
        <v>2.3512300000000002</v>
      </c>
      <c r="CH208">
        <v>2.3643700000000001</v>
      </c>
      <c r="CI208">
        <v>2.34728</v>
      </c>
      <c r="CJ208">
        <v>2.3302999999999998</v>
      </c>
      <c r="CK208">
        <v>2.34531</v>
      </c>
      <c r="CL208">
        <v>2.3453200000000001</v>
      </c>
      <c r="CM208">
        <v>2.3453300000000001</v>
      </c>
      <c r="CN208">
        <v>2.33636</v>
      </c>
      <c r="CO208">
        <v>2.3437600000000001</v>
      </c>
      <c r="CP208">
        <v>2.3437700000000001</v>
      </c>
      <c r="CQ208">
        <v>2.3344800000000001</v>
      </c>
      <c r="CS208">
        <v>2.3371400000000002</v>
      </c>
      <c r="CT208">
        <v>2.3294999999999999</v>
      </c>
      <c r="CU208">
        <v>2.32951</v>
      </c>
      <c r="CV208">
        <v>2.32952</v>
      </c>
      <c r="CW208">
        <v>2.3245200000000001</v>
      </c>
      <c r="CX208">
        <v>2.3245300000000002</v>
      </c>
      <c r="CY208">
        <v>2.3245399999999998</v>
      </c>
      <c r="CZ208">
        <v>2.3195199999999998</v>
      </c>
      <c r="DA208">
        <v>2.3195299999999999</v>
      </c>
      <c r="DB208">
        <v>2.3195399999999999</v>
      </c>
      <c r="DC208">
        <v>2.2040700000000002</v>
      </c>
    </row>
    <row r="209" spans="1:107" x14ac:dyDescent="0.25">
      <c r="A209">
        <f t="shared" si="3"/>
        <v>5</v>
      </c>
      <c r="B209" s="2">
        <v>42306</v>
      </c>
      <c r="H209">
        <v>0.43536999999999998</v>
      </c>
      <c r="I209">
        <v>0.45852999999999999</v>
      </c>
      <c r="J209">
        <v>0.44605</v>
      </c>
      <c r="K209">
        <v>0.52532999999999996</v>
      </c>
      <c r="L209">
        <v>0.53480000000000005</v>
      </c>
      <c r="M209">
        <v>0.52524999999999999</v>
      </c>
      <c r="N209">
        <v>0.49722</v>
      </c>
      <c r="O209">
        <v>0.62116000000000005</v>
      </c>
      <c r="P209">
        <v>0.62502000000000002</v>
      </c>
      <c r="Q209">
        <v>0.65781999999999996</v>
      </c>
      <c r="R209">
        <v>0.69103999999999999</v>
      </c>
      <c r="S209">
        <v>0.72863</v>
      </c>
      <c r="T209">
        <v>0.78515999999999997</v>
      </c>
      <c r="U209">
        <v>0.69565999999999995</v>
      </c>
      <c r="V209">
        <v>0.72019</v>
      </c>
      <c r="W209">
        <v>0.76341999999999999</v>
      </c>
      <c r="X209">
        <v>0.82550999999999997</v>
      </c>
      <c r="Y209">
        <v>0.85670000000000002</v>
      </c>
      <c r="Z209">
        <v>0.81069000000000002</v>
      </c>
      <c r="AA209">
        <v>0.87480999999999998</v>
      </c>
      <c r="AB209">
        <v>0.88443000000000005</v>
      </c>
      <c r="AC209">
        <v>0.92588999999999999</v>
      </c>
      <c r="AD209">
        <v>0.92901</v>
      </c>
      <c r="AE209">
        <v>0.81962999999999997</v>
      </c>
      <c r="AF209">
        <v>1.0069699999999999</v>
      </c>
      <c r="AG209">
        <v>1.04216</v>
      </c>
      <c r="AH209">
        <v>1.1267400000000001</v>
      </c>
      <c r="AI209">
        <v>1.14632</v>
      </c>
      <c r="AJ209">
        <v>1.1813899999999999</v>
      </c>
      <c r="AK209">
        <v>1.0193300000000001</v>
      </c>
      <c r="AL209">
        <v>1.27315</v>
      </c>
      <c r="AM209">
        <v>1.36839</v>
      </c>
      <c r="AN209">
        <v>1.2003699999999999</v>
      </c>
      <c r="AO209">
        <v>1.4249799999999999</v>
      </c>
      <c r="AP209">
        <v>1.5384</v>
      </c>
      <c r="AQ209">
        <v>1.35103</v>
      </c>
      <c r="AR209">
        <v>1.5803199999999999</v>
      </c>
      <c r="AS209">
        <v>1.6278699999999999</v>
      </c>
      <c r="AT209">
        <v>1.67892</v>
      </c>
      <c r="AU209">
        <v>1.64791</v>
      </c>
      <c r="AV209">
        <v>1.5687</v>
      </c>
      <c r="AW209">
        <v>2.1567500000000002</v>
      </c>
      <c r="AX209">
        <v>2.1599499999999998</v>
      </c>
      <c r="AY209">
        <v>2.2028099999999999</v>
      </c>
      <c r="AZ209">
        <v>2.2464200000000001</v>
      </c>
      <c r="BA209">
        <v>2.26241</v>
      </c>
      <c r="BB209">
        <v>2.31507</v>
      </c>
      <c r="BC209">
        <v>2.3564600000000002</v>
      </c>
      <c r="BD209">
        <v>2.42821</v>
      </c>
      <c r="BE209">
        <v>2.3194699999999999</v>
      </c>
      <c r="BF209">
        <v>2.5098799999999999</v>
      </c>
      <c r="BG209">
        <v>2.5029699999999999</v>
      </c>
      <c r="BH209">
        <v>2.4749400000000001</v>
      </c>
      <c r="BI209">
        <v>2.4796900000000002</v>
      </c>
      <c r="BJ209">
        <v>2.4666800000000002</v>
      </c>
      <c r="BK209">
        <v>2.4503400000000002</v>
      </c>
      <c r="BL209">
        <v>2.4587500000000002</v>
      </c>
      <c r="BM209">
        <v>2.4521199999999999</v>
      </c>
      <c r="BN209">
        <v>2.44042</v>
      </c>
      <c r="BO209">
        <v>2.3755700000000002</v>
      </c>
      <c r="BP209">
        <v>2.4277099999999998</v>
      </c>
      <c r="BQ209">
        <v>2.4277299999999999</v>
      </c>
      <c r="BR209">
        <v>2.4227500000000002</v>
      </c>
      <c r="BS209">
        <v>2.4227699999999999</v>
      </c>
      <c r="BT209">
        <v>2.43486</v>
      </c>
      <c r="BW209">
        <v>2.41282</v>
      </c>
      <c r="BX209">
        <v>2.41283</v>
      </c>
      <c r="BY209">
        <v>2.4128500000000002</v>
      </c>
      <c r="BZ209">
        <v>2.4078599999999999</v>
      </c>
      <c r="CA209">
        <v>2.4139699999999999</v>
      </c>
      <c r="CB209">
        <v>2.41398</v>
      </c>
      <c r="CC209">
        <v>2.4049999999999998</v>
      </c>
      <c r="CD209">
        <v>2.4090099999999999</v>
      </c>
      <c r="CE209">
        <v>2.4090199999999999</v>
      </c>
      <c r="CF209">
        <v>2.40903</v>
      </c>
      <c r="CG209">
        <v>2.4040300000000001</v>
      </c>
      <c r="CH209">
        <v>2.4040499999999998</v>
      </c>
      <c r="CI209">
        <v>2.3940100000000002</v>
      </c>
      <c r="CJ209">
        <v>2.3940199999999998</v>
      </c>
      <c r="CK209">
        <v>2.3871899999999999</v>
      </c>
      <c r="CL209">
        <v>2.3872</v>
      </c>
      <c r="CM209">
        <v>2.3872100000000001</v>
      </c>
      <c r="CN209">
        <v>2.3828200000000002</v>
      </c>
      <c r="CO209">
        <v>2.38117</v>
      </c>
      <c r="CP209">
        <v>2.3811800000000001</v>
      </c>
      <c r="CQ209">
        <v>2.38015</v>
      </c>
      <c r="CS209">
        <v>2.37453</v>
      </c>
      <c r="CT209">
        <v>2.38808</v>
      </c>
      <c r="CU209">
        <v>2.3751699999999998</v>
      </c>
      <c r="CV209">
        <v>2.3751799999999998</v>
      </c>
      <c r="CW209">
        <v>2.3726699999999998</v>
      </c>
      <c r="CX209">
        <v>2.3726799999999999</v>
      </c>
      <c r="CY209">
        <v>2.3701699999999999</v>
      </c>
      <c r="CZ209">
        <v>2.3676200000000001</v>
      </c>
      <c r="DA209">
        <v>2.36511</v>
      </c>
      <c r="DB209">
        <v>2.36511</v>
      </c>
      <c r="DC209">
        <v>2.2556699999999998</v>
      </c>
    </row>
    <row r="210" spans="1:107" x14ac:dyDescent="0.25">
      <c r="A210">
        <f t="shared" si="3"/>
        <v>6</v>
      </c>
      <c r="B210" s="2">
        <v>42307</v>
      </c>
      <c r="H210">
        <v>0.44081999999999999</v>
      </c>
      <c r="I210">
        <v>0.46060000000000001</v>
      </c>
      <c r="J210">
        <v>0.49386000000000002</v>
      </c>
      <c r="K210">
        <v>0.53303</v>
      </c>
      <c r="L210">
        <v>0.54115999999999997</v>
      </c>
      <c r="M210">
        <v>0.55571999999999999</v>
      </c>
      <c r="N210">
        <v>0.49259999999999998</v>
      </c>
      <c r="O210">
        <v>0.63012000000000001</v>
      </c>
      <c r="P210">
        <v>0.62451000000000001</v>
      </c>
      <c r="Q210">
        <v>0.66513999999999995</v>
      </c>
      <c r="R210">
        <v>0.6976</v>
      </c>
      <c r="S210">
        <v>0.75904000000000005</v>
      </c>
      <c r="T210">
        <v>0.79288999999999998</v>
      </c>
      <c r="U210">
        <v>0.70032000000000005</v>
      </c>
      <c r="V210">
        <v>0.72357000000000005</v>
      </c>
      <c r="W210">
        <v>0.76680999999999999</v>
      </c>
      <c r="X210">
        <v>0.82930999999999999</v>
      </c>
      <c r="Y210">
        <v>0.85828000000000004</v>
      </c>
      <c r="Z210">
        <v>0.81305000000000005</v>
      </c>
      <c r="AA210">
        <v>0.877</v>
      </c>
      <c r="AB210">
        <v>0.89570000000000005</v>
      </c>
      <c r="AC210">
        <v>0.92323999999999995</v>
      </c>
      <c r="AD210">
        <v>0.90954999999999997</v>
      </c>
      <c r="AE210">
        <v>0.81660999999999995</v>
      </c>
      <c r="AF210">
        <v>1.00301</v>
      </c>
      <c r="AG210">
        <v>1.03586</v>
      </c>
      <c r="AH210">
        <v>1.12164</v>
      </c>
      <c r="AI210">
        <v>1.14117</v>
      </c>
      <c r="AJ210">
        <v>1.1778</v>
      </c>
      <c r="AK210">
        <v>1.01356</v>
      </c>
      <c r="AL210">
        <v>1.2682100000000001</v>
      </c>
      <c r="AM210">
        <v>1.3652299999999999</v>
      </c>
      <c r="AN210">
        <v>1.1957899999999999</v>
      </c>
      <c r="AO210">
        <v>1.4218200000000001</v>
      </c>
      <c r="AP210">
        <v>1.5309900000000001</v>
      </c>
      <c r="AQ210">
        <v>1.34866</v>
      </c>
      <c r="AR210">
        <v>1.5785199999999999</v>
      </c>
      <c r="AS210">
        <v>1.6279999999999999</v>
      </c>
      <c r="AT210">
        <v>1.6790499999999999</v>
      </c>
      <c r="AU210">
        <v>1.65865</v>
      </c>
      <c r="AV210">
        <v>1.5654300000000001</v>
      </c>
      <c r="AW210">
        <v>2.1597900000000001</v>
      </c>
      <c r="AX210">
        <v>2.15117</v>
      </c>
      <c r="AY210">
        <v>2.2047699999999999</v>
      </c>
      <c r="AZ210">
        <v>2.25163</v>
      </c>
      <c r="BA210">
        <v>2.26268</v>
      </c>
      <c r="BB210">
        <v>2.3011400000000002</v>
      </c>
      <c r="BC210">
        <v>2.3541500000000002</v>
      </c>
      <c r="BD210">
        <v>2.41669</v>
      </c>
      <c r="BE210">
        <v>2.3133900000000001</v>
      </c>
      <c r="BF210">
        <v>2.5025499999999998</v>
      </c>
      <c r="BG210">
        <v>2.4915400000000001</v>
      </c>
      <c r="BH210">
        <v>2.4638399999999998</v>
      </c>
      <c r="BI210">
        <v>2.4669300000000001</v>
      </c>
      <c r="BJ210">
        <v>2.4535499999999999</v>
      </c>
      <c r="BK210">
        <v>2.4436800000000001</v>
      </c>
      <c r="BL210">
        <v>2.4396300000000002</v>
      </c>
      <c r="BM210">
        <v>2.4383599999999999</v>
      </c>
      <c r="BN210">
        <v>2.4283899999999998</v>
      </c>
      <c r="BO210">
        <v>2.3617400000000002</v>
      </c>
      <c r="BP210">
        <v>2.4250500000000001</v>
      </c>
      <c r="BQ210">
        <v>2.4250699999999998</v>
      </c>
      <c r="BR210">
        <v>2.4217399999999998</v>
      </c>
      <c r="BS210">
        <v>2.41072</v>
      </c>
      <c r="BT210">
        <v>2.4288099999999999</v>
      </c>
      <c r="BW210">
        <v>2.4188499999999999</v>
      </c>
      <c r="BX210">
        <v>2.4007900000000002</v>
      </c>
      <c r="BY210">
        <v>2.4007999999999998</v>
      </c>
      <c r="BZ210">
        <v>2.3958200000000001</v>
      </c>
      <c r="CA210">
        <v>2.3958300000000001</v>
      </c>
      <c r="CB210">
        <v>2.3958400000000002</v>
      </c>
      <c r="CC210">
        <v>2.3986000000000001</v>
      </c>
      <c r="CD210">
        <v>2.4009900000000002</v>
      </c>
      <c r="CE210">
        <v>2.4009999999999998</v>
      </c>
      <c r="CF210">
        <v>2.4010099999999999</v>
      </c>
      <c r="CG210">
        <v>2.3960300000000001</v>
      </c>
      <c r="CH210">
        <v>2.39866</v>
      </c>
      <c r="CI210">
        <v>2.3986700000000001</v>
      </c>
      <c r="CJ210">
        <v>2.3986800000000001</v>
      </c>
      <c r="CK210">
        <v>2.37602</v>
      </c>
      <c r="CL210">
        <v>2.3760300000000001</v>
      </c>
      <c r="CM210">
        <v>2.3760400000000002</v>
      </c>
      <c r="CN210">
        <v>2.38205</v>
      </c>
      <c r="CO210">
        <v>2.3766099999999999</v>
      </c>
      <c r="CP210">
        <v>2.3766099999999999</v>
      </c>
      <c r="CQ210">
        <v>2.3741300000000001</v>
      </c>
      <c r="CS210">
        <v>2.37602</v>
      </c>
      <c r="CT210">
        <v>2.3760300000000001</v>
      </c>
      <c r="CU210">
        <v>2.3760400000000002</v>
      </c>
      <c r="CV210">
        <v>2.3760500000000002</v>
      </c>
      <c r="CW210">
        <v>2.36666</v>
      </c>
      <c r="CX210">
        <v>2.3666700000000001</v>
      </c>
      <c r="CY210">
        <v>2.3641700000000001</v>
      </c>
      <c r="CZ210">
        <v>2.3565200000000002</v>
      </c>
      <c r="DA210">
        <v>2.3540199999999998</v>
      </c>
      <c r="DB210">
        <v>2.3540199999999998</v>
      </c>
      <c r="DC210">
        <v>2.2436199999999999</v>
      </c>
    </row>
    <row r="211" spans="1:107" x14ac:dyDescent="0.25">
      <c r="A211">
        <f t="shared" si="3"/>
        <v>2</v>
      </c>
      <c r="B211" s="2">
        <v>42310</v>
      </c>
      <c r="H211">
        <v>0.47109000000000001</v>
      </c>
      <c r="I211">
        <v>0.48937000000000003</v>
      </c>
      <c r="J211">
        <v>0.502</v>
      </c>
      <c r="K211">
        <v>0.54457999999999995</v>
      </c>
      <c r="L211">
        <v>0.56020000000000003</v>
      </c>
      <c r="M211">
        <v>0.57818999999999998</v>
      </c>
      <c r="N211">
        <v>0.50982000000000005</v>
      </c>
      <c r="O211">
        <v>0.61750000000000005</v>
      </c>
      <c r="P211">
        <v>0.63129000000000002</v>
      </c>
      <c r="Q211">
        <v>0.66847999999999996</v>
      </c>
      <c r="R211">
        <v>0.70157999999999998</v>
      </c>
      <c r="S211">
        <v>0.73895999999999995</v>
      </c>
      <c r="T211">
        <v>0.79452999999999996</v>
      </c>
      <c r="U211">
        <v>0.71018000000000003</v>
      </c>
      <c r="V211">
        <v>0.73338999999999999</v>
      </c>
      <c r="W211">
        <v>0.77663000000000004</v>
      </c>
      <c r="X211">
        <v>0.83865999999999996</v>
      </c>
      <c r="Y211">
        <v>0.86965000000000003</v>
      </c>
      <c r="Z211">
        <v>0.82396000000000003</v>
      </c>
      <c r="AA211">
        <v>0.88897000000000004</v>
      </c>
      <c r="AB211">
        <v>0.90700000000000003</v>
      </c>
      <c r="AC211">
        <v>0.94035000000000002</v>
      </c>
      <c r="AD211">
        <v>0.92696999999999996</v>
      </c>
      <c r="AE211">
        <v>0.83367000000000002</v>
      </c>
      <c r="AF211">
        <v>1.0220100000000001</v>
      </c>
      <c r="AG211">
        <v>1.0562100000000001</v>
      </c>
      <c r="AH211">
        <v>1.14679</v>
      </c>
      <c r="AI211">
        <v>1.1654899999999999</v>
      </c>
      <c r="AJ211">
        <v>1.1960900000000001</v>
      </c>
      <c r="AK211">
        <v>1.04115</v>
      </c>
      <c r="AL211">
        <v>1.2825500000000001</v>
      </c>
      <c r="AM211">
        <v>1.3867</v>
      </c>
      <c r="AN211">
        <v>1.2225900000000001</v>
      </c>
      <c r="AO211">
        <v>1.4494499999999999</v>
      </c>
      <c r="AP211">
        <v>1.5675600000000001</v>
      </c>
      <c r="AQ211">
        <v>1.3847499999999999</v>
      </c>
      <c r="AR211">
        <v>1.6143000000000001</v>
      </c>
      <c r="AS211">
        <v>1.66533</v>
      </c>
      <c r="AT211">
        <v>1.71635</v>
      </c>
      <c r="AU211">
        <v>1.6837</v>
      </c>
      <c r="AV211">
        <v>1.6026499999999999</v>
      </c>
      <c r="AW211">
        <v>2.1918099999999998</v>
      </c>
      <c r="AX211">
        <v>2.1693699999999998</v>
      </c>
      <c r="AY211">
        <v>2.2468300000000001</v>
      </c>
      <c r="AZ211">
        <v>2.2873299999999999</v>
      </c>
      <c r="BA211">
        <v>2.29895</v>
      </c>
      <c r="BB211">
        <v>2.33887</v>
      </c>
      <c r="BC211">
        <v>2.37412</v>
      </c>
      <c r="BD211">
        <v>2.4373200000000002</v>
      </c>
      <c r="BE211">
        <v>2.33168</v>
      </c>
      <c r="BF211">
        <v>2.5223399999999998</v>
      </c>
      <c r="BG211">
        <v>2.5109300000000001</v>
      </c>
      <c r="BH211">
        <v>2.4869500000000002</v>
      </c>
      <c r="BI211">
        <v>2.49105</v>
      </c>
      <c r="BJ211">
        <v>2.4784700000000002</v>
      </c>
      <c r="BK211">
        <v>2.4627500000000002</v>
      </c>
      <c r="BL211">
        <v>2.4700899999999999</v>
      </c>
      <c r="BM211">
        <v>2.4634499999999999</v>
      </c>
      <c r="BN211">
        <v>2.4527999999999999</v>
      </c>
      <c r="BO211">
        <v>2.3848799999999999</v>
      </c>
      <c r="BP211">
        <v>2.4561799999999998</v>
      </c>
      <c r="BQ211">
        <v>2.4561899999999999</v>
      </c>
      <c r="BR211">
        <v>2.4461400000000002</v>
      </c>
      <c r="BS211">
        <v>2.4360900000000001</v>
      </c>
      <c r="BT211">
        <v>2.4512</v>
      </c>
      <c r="BW211">
        <v>2.4261200000000001</v>
      </c>
      <c r="BX211">
        <v>2.4261300000000001</v>
      </c>
      <c r="BY211">
        <v>2.4261400000000002</v>
      </c>
      <c r="BZ211">
        <v>2.4362699999999999</v>
      </c>
      <c r="CA211">
        <v>2.4211499999999999</v>
      </c>
      <c r="CB211">
        <v>2.42116</v>
      </c>
      <c r="CC211">
        <v>2.42293</v>
      </c>
      <c r="CD211">
        <v>2.42632</v>
      </c>
      <c r="CE211">
        <v>2.42632</v>
      </c>
      <c r="CF211">
        <v>2.4263300000000001</v>
      </c>
      <c r="CG211">
        <v>2.4213300000000002</v>
      </c>
      <c r="CH211">
        <v>2.4272</v>
      </c>
      <c r="CI211">
        <v>2.4272100000000001</v>
      </c>
      <c r="CJ211">
        <v>2.4272200000000002</v>
      </c>
      <c r="CK211">
        <v>2.4189699999999998</v>
      </c>
      <c r="CL211">
        <v>2.4189699999999998</v>
      </c>
      <c r="CM211">
        <v>2.4189799999999999</v>
      </c>
      <c r="CN211">
        <v>2.4123299999999999</v>
      </c>
      <c r="CO211">
        <v>2.4106700000000001</v>
      </c>
      <c r="CP211">
        <v>2.4106700000000001</v>
      </c>
      <c r="CQ211">
        <v>2.3990200000000002</v>
      </c>
      <c r="CS211">
        <v>2.4022700000000001</v>
      </c>
      <c r="CT211">
        <v>2.3940399999999999</v>
      </c>
      <c r="CU211">
        <v>2.3952800000000001</v>
      </c>
      <c r="CV211">
        <v>2.3952900000000001</v>
      </c>
      <c r="CW211">
        <v>2.3873799999999998</v>
      </c>
      <c r="CX211">
        <v>2.3873799999999998</v>
      </c>
      <c r="CY211">
        <v>2.3902899999999998</v>
      </c>
      <c r="CZ211">
        <v>2.3754499999999998</v>
      </c>
      <c r="DA211">
        <v>2.3852799999999998</v>
      </c>
      <c r="DB211">
        <v>2.3852799999999998</v>
      </c>
      <c r="DC211">
        <v>2.2688299999999999</v>
      </c>
    </row>
    <row r="212" spans="1:107" x14ac:dyDescent="0.25">
      <c r="A212">
        <f t="shared" si="3"/>
        <v>3</v>
      </c>
      <c r="B212" s="2">
        <v>42311</v>
      </c>
      <c r="H212">
        <v>0.47448000000000001</v>
      </c>
      <c r="I212">
        <v>0.48848999999999998</v>
      </c>
      <c r="J212">
        <v>0.50188999999999995</v>
      </c>
      <c r="K212">
        <v>0.54803999999999997</v>
      </c>
      <c r="L212">
        <v>0.55310000000000004</v>
      </c>
      <c r="M212">
        <v>0.57816999999999996</v>
      </c>
      <c r="N212">
        <v>0.50949</v>
      </c>
      <c r="O212">
        <v>0.64156999999999997</v>
      </c>
      <c r="P212">
        <v>0.63536999999999999</v>
      </c>
      <c r="Q212">
        <v>0.68164000000000002</v>
      </c>
      <c r="R212">
        <v>0.71526000000000001</v>
      </c>
      <c r="S212">
        <v>0.75212000000000001</v>
      </c>
      <c r="T212">
        <v>0.80388999999999999</v>
      </c>
      <c r="U212">
        <v>0.72621000000000002</v>
      </c>
      <c r="V212">
        <v>0.73836000000000002</v>
      </c>
      <c r="W212">
        <v>0.79322000000000004</v>
      </c>
      <c r="X212">
        <v>0.84016000000000002</v>
      </c>
      <c r="Y212">
        <v>0.89697000000000005</v>
      </c>
      <c r="Z212">
        <v>0.84741</v>
      </c>
      <c r="AA212">
        <v>0.91295000000000004</v>
      </c>
      <c r="AB212">
        <v>0.92901999999999996</v>
      </c>
      <c r="AC212">
        <v>0.96880999999999995</v>
      </c>
      <c r="AD212">
        <v>0.97208000000000006</v>
      </c>
      <c r="AE212">
        <v>0.86253999999999997</v>
      </c>
      <c r="AF212">
        <v>1.05084</v>
      </c>
      <c r="AG212">
        <v>1.0863499999999999</v>
      </c>
      <c r="AH212">
        <v>1.17984</v>
      </c>
      <c r="AI212">
        <v>1.1981200000000001</v>
      </c>
      <c r="AJ212">
        <v>1.23485</v>
      </c>
      <c r="AK212">
        <v>1.07176</v>
      </c>
      <c r="AL212">
        <v>1.3079400000000001</v>
      </c>
      <c r="AM212">
        <v>1.4160999999999999</v>
      </c>
      <c r="AN212">
        <v>1.2549999999999999</v>
      </c>
      <c r="AO212">
        <v>1.4850699999999999</v>
      </c>
      <c r="AP212">
        <v>1.5965400000000001</v>
      </c>
      <c r="AQ212">
        <v>1.4163699999999999</v>
      </c>
      <c r="AR212">
        <v>1.6499299999999999</v>
      </c>
      <c r="AS212">
        <v>1.70526</v>
      </c>
      <c r="AT212">
        <v>1.7561100000000001</v>
      </c>
      <c r="AU212">
        <v>1.7179199999999999</v>
      </c>
      <c r="AV212">
        <v>1.64019</v>
      </c>
      <c r="AW212">
        <v>2.2237300000000002</v>
      </c>
      <c r="AX212">
        <v>2.2022900000000001</v>
      </c>
      <c r="AY212">
        <v>2.27217</v>
      </c>
      <c r="AZ212">
        <v>2.3187600000000002</v>
      </c>
      <c r="BA212">
        <v>2.3308499999999999</v>
      </c>
      <c r="BB212">
        <v>2.3711600000000002</v>
      </c>
      <c r="BC212">
        <v>2.40509</v>
      </c>
      <c r="BD212">
        <v>2.4657200000000001</v>
      </c>
      <c r="BE212">
        <v>2.3567499999999999</v>
      </c>
      <c r="BF212">
        <v>2.5490499999999998</v>
      </c>
      <c r="BG212">
        <v>2.53403</v>
      </c>
      <c r="BH212">
        <v>2.5107200000000001</v>
      </c>
      <c r="BI212">
        <v>2.51512</v>
      </c>
      <c r="BJ212">
        <v>2.50258</v>
      </c>
      <c r="BK212">
        <v>2.4861499999999999</v>
      </c>
      <c r="BL212">
        <v>2.49383</v>
      </c>
      <c r="BM212">
        <v>2.48719</v>
      </c>
      <c r="BN212">
        <v>2.4802300000000002</v>
      </c>
      <c r="BO212">
        <v>2.4081999999999999</v>
      </c>
      <c r="BP212">
        <v>2.4802300000000002</v>
      </c>
      <c r="BQ212">
        <v>2.4802399999999998</v>
      </c>
      <c r="BR212">
        <v>2.4695299999999998</v>
      </c>
      <c r="BS212">
        <v>2.4695399999999998</v>
      </c>
      <c r="BT212">
        <v>2.4742299999999999</v>
      </c>
      <c r="BW212">
        <v>2.44922</v>
      </c>
      <c r="BX212">
        <v>2.44922</v>
      </c>
      <c r="BY212">
        <v>2.44923</v>
      </c>
      <c r="BZ212">
        <v>2.4603199999999998</v>
      </c>
      <c r="CA212">
        <v>2.4553400000000001</v>
      </c>
      <c r="CB212">
        <v>2.4553500000000001</v>
      </c>
      <c r="CC212">
        <v>2.4503599999999999</v>
      </c>
      <c r="CD212">
        <v>2.4503699999999999</v>
      </c>
      <c r="CE212">
        <v>2.45038</v>
      </c>
      <c r="CF212">
        <v>2.45038</v>
      </c>
      <c r="CG212">
        <v>2.4453900000000002</v>
      </c>
      <c r="CH212">
        <v>2.4508100000000002</v>
      </c>
      <c r="CI212">
        <v>2.4508200000000002</v>
      </c>
      <c r="CJ212">
        <v>2.4508200000000002</v>
      </c>
      <c r="CK212">
        <v>2.4503300000000001</v>
      </c>
      <c r="CL212">
        <v>2.4503400000000002</v>
      </c>
      <c r="CM212">
        <v>2.4503400000000002</v>
      </c>
      <c r="CN212">
        <v>2.4370699999999998</v>
      </c>
      <c r="CO212">
        <v>2.4354</v>
      </c>
      <c r="CP212">
        <v>2.4354100000000001</v>
      </c>
      <c r="CQ212">
        <v>2.4230800000000001</v>
      </c>
      <c r="CS212">
        <v>2.4263599999999999</v>
      </c>
      <c r="CT212">
        <v>2.4180999999999999</v>
      </c>
      <c r="CU212">
        <v>2.4193799999999999</v>
      </c>
      <c r="CV212">
        <v>2.4193799999999999</v>
      </c>
      <c r="CW212">
        <v>2.4114399999999998</v>
      </c>
      <c r="CX212">
        <v>2.4114499999999999</v>
      </c>
      <c r="CY212">
        <v>2.4144000000000001</v>
      </c>
      <c r="CZ212">
        <v>2.4005000000000001</v>
      </c>
      <c r="DA212">
        <v>2.4093900000000001</v>
      </c>
      <c r="DB212">
        <v>2.4093900000000001</v>
      </c>
      <c r="DC212">
        <v>2.2919299999999998</v>
      </c>
    </row>
    <row r="213" spans="1:107" x14ac:dyDescent="0.25">
      <c r="A213">
        <f t="shared" si="3"/>
        <v>4</v>
      </c>
      <c r="B213" s="2">
        <v>42312</v>
      </c>
      <c r="H213">
        <v>0.46038000000000001</v>
      </c>
      <c r="I213">
        <v>0.44923999999999997</v>
      </c>
      <c r="J213">
        <v>0.49297000000000002</v>
      </c>
      <c r="K213">
        <v>0.55147000000000002</v>
      </c>
      <c r="L213">
        <v>0.55922000000000005</v>
      </c>
      <c r="M213">
        <v>0.57523000000000002</v>
      </c>
      <c r="N213">
        <v>0.50924999999999998</v>
      </c>
      <c r="O213">
        <v>0.64170000000000005</v>
      </c>
      <c r="P213">
        <v>0.64522000000000002</v>
      </c>
      <c r="Q213">
        <v>0.68289</v>
      </c>
      <c r="R213">
        <v>0.73472999999999999</v>
      </c>
      <c r="S213">
        <v>0.77224000000000004</v>
      </c>
      <c r="T213">
        <v>0.82182999999999995</v>
      </c>
      <c r="U213">
        <v>0.74827999999999995</v>
      </c>
      <c r="V213">
        <v>0.76156999999999997</v>
      </c>
      <c r="W213">
        <v>0.81616999999999995</v>
      </c>
      <c r="X213">
        <v>0.86441000000000001</v>
      </c>
      <c r="Y213">
        <v>0.91405999999999998</v>
      </c>
      <c r="Z213">
        <v>0.87002000000000002</v>
      </c>
      <c r="AA213">
        <v>0.92295000000000005</v>
      </c>
      <c r="AB213">
        <v>0.94347000000000003</v>
      </c>
      <c r="AC213">
        <v>0.98580999999999996</v>
      </c>
      <c r="AD213">
        <v>0.97663</v>
      </c>
      <c r="AE213">
        <v>0.89056999999999997</v>
      </c>
      <c r="AF213">
        <v>1.0708200000000001</v>
      </c>
      <c r="AG213">
        <v>1.10375</v>
      </c>
      <c r="AH213">
        <v>1.1954800000000001</v>
      </c>
      <c r="AI213">
        <v>1.21383</v>
      </c>
      <c r="AJ213">
        <v>1.2587200000000001</v>
      </c>
      <c r="AK213">
        <v>1.08904</v>
      </c>
      <c r="AL213">
        <v>1.32751</v>
      </c>
      <c r="AM213">
        <v>1.44103</v>
      </c>
      <c r="AN213">
        <v>1.27349</v>
      </c>
      <c r="AO213">
        <v>1.5059499999999999</v>
      </c>
      <c r="AP213">
        <v>1.61032</v>
      </c>
      <c r="AQ213">
        <v>1.55169</v>
      </c>
      <c r="AR213">
        <v>1.6568499999999999</v>
      </c>
      <c r="AS213">
        <v>1.71224</v>
      </c>
      <c r="AT213">
        <v>1.78485</v>
      </c>
      <c r="AU213">
        <v>1.74976</v>
      </c>
      <c r="AV213">
        <v>1.75915</v>
      </c>
      <c r="AW213">
        <v>2.32281</v>
      </c>
      <c r="AX213">
        <v>2.31216</v>
      </c>
      <c r="AY213">
        <v>2.36612</v>
      </c>
      <c r="AZ213">
        <v>2.3969499999999999</v>
      </c>
      <c r="BA213">
        <v>2.4215800000000001</v>
      </c>
      <c r="BB213">
        <v>2.3834499999999998</v>
      </c>
      <c r="BC213">
        <v>2.4192200000000001</v>
      </c>
      <c r="BD213">
        <v>2.4696099999999999</v>
      </c>
      <c r="BE213">
        <v>2.3695599999999999</v>
      </c>
      <c r="BF213">
        <v>2.5541100000000001</v>
      </c>
      <c r="BG213">
        <v>2.5407999999999999</v>
      </c>
      <c r="BH213">
        <v>2.51308</v>
      </c>
      <c r="BI213">
        <v>2.51417</v>
      </c>
      <c r="BJ213">
        <v>2.4967800000000002</v>
      </c>
      <c r="BK213">
        <v>2.4936600000000002</v>
      </c>
      <c r="BL213">
        <v>2.4890599999999998</v>
      </c>
      <c r="BM213">
        <v>2.4840900000000001</v>
      </c>
      <c r="BN213">
        <v>2.4783599999999999</v>
      </c>
      <c r="BO213">
        <v>2.4098099999999998</v>
      </c>
      <c r="BP213">
        <v>2.4750299999999998</v>
      </c>
      <c r="BQ213">
        <v>2.47505</v>
      </c>
      <c r="BR213">
        <v>2.4787699999999999</v>
      </c>
      <c r="BS213">
        <v>2.47879</v>
      </c>
      <c r="BT213">
        <v>2.4788000000000001</v>
      </c>
      <c r="BW213">
        <v>2.4688400000000001</v>
      </c>
      <c r="BX213">
        <v>2.4688500000000002</v>
      </c>
      <c r="BY213">
        <v>2.4527600000000001</v>
      </c>
      <c r="BZ213">
        <v>2.4477799999999998</v>
      </c>
      <c r="CA213">
        <v>2.4477899999999999</v>
      </c>
      <c r="CB213">
        <v>2.44781</v>
      </c>
      <c r="CC213">
        <v>2.4485700000000001</v>
      </c>
      <c r="CD213">
        <v>2.4452500000000001</v>
      </c>
      <c r="CE213">
        <v>2.4489700000000001</v>
      </c>
      <c r="CF213">
        <v>2.4489800000000002</v>
      </c>
      <c r="CG213">
        <v>2.4439899999999999</v>
      </c>
      <c r="CH213">
        <v>2.4464999999999999</v>
      </c>
      <c r="CI213">
        <v>2.4464999999999999</v>
      </c>
      <c r="CJ213">
        <v>2.44651</v>
      </c>
      <c r="CK213">
        <v>2.4390999999999998</v>
      </c>
      <c r="CL213">
        <v>2.4391099999999999</v>
      </c>
      <c r="CM213">
        <v>2.43912</v>
      </c>
      <c r="CN213">
        <v>2.4340700000000002</v>
      </c>
      <c r="CO213">
        <v>2.4329499999999999</v>
      </c>
      <c r="CP213">
        <v>2.43296</v>
      </c>
      <c r="CQ213">
        <v>2.4292500000000001</v>
      </c>
      <c r="CS213">
        <v>2.4288400000000001</v>
      </c>
      <c r="CT213">
        <v>2.4255100000000001</v>
      </c>
      <c r="CU213">
        <v>2.4255100000000001</v>
      </c>
      <c r="CV213">
        <v>2.4255200000000001</v>
      </c>
      <c r="CW213">
        <v>2.42218</v>
      </c>
      <c r="CX213">
        <v>2.4221900000000001</v>
      </c>
      <c r="CY213">
        <v>2.4280400000000002</v>
      </c>
      <c r="CZ213">
        <v>2.4141900000000001</v>
      </c>
      <c r="DA213">
        <v>2.41168</v>
      </c>
      <c r="DB213">
        <v>2.41168</v>
      </c>
      <c r="DC213">
        <v>2.3005900000000001</v>
      </c>
    </row>
    <row r="214" spans="1:107" x14ac:dyDescent="0.25">
      <c r="A214">
        <f t="shared" si="3"/>
        <v>5</v>
      </c>
      <c r="B214" s="2">
        <v>42313</v>
      </c>
      <c r="H214">
        <v>0.45023000000000002</v>
      </c>
      <c r="I214">
        <v>0.44644</v>
      </c>
      <c r="J214">
        <v>0.49278</v>
      </c>
      <c r="K214">
        <v>0.54906999999999995</v>
      </c>
      <c r="L214">
        <v>0.55862999999999996</v>
      </c>
      <c r="M214">
        <v>0.57520000000000004</v>
      </c>
      <c r="N214">
        <v>0.51014999999999999</v>
      </c>
      <c r="O214">
        <v>0.64285000000000003</v>
      </c>
      <c r="P214">
        <v>0.64324000000000003</v>
      </c>
      <c r="Q214">
        <v>0.69957999999999998</v>
      </c>
      <c r="R214">
        <v>0.73553999999999997</v>
      </c>
      <c r="S214">
        <v>0.77337</v>
      </c>
      <c r="T214">
        <v>0.82121999999999995</v>
      </c>
      <c r="U214">
        <v>0.75090999999999997</v>
      </c>
      <c r="V214">
        <v>0.76531000000000005</v>
      </c>
      <c r="W214">
        <v>0.82013999999999998</v>
      </c>
      <c r="X214">
        <v>0.86734999999999995</v>
      </c>
      <c r="Y214">
        <v>0.91918</v>
      </c>
      <c r="Z214">
        <v>0.87368000000000001</v>
      </c>
      <c r="AA214">
        <v>0.92979000000000001</v>
      </c>
      <c r="AB214">
        <v>0.95933999999999997</v>
      </c>
      <c r="AC214">
        <v>0.99297000000000002</v>
      </c>
      <c r="AD214">
        <v>0.98394000000000004</v>
      </c>
      <c r="AE214">
        <v>0.89768999999999999</v>
      </c>
      <c r="AF214">
        <v>1.0767</v>
      </c>
      <c r="AG214">
        <v>1.10995</v>
      </c>
      <c r="AH214">
        <v>1.2038</v>
      </c>
      <c r="AI214">
        <v>1.22241</v>
      </c>
      <c r="AJ214">
        <v>1.2695700000000001</v>
      </c>
      <c r="AK214">
        <v>1.0957399999999999</v>
      </c>
      <c r="AL214">
        <v>1.34172</v>
      </c>
      <c r="AM214">
        <v>1.4536500000000001</v>
      </c>
      <c r="AN214">
        <v>1.2861800000000001</v>
      </c>
      <c r="AO214">
        <v>1.51952</v>
      </c>
      <c r="AP214">
        <v>1.62652</v>
      </c>
      <c r="AQ214">
        <v>1.44916</v>
      </c>
      <c r="AR214">
        <v>1.6729499999999999</v>
      </c>
      <c r="AS214">
        <v>1.7263999999999999</v>
      </c>
      <c r="AT214">
        <v>1.77745</v>
      </c>
      <c r="AU214">
        <v>1.75674</v>
      </c>
      <c r="AV214">
        <v>1.66845</v>
      </c>
      <c r="AW214">
        <v>2.2546400000000002</v>
      </c>
      <c r="AX214">
        <v>2.2325499999999998</v>
      </c>
      <c r="AY214">
        <v>2.2932700000000001</v>
      </c>
      <c r="AZ214">
        <v>2.3346499999999999</v>
      </c>
      <c r="BA214">
        <v>2.3675000000000002</v>
      </c>
      <c r="BB214">
        <v>2.4062600000000001</v>
      </c>
      <c r="BC214">
        <v>2.43425</v>
      </c>
      <c r="BD214">
        <v>2.49024</v>
      </c>
      <c r="BE214">
        <v>2.3950800000000001</v>
      </c>
      <c r="BF214">
        <v>2.5621</v>
      </c>
      <c r="BG214">
        <v>2.54684</v>
      </c>
      <c r="BH214">
        <v>2.52393</v>
      </c>
      <c r="BI214">
        <v>2.5201199999999999</v>
      </c>
      <c r="BJ214">
        <v>2.5073099999999999</v>
      </c>
      <c r="BK214">
        <v>2.5080100000000001</v>
      </c>
      <c r="BL214">
        <v>2.4956700000000001</v>
      </c>
      <c r="BM214">
        <v>2.4923600000000001</v>
      </c>
      <c r="BN214">
        <v>2.49213</v>
      </c>
      <c r="BO214">
        <v>2.4237899999999999</v>
      </c>
      <c r="BP214">
        <v>2.492</v>
      </c>
      <c r="BQ214">
        <v>2.4920100000000001</v>
      </c>
      <c r="BR214">
        <v>2.4916900000000002</v>
      </c>
      <c r="BS214">
        <v>2.4916999999999998</v>
      </c>
      <c r="BT214">
        <v>2.49478</v>
      </c>
      <c r="BW214">
        <v>2.49146</v>
      </c>
      <c r="BX214">
        <v>2.4817399999999998</v>
      </c>
      <c r="BY214">
        <v>2.4848300000000001</v>
      </c>
      <c r="BZ214">
        <v>2.4771000000000001</v>
      </c>
      <c r="CA214">
        <v>2.4721299999999999</v>
      </c>
      <c r="CB214">
        <v>2.47214</v>
      </c>
      <c r="CC214">
        <v>2.4689000000000001</v>
      </c>
      <c r="CD214">
        <v>2.4689100000000002</v>
      </c>
      <c r="CE214">
        <v>2.4655800000000001</v>
      </c>
      <c r="CF214">
        <v>2.4655900000000002</v>
      </c>
      <c r="CG214">
        <v>2.4622700000000002</v>
      </c>
      <c r="CH214">
        <v>2.4589400000000001</v>
      </c>
      <c r="CI214">
        <v>2.4589500000000002</v>
      </c>
      <c r="CJ214">
        <v>2.4589599999999998</v>
      </c>
      <c r="CK214">
        <v>2.4509099999999999</v>
      </c>
      <c r="CL214">
        <v>2.45092</v>
      </c>
      <c r="CM214">
        <v>2.4509300000000001</v>
      </c>
      <c r="CN214">
        <v>2.4446500000000002</v>
      </c>
      <c r="CO214">
        <v>2.44299</v>
      </c>
      <c r="CP214">
        <v>2.4430000000000001</v>
      </c>
      <c r="CQ214">
        <v>2.4416699999999998</v>
      </c>
      <c r="CS214">
        <v>2.4408400000000001</v>
      </c>
      <c r="CT214">
        <v>2.4408500000000002</v>
      </c>
      <c r="CU214">
        <v>2.43919</v>
      </c>
      <c r="CV214">
        <v>2.4392</v>
      </c>
      <c r="CW214">
        <v>2.4431799999999999</v>
      </c>
      <c r="CX214">
        <v>2.44319</v>
      </c>
      <c r="CY214">
        <v>2.44319</v>
      </c>
      <c r="CZ214">
        <v>2.4317199999999999</v>
      </c>
      <c r="DA214">
        <v>2.4245199999999998</v>
      </c>
      <c r="DB214">
        <v>2.4245199999999998</v>
      </c>
      <c r="DC214">
        <v>2.3128099999999998</v>
      </c>
    </row>
    <row r="215" spans="1:107" x14ac:dyDescent="0.25">
      <c r="A215">
        <f t="shared" si="3"/>
        <v>6</v>
      </c>
      <c r="B215" s="2">
        <v>42314</v>
      </c>
      <c r="H215">
        <v>0.43468000000000001</v>
      </c>
      <c r="I215">
        <v>0.42618</v>
      </c>
      <c r="J215">
        <v>0.48809999999999998</v>
      </c>
      <c r="K215">
        <v>0.52842999999999996</v>
      </c>
      <c r="L215">
        <v>0.59943999999999997</v>
      </c>
      <c r="M215">
        <v>0.57320000000000004</v>
      </c>
      <c r="N215">
        <v>0.51036999999999999</v>
      </c>
      <c r="O215">
        <v>0.63932</v>
      </c>
      <c r="P215">
        <v>0.66874999999999996</v>
      </c>
      <c r="Q215">
        <v>0.73502000000000001</v>
      </c>
      <c r="R215">
        <v>0.78646000000000005</v>
      </c>
      <c r="S215">
        <v>0.82299</v>
      </c>
      <c r="T215">
        <v>0.87305999999999995</v>
      </c>
      <c r="U215">
        <v>0.80579999999999996</v>
      </c>
      <c r="V215">
        <v>0.81786000000000003</v>
      </c>
      <c r="W215">
        <v>0.87314000000000003</v>
      </c>
      <c r="X215">
        <v>0.91947000000000001</v>
      </c>
      <c r="Y215">
        <v>0.99034999999999995</v>
      </c>
      <c r="Z215">
        <v>0.93616999999999995</v>
      </c>
      <c r="AA215">
        <v>0.99385999999999997</v>
      </c>
      <c r="AB215">
        <v>1.0299199999999999</v>
      </c>
      <c r="AC215">
        <v>1.0625899999999999</v>
      </c>
      <c r="AD215">
        <v>1.0759799999999999</v>
      </c>
      <c r="AE215">
        <v>0.95936999999999995</v>
      </c>
      <c r="AF215">
        <v>1.14659</v>
      </c>
      <c r="AG215">
        <v>1.19804</v>
      </c>
      <c r="AH215">
        <v>1.2780100000000001</v>
      </c>
      <c r="AI215">
        <v>1.29633</v>
      </c>
      <c r="AJ215">
        <v>1.33318</v>
      </c>
      <c r="AK215">
        <v>1.1674599999999999</v>
      </c>
      <c r="AL215">
        <v>1.4158299999999999</v>
      </c>
      <c r="AM215">
        <v>1.51786</v>
      </c>
      <c r="AN215">
        <v>1.3571500000000001</v>
      </c>
      <c r="AO215">
        <v>1.59175</v>
      </c>
      <c r="AP215">
        <v>1.69831</v>
      </c>
      <c r="AQ215">
        <v>1.51939</v>
      </c>
      <c r="AR215">
        <v>1.7490300000000001</v>
      </c>
      <c r="AS215">
        <v>1.8012699999999999</v>
      </c>
      <c r="AT215">
        <v>1.8565400000000001</v>
      </c>
      <c r="AU215">
        <v>1.85029</v>
      </c>
      <c r="AV215">
        <v>1.74359</v>
      </c>
      <c r="AW215">
        <v>2.3162400000000001</v>
      </c>
      <c r="AX215">
        <v>2.2911899999999998</v>
      </c>
      <c r="AY215">
        <v>2.35887</v>
      </c>
      <c r="AZ215">
        <v>2.4006699999999999</v>
      </c>
      <c r="BA215">
        <v>2.4313600000000002</v>
      </c>
      <c r="BB215">
        <v>2.4557500000000001</v>
      </c>
      <c r="BC215">
        <v>2.49939</v>
      </c>
      <c r="BD215">
        <v>2.53851</v>
      </c>
      <c r="BE215">
        <v>2.43302</v>
      </c>
      <c r="BF215">
        <v>2.6024600000000002</v>
      </c>
      <c r="BG215">
        <v>2.59179</v>
      </c>
      <c r="BH215">
        <v>2.5697199999999998</v>
      </c>
      <c r="BI215">
        <v>2.5555400000000001</v>
      </c>
      <c r="BJ215">
        <v>2.5533100000000002</v>
      </c>
      <c r="BK215">
        <v>2.53694</v>
      </c>
      <c r="BL215">
        <v>2.53363</v>
      </c>
      <c r="BM215">
        <v>2.5303300000000002</v>
      </c>
      <c r="BN215">
        <v>2.5270199999999998</v>
      </c>
      <c r="BO215">
        <v>2.4641099999999998</v>
      </c>
      <c r="BP215">
        <v>2.5212500000000002</v>
      </c>
      <c r="BQ215">
        <v>2.5212699999999999</v>
      </c>
      <c r="BR215">
        <v>2.5163000000000002</v>
      </c>
      <c r="BS215">
        <v>2.5163199999999999</v>
      </c>
      <c r="BT215">
        <v>2.5295000000000001</v>
      </c>
      <c r="BW215">
        <v>2.5063800000000001</v>
      </c>
      <c r="BX215">
        <v>2.5064000000000002</v>
      </c>
      <c r="BY215">
        <v>2.5064199999999999</v>
      </c>
      <c r="BZ215">
        <v>2.5014400000000001</v>
      </c>
      <c r="CA215">
        <v>2.5014500000000002</v>
      </c>
      <c r="CB215">
        <v>2.5014699999999999</v>
      </c>
      <c r="CC215">
        <v>2.50061</v>
      </c>
      <c r="CD215">
        <v>2.5007100000000002</v>
      </c>
      <c r="CE215">
        <v>2.5007199999999998</v>
      </c>
      <c r="CF215">
        <v>2.50074</v>
      </c>
      <c r="CG215">
        <v>2.4847299999999999</v>
      </c>
      <c r="CH215">
        <v>2.4957600000000002</v>
      </c>
      <c r="CI215">
        <v>2.4957699999999998</v>
      </c>
      <c r="CJ215">
        <v>2.4957799999999999</v>
      </c>
      <c r="CK215">
        <v>2.4873699999999999</v>
      </c>
      <c r="CL215">
        <v>2.48739</v>
      </c>
      <c r="CM215">
        <v>2.4874000000000001</v>
      </c>
      <c r="CN215">
        <v>2.4840900000000001</v>
      </c>
      <c r="CO215">
        <v>2.48664</v>
      </c>
      <c r="CP215">
        <v>2.48665</v>
      </c>
      <c r="CQ215">
        <v>2.4880100000000001</v>
      </c>
      <c r="CS215">
        <v>2.4847000000000001</v>
      </c>
      <c r="CT215">
        <v>2.4813800000000001</v>
      </c>
      <c r="CU215">
        <v>2.4807199999999998</v>
      </c>
      <c r="CV215">
        <v>2.4807299999999999</v>
      </c>
      <c r="CW215">
        <v>2.4817399999999998</v>
      </c>
      <c r="CX215">
        <v>2.4817499999999999</v>
      </c>
      <c r="CY215">
        <v>2.4817499999999999</v>
      </c>
      <c r="CZ215">
        <v>2.48176</v>
      </c>
      <c r="DA215">
        <v>2.4707499999999998</v>
      </c>
      <c r="DB215">
        <v>2.4707599999999998</v>
      </c>
      <c r="DC215">
        <v>2.3476400000000002</v>
      </c>
    </row>
    <row r="216" spans="1:107" x14ac:dyDescent="0.25">
      <c r="A216">
        <f t="shared" si="3"/>
        <v>2</v>
      </c>
      <c r="B216" s="2">
        <v>42317</v>
      </c>
      <c r="H216">
        <v>0.45390999999999998</v>
      </c>
      <c r="I216">
        <v>0.47238999999999998</v>
      </c>
      <c r="J216">
        <v>0.53420999999999996</v>
      </c>
      <c r="K216">
        <v>0.54881000000000002</v>
      </c>
      <c r="L216">
        <v>0.59387000000000001</v>
      </c>
      <c r="M216">
        <v>0.61553000000000002</v>
      </c>
      <c r="N216">
        <v>0.53176000000000001</v>
      </c>
      <c r="O216">
        <v>0.66141000000000005</v>
      </c>
      <c r="P216">
        <v>0.66532999999999998</v>
      </c>
      <c r="Q216">
        <v>0.74834999999999996</v>
      </c>
      <c r="R216">
        <v>0.78454000000000002</v>
      </c>
      <c r="S216">
        <v>0.84141999999999995</v>
      </c>
      <c r="T216">
        <v>0.86722999999999995</v>
      </c>
      <c r="U216">
        <v>0.80042999999999997</v>
      </c>
      <c r="V216">
        <v>0.82504</v>
      </c>
      <c r="W216">
        <v>0.87029000000000001</v>
      </c>
      <c r="X216">
        <v>0.92012000000000005</v>
      </c>
      <c r="Y216">
        <v>0.98607999999999996</v>
      </c>
      <c r="Z216">
        <v>0.94113000000000002</v>
      </c>
      <c r="AA216">
        <v>0.99375000000000002</v>
      </c>
      <c r="AB216">
        <v>1.0205900000000001</v>
      </c>
      <c r="AC216">
        <v>1.0595600000000001</v>
      </c>
      <c r="AD216">
        <v>1.07098</v>
      </c>
      <c r="AE216">
        <v>0.95579000000000003</v>
      </c>
      <c r="AF216">
        <v>1.14331</v>
      </c>
      <c r="AG216">
        <v>1.19285</v>
      </c>
      <c r="AH216">
        <v>1.27511</v>
      </c>
      <c r="AI216">
        <v>1.2947</v>
      </c>
      <c r="AJ216">
        <v>1.3331</v>
      </c>
      <c r="AK216">
        <v>1.16455</v>
      </c>
      <c r="AL216">
        <v>1.4147700000000001</v>
      </c>
      <c r="AM216">
        <v>1.51824</v>
      </c>
      <c r="AN216">
        <v>1.35581</v>
      </c>
      <c r="AO216">
        <v>1.5928</v>
      </c>
      <c r="AP216">
        <v>1.7009700000000001</v>
      </c>
      <c r="AQ216">
        <v>1.52606</v>
      </c>
      <c r="AR216">
        <v>1.75617</v>
      </c>
      <c r="AS216">
        <v>1.8107500000000001</v>
      </c>
      <c r="AT216">
        <v>1.8644499999999999</v>
      </c>
      <c r="AU216">
        <v>1.8561099999999999</v>
      </c>
      <c r="AV216">
        <v>1.75366</v>
      </c>
      <c r="AW216">
        <v>2.3163</v>
      </c>
      <c r="AX216">
        <v>2.2971599999999999</v>
      </c>
      <c r="AY216">
        <v>2.3693200000000001</v>
      </c>
      <c r="AZ216">
        <v>2.4086400000000001</v>
      </c>
      <c r="BA216">
        <v>2.4320200000000001</v>
      </c>
      <c r="BB216">
        <v>2.46035</v>
      </c>
      <c r="BC216">
        <v>2.5030600000000001</v>
      </c>
      <c r="BD216">
        <v>2.5388899999999999</v>
      </c>
      <c r="BE216">
        <v>2.4378600000000001</v>
      </c>
      <c r="BF216">
        <v>2.6124000000000001</v>
      </c>
      <c r="BG216">
        <v>2.5958000000000001</v>
      </c>
      <c r="BH216">
        <v>2.5750199999999999</v>
      </c>
      <c r="BI216">
        <v>2.5634600000000001</v>
      </c>
      <c r="BJ216">
        <v>2.5641400000000001</v>
      </c>
      <c r="BK216">
        <v>2.5488900000000001</v>
      </c>
      <c r="BL216">
        <v>2.5415199999999998</v>
      </c>
      <c r="BM216">
        <v>2.5382099999999999</v>
      </c>
      <c r="BN216">
        <v>2.5348899999999999</v>
      </c>
      <c r="BO216">
        <v>2.4708999999999999</v>
      </c>
      <c r="BP216">
        <v>2.5315699999999999</v>
      </c>
      <c r="BQ216">
        <v>2.5315799999999999</v>
      </c>
      <c r="BR216">
        <v>2.53898</v>
      </c>
      <c r="BS216">
        <v>2.5389900000000001</v>
      </c>
      <c r="BT216">
        <v>2.5390000000000001</v>
      </c>
      <c r="BW216">
        <v>2.5290300000000001</v>
      </c>
      <c r="BX216">
        <v>2.5290400000000002</v>
      </c>
      <c r="BY216">
        <v>2.52407</v>
      </c>
      <c r="BZ216">
        <v>2.5079400000000001</v>
      </c>
      <c r="CA216">
        <v>2.5079500000000001</v>
      </c>
      <c r="CB216">
        <v>2.5079600000000002</v>
      </c>
      <c r="CC216">
        <v>2.5084</v>
      </c>
      <c r="CD216">
        <v>2.5050699999999999</v>
      </c>
      <c r="CE216">
        <v>2.5081099999999998</v>
      </c>
      <c r="CF216">
        <v>2.5081199999999999</v>
      </c>
      <c r="CG216">
        <v>2.5031300000000001</v>
      </c>
      <c r="CH216">
        <v>2.5057700000000001</v>
      </c>
      <c r="CI216">
        <v>2.5057800000000001</v>
      </c>
      <c r="CJ216">
        <v>2.5057900000000002</v>
      </c>
      <c r="CK216">
        <v>2.4951300000000001</v>
      </c>
      <c r="CL216">
        <v>2.4951300000000001</v>
      </c>
      <c r="CM216">
        <v>2.4951400000000001</v>
      </c>
      <c r="CN216">
        <v>2.4918300000000002</v>
      </c>
      <c r="CO216">
        <v>2.49308</v>
      </c>
      <c r="CP216">
        <v>2.49309</v>
      </c>
      <c r="CQ216">
        <v>2.49377</v>
      </c>
      <c r="CS216">
        <v>2.4904500000000001</v>
      </c>
      <c r="CT216">
        <v>2.4871300000000001</v>
      </c>
      <c r="CU216">
        <v>2.4871400000000001</v>
      </c>
      <c r="CV216">
        <v>2.4871400000000001</v>
      </c>
      <c r="CW216">
        <v>2.4838100000000001</v>
      </c>
      <c r="CX216">
        <v>2.4838100000000001</v>
      </c>
      <c r="CY216">
        <v>2.4881500000000001</v>
      </c>
      <c r="CZ216">
        <v>2.4881600000000001</v>
      </c>
      <c r="DA216">
        <v>2.47614</v>
      </c>
      <c r="DB216">
        <v>2.47614</v>
      </c>
      <c r="DC216">
        <v>2.35582</v>
      </c>
    </row>
    <row r="217" spans="1:107" x14ac:dyDescent="0.25">
      <c r="A217">
        <f t="shared" si="3"/>
        <v>3</v>
      </c>
      <c r="B217" s="2">
        <v>42318</v>
      </c>
      <c r="H217">
        <v>0.41266000000000003</v>
      </c>
      <c r="I217">
        <v>0.40611999999999998</v>
      </c>
      <c r="J217">
        <v>0.52500000000000002</v>
      </c>
      <c r="K217">
        <v>0.53924000000000005</v>
      </c>
      <c r="L217">
        <v>0.59204000000000001</v>
      </c>
      <c r="M217">
        <v>0.61124999999999996</v>
      </c>
      <c r="N217">
        <v>0.52961000000000003</v>
      </c>
      <c r="O217">
        <v>0.62729999999999997</v>
      </c>
      <c r="P217">
        <v>0.63887000000000005</v>
      </c>
      <c r="Q217">
        <v>0.72777999999999998</v>
      </c>
      <c r="R217">
        <v>0.7671</v>
      </c>
      <c r="S217">
        <v>0.82504999999999995</v>
      </c>
      <c r="T217">
        <v>0.85024999999999995</v>
      </c>
      <c r="U217">
        <v>0.78615000000000002</v>
      </c>
      <c r="V217">
        <v>0.80894999999999995</v>
      </c>
      <c r="W217">
        <v>0.85472999999999999</v>
      </c>
      <c r="X217">
        <v>0.91049000000000002</v>
      </c>
      <c r="Y217">
        <v>0.97016999999999998</v>
      </c>
      <c r="Z217">
        <v>0.92527999999999999</v>
      </c>
      <c r="AA217">
        <v>0.97577999999999998</v>
      </c>
      <c r="AB217">
        <v>1.0047600000000001</v>
      </c>
      <c r="AC217">
        <v>1.0377099999999999</v>
      </c>
      <c r="AD217">
        <v>1.0461800000000001</v>
      </c>
      <c r="AE217">
        <v>0.93325000000000002</v>
      </c>
      <c r="AF217">
        <v>1.11982</v>
      </c>
      <c r="AG217">
        <v>1.16838</v>
      </c>
      <c r="AH217">
        <v>1.25159</v>
      </c>
      <c r="AI217">
        <v>1.27034</v>
      </c>
      <c r="AJ217">
        <v>1.3078099999999999</v>
      </c>
      <c r="AK217">
        <v>1.1418999999999999</v>
      </c>
      <c r="AL217">
        <v>1.3914500000000001</v>
      </c>
      <c r="AM217">
        <v>1.49596</v>
      </c>
      <c r="AN217">
        <v>1.3355600000000001</v>
      </c>
      <c r="AO217">
        <v>1.57222</v>
      </c>
      <c r="AP217">
        <v>1.6840900000000001</v>
      </c>
      <c r="AQ217">
        <v>1.5056</v>
      </c>
      <c r="AR217">
        <v>1.73458</v>
      </c>
      <c r="AS217">
        <v>1.78938</v>
      </c>
      <c r="AT217">
        <v>1.85514</v>
      </c>
      <c r="AU217">
        <v>1.8374200000000001</v>
      </c>
      <c r="AV217">
        <v>1.73126</v>
      </c>
      <c r="AW217">
        <v>2.2950200000000001</v>
      </c>
      <c r="AX217">
        <v>2.2707099999999998</v>
      </c>
      <c r="AY217">
        <v>2.34843</v>
      </c>
      <c r="AZ217">
        <v>2.3889499999999999</v>
      </c>
      <c r="BA217">
        <v>2.4066100000000001</v>
      </c>
      <c r="BB217">
        <v>2.4360599999999999</v>
      </c>
      <c r="BC217">
        <v>2.4779300000000002</v>
      </c>
      <c r="BD217">
        <v>2.5158700000000001</v>
      </c>
      <c r="BE217">
        <v>2.41472</v>
      </c>
      <c r="BF217">
        <v>2.5866500000000001</v>
      </c>
      <c r="BG217">
        <v>2.5693600000000001</v>
      </c>
      <c r="BH217">
        <v>2.5500699999999998</v>
      </c>
      <c r="BI217">
        <v>2.54298</v>
      </c>
      <c r="BJ217">
        <v>2.5398100000000001</v>
      </c>
      <c r="BK217">
        <v>2.5211999999999999</v>
      </c>
      <c r="BL217">
        <v>2.51789</v>
      </c>
      <c r="BM217">
        <v>2.51458</v>
      </c>
      <c r="BN217">
        <v>2.5146000000000002</v>
      </c>
      <c r="BO217">
        <v>2.44563</v>
      </c>
      <c r="BP217">
        <v>2.5079600000000002</v>
      </c>
      <c r="BQ217">
        <v>2.5079899999999999</v>
      </c>
      <c r="BR217">
        <v>2.5141499999999999</v>
      </c>
      <c r="BS217">
        <v>2.51417</v>
      </c>
      <c r="BT217">
        <v>2.5291700000000001</v>
      </c>
      <c r="BW217">
        <v>2.48976</v>
      </c>
      <c r="BX217">
        <v>2.5042499999999999</v>
      </c>
      <c r="BY217">
        <v>2.4947900000000001</v>
      </c>
      <c r="BZ217">
        <v>2.48482</v>
      </c>
      <c r="CA217">
        <v>2.4881600000000001</v>
      </c>
      <c r="CB217">
        <v>2.4881799999999998</v>
      </c>
      <c r="CC217">
        <v>2.4848699999999999</v>
      </c>
      <c r="CD217">
        <v>2.4853999999999998</v>
      </c>
      <c r="CE217">
        <v>2.48821</v>
      </c>
      <c r="CF217">
        <v>2.4882300000000002</v>
      </c>
      <c r="CG217">
        <v>2.4804400000000002</v>
      </c>
      <c r="CH217">
        <v>2.4815900000000002</v>
      </c>
      <c r="CI217">
        <v>2.4815999999999998</v>
      </c>
      <c r="CJ217">
        <v>2.4816099999999999</v>
      </c>
      <c r="CK217">
        <v>2.4756900000000002</v>
      </c>
      <c r="CL217">
        <v>2.4756999999999998</v>
      </c>
      <c r="CM217">
        <v>2.4757099999999999</v>
      </c>
      <c r="CN217">
        <v>2.4707400000000002</v>
      </c>
      <c r="CO217">
        <v>2.4726599999999999</v>
      </c>
      <c r="CP217">
        <v>2.4726699999999999</v>
      </c>
      <c r="CQ217">
        <v>2.4660099999999998</v>
      </c>
      <c r="CS217">
        <v>2.4660500000000001</v>
      </c>
      <c r="CT217">
        <v>2.4627300000000001</v>
      </c>
      <c r="CU217">
        <v>2.4627400000000002</v>
      </c>
      <c r="CV217">
        <v>2.4627500000000002</v>
      </c>
      <c r="CW217">
        <v>2.4594100000000001</v>
      </c>
      <c r="CX217">
        <v>2.4594200000000002</v>
      </c>
      <c r="CY217">
        <v>2.4651299999999998</v>
      </c>
      <c r="CZ217">
        <v>2.4508299999999998</v>
      </c>
      <c r="DA217">
        <v>2.4483199999999998</v>
      </c>
      <c r="DB217">
        <v>2.4483199999999998</v>
      </c>
      <c r="DC217">
        <v>2.3368699999999998</v>
      </c>
    </row>
    <row r="218" spans="1:107" x14ac:dyDescent="0.25">
      <c r="A218">
        <f t="shared" si="3"/>
        <v>5</v>
      </c>
      <c r="B218" s="2">
        <v>42320</v>
      </c>
      <c r="H218">
        <v>0.39822999999999997</v>
      </c>
      <c r="I218">
        <v>0.41683999999999999</v>
      </c>
      <c r="J218">
        <v>0.52954999999999997</v>
      </c>
      <c r="K218">
        <v>0.55340999999999996</v>
      </c>
      <c r="L218">
        <v>0.58599999999999997</v>
      </c>
      <c r="M218">
        <v>0.60346999999999995</v>
      </c>
      <c r="N218">
        <v>0.52456999999999998</v>
      </c>
      <c r="O218">
        <v>0.62055000000000005</v>
      </c>
      <c r="P218">
        <v>0.63200000000000001</v>
      </c>
      <c r="Q218">
        <v>0.71786000000000005</v>
      </c>
      <c r="R218">
        <v>0.75746000000000002</v>
      </c>
      <c r="S218">
        <v>0.79047000000000001</v>
      </c>
      <c r="T218">
        <v>0.83928999999999998</v>
      </c>
      <c r="U218">
        <v>0.77393999999999996</v>
      </c>
      <c r="V218">
        <v>0.79862</v>
      </c>
      <c r="W218">
        <v>0.84414999999999996</v>
      </c>
      <c r="X218">
        <v>0.90036000000000005</v>
      </c>
      <c r="Y218">
        <v>0.95662000000000003</v>
      </c>
      <c r="Z218">
        <v>0.91388000000000003</v>
      </c>
      <c r="AA218">
        <v>0.96428000000000003</v>
      </c>
      <c r="AB218">
        <v>0.99314000000000002</v>
      </c>
      <c r="AC218">
        <v>1.02362</v>
      </c>
      <c r="AD218">
        <v>1.0310900000000001</v>
      </c>
      <c r="AE218">
        <v>0.91886000000000001</v>
      </c>
      <c r="AF218">
        <v>1.1073</v>
      </c>
      <c r="AG218">
        <v>1.1533</v>
      </c>
      <c r="AH218">
        <v>1.23824</v>
      </c>
      <c r="AI218">
        <v>1.2583899999999999</v>
      </c>
      <c r="AJ218">
        <v>1.2968299999999999</v>
      </c>
      <c r="AK218">
        <v>1.1293299999999999</v>
      </c>
      <c r="AL218">
        <v>1.3785000000000001</v>
      </c>
      <c r="AM218">
        <v>1.48346</v>
      </c>
      <c r="AN218">
        <v>1.3245800000000001</v>
      </c>
      <c r="AO218">
        <v>1.55941</v>
      </c>
      <c r="AP218">
        <v>1.67648</v>
      </c>
      <c r="AQ218">
        <v>1.50397</v>
      </c>
      <c r="AR218">
        <v>1.7323900000000001</v>
      </c>
      <c r="AS218">
        <v>1.78905</v>
      </c>
      <c r="AT218">
        <v>1.8435699999999999</v>
      </c>
      <c r="AU218">
        <v>1.8354200000000001</v>
      </c>
      <c r="AV218">
        <v>1.7261299999999999</v>
      </c>
      <c r="AW218">
        <v>2.2787799999999998</v>
      </c>
      <c r="AX218">
        <v>2.2580300000000002</v>
      </c>
      <c r="AY218">
        <v>2.3282099999999999</v>
      </c>
      <c r="AZ218">
        <v>2.3658899999999998</v>
      </c>
      <c r="BA218">
        <v>2.3854600000000001</v>
      </c>
      <c r="BB218">
        <v>2.4266000000000001</v>
      </c>
      <c r="BC218">
        <v>2.4622799999999998</v>
      </c>
      <c r="BD218">
        <v>2.5072899999999998</v>
      </c>
      <c r="BE218">
        <v>2.4092899999999999</v>
      </c>
      <c r="BF218">
        <v>2.5728</v>
      </c>
      <c r="BG218">
        <v>2.56202</v>
      </c>
      <c r="BH218">
        <v>2.5454599999999998</v>
      </c>
      <c r="BI218">
        <v>2.5341200000000002</v>
      </c>
      <c r="BJ218">
        <v>2.5319199999999999</v>
      </c>
      <c r="BK218">
        <v>2.5082800000000001</v>
      </c>
      <c r="BL218">
        <v>2.5106999999999999</v>
      </c>
      <c r="BM218">
        <v>2.5057200000000002</v>
      </c>
      <c r="BN218">
        <v>2.4983399999999998</v>
      </c>
      <c r="BO218">
        <v>2.4316900000000001</v>
      </c>
      <c r="BP218">
        <v>2.5007600000000001</v>
      </c>
      <c r="BQ218">
        <v>2.5007799999999998</v>
      </c>
      <c r="BR218">
        <v>2.4856500000000001</v>
      </c>
      <c r="BS218">
        <v>2.4856699999999998</v>
      </c>
      <c r="BT218">
        <v>2.48068</v>
      </c>
      <c r="BW218">
        <v>2.4757199999999999</v>
      </c>
      <c r="BX218">
        <v>2.47573</v>
      </c>
      <c r="BY218">
        <v>2.4757500000000001</v>
      </c>
      <c r="BZ218">
        <v>2.4859</v>
      </c>
      <c r="CA218">
        <v>2.4809199999999998</v>
      </c>
      <c r="CB218">
        <v>2.4809399999999999</v>
      </c>
      <c r="CC218">
        <v>2.4759500000000001</v>
      </c>
      <c r="CD218">
        <v>2.4759699999999998</v>
      </c>
      <c r="CE218">
        <v>2.4759799999999998</v>
      </c>
      <c r="CF218">
        <v>2.4759899999999999</v>
      </c>
      <c r="CG218">
        <v>2.4828600000000001</v>
      </c>
      <c r="CH218">
        <v>2.4778799999999999</v>
      </c>
      <c r="CI218">
        <v>2.4778899999999999</v>
      </c>
      <c r="CJ218">
        <v>2.4779</v>
      </c>
      <c r="CK218">
        <v>2.4799099999999998</v>
      </c>
      <c r="CL218">
        <v>2.4799199999999999</v>
      </c>
      <c r="CM218">
        <v>2.47993</v>
      </c>
      <c r="CN218">
        <v>2.46468</v>
      </c>
      <c r="CO218">
        <v>2.4630200000000002</v>
      </c>
      <c r="CP218">
        <v>2.4630299999999998</v>
      </c>
      <c r="CQ218">
        <v>2.4500199999999999</v>
      </c>
      <c r="CS218">
        <v>2.4509699999999999</v>
      </c>
      <c r="CT218">
        <v>2.4479600000000001</v>
      </c>
      <c r="CU218">
        <v>2.4479700000000002</v>
      </c>
      <c r="CV218">
        <v>2.4479799999999998</v>
      </c>
      <c r="CW218">
        <v>2.44299</v>
      </c>
      <c r="CX218">
        <v>2.4430000000000001</v>
      </c>
      <c r="CY218">
        <v>2.4430100000000001</v>
      </c>
      <c r="CZ218">
        <v>2.4281700000000002</v>
      </c>
      <c r="DA218">
        <v>2.4380099999999998</v>
      </c>
      <c r="DB218">
        <v>2.4380199999999999</v>
      </c>
      <c r="DC218">
        <v>2.3271700000000002</v>
      </c>
    </row>
    <row r="219" spans="1:107" x14ac:dyDescent="0.25">
      <c r="A219">
        <f t="shared" si="3"/>
        <v>6</v>
      </c>
      <c r="B219" s="2">
        <v>42321</v>
      </c>
      <c r="H219">
        <v>0.37963000000000002</v>
      </c>
      <c r="I219">
        <v>0.40389000000000003</v>
      </c>
      <c r="J219">
        <v>0.51500000000000001</v>
      </c>
      <c r="K219">
        <v>0.53705000000000003</v>
      </c>
      <c r="L219">
        <v>0.55225000000000002</v>
      </c>
      <c r="M219">
        <v>0.58377999999999997</v>
      </c>
      <c r="N219">
        <v>0.51507000000000003</v>
      </c>
      <c r="O219">
        <v>0.60985</v>
      </c>
      <c r="P219">
        <v>0.61382000000000003</v>
      </c>
      <c r="Q219">
        <v>0.68123</v>
      </c>
      <c r="R219">
        <v>0.72248999999999997</v>
      </c>
      <c r="S219">
        <v>0.77929999999999999</v>
      </c>
      <c r="T219">
        <v>0.80435999999999996</v>
      </c>
      <c r="U219">
        <v>0.73750000000000004</v>
      </c>
      <c r="V219">
        <v>0.76278000000000001</v>
      </c>
      <c r="W219">
        <v>0.80808999999999997</v>
      </c>
      <c r="X219">
        <v>0.86448999999999998</v>
      </c>
      <c r="Y219">
        <v>0.91871000000000003</v>
      </c>
      <c r="Z219">
        <v>0.87748999999999999</v>
      </c>
      <c r="AA219">
        <v>0.92676999999999998</v>
      </c>
      <c r="AB219">
        <v>0.94828000000000001</v>
      </c>
      <c r="AC219">
        <v>0.97840000000000005</v>
      </c>
      <c r="AD219">
        <v>0.97024999999999995</v>
      </c>
      <c r="AE219">
        <v>0.87253999999999998</v>
      </c>
      <c r="AF219">
        <v>1.0628</v>
      </c>
      <c r="AG219">
        <v>1.1005199999999999</v>
      </c>
      <c r="AH219">
        <v>1.1943299999999999</v>
      </c>
      <c r="AI219">
        <v>1.21356</v>
      </c>
      <c r="AJ219">
        <v>1.2492399999999999</v>
      </c>
      <c r="AK219">
        <v>1.0868100000000001</v>
      </c>
      <c r="AL219">
        <v>1.3320000000000001</v>
      </c>
      <c r="AM219">
        <v>1.4424399999999999</v>
      </c>
      <c r="AN219">
        <v>1.2872300000000001</v>
      </c>
      <c r="AO219">
        <v>1.52041</v>
      </c>
      <c r="AP219">
        <v>1.6234999999999999</v>
      </c>
      <c r="AQ219">
        <v>1.4397500000000001</v>
      </c>
      <c r="AR219">
        <v>1.67432</v>
      </c>
      <c r="AS219">
        <v>1.73403</v>
      </c>
      <c r="AT219">
        <v>1.80017</v>
      </c>
      <c r="AU219">
        <v>1.77539</v>
      </c>
      <c r="AV219">
        <v>1.67195</v>
      </c>
      <c r="AW219">
        <v>2.2260900000000001</v>
      </c>
      <c r="AX219">
        <v>2.2135600000000002</v>
      </c>
      <c r="AY219">
        <v>2.27752</v>
      </c>
      <c r="AZ219">
        <v>2.3199800000000002</v>
      </c>
      <c r="BA219">
        <v>2.3328099999999998</v>
      </c>
      <c r="BB219">
        <v>2.3769300000000002</v>
      </c>
      <c r="BC219">
        <v>2.4087299999999998</v>
      </c>
      <c r="BD219">
        <v>2.4652099999999999</v>
      </c>
      <c r="BE219">
        <v>2.3658000000000001</v>
      </c>
      <c r="BF219">
        <v>2.5293399999999999</v>
      </c>
      <c r="BG219">
        <v>2.5193699999999999</v>
      </c>
      <c r="BH219">
        <v>2.4957500000000001</v>
      </c>
      <c r="BI219">
        <v>2.48977</v>
      </c>
      <c r="BJ219">
        <v>2.4867900000000001</v>
      </c>
      <c r="BK219">
        <v>2.4641600000000001</v>
      </c>
      <c r="BL219">
        <v>2.46584</v>
      </c>
      <c r="BM219">
        <v>2.4608599999999998</v>
      </c>
      <c r="BN219">
        <v>2.4542199999999998</v>
      </c>
      <c r="BO219">
        <v>2.3894099999999998</v>
      </c>
      <c r="BP219">
        <v>2.4559000000000002</v>
      </c>
      <c r="BQ219">
        <v>2.4559199999999999</v>
      </c>
      <c r="BR219">
        <v>2.4509099999999999</v>
      </c>
      <c r="BS219">
        <v>2.4509300000000001</v>
      </c>
      <c r="BT219">
        <v>2.45594</v>
      </c>
      <c r="BW219">
        <v>2.4310200000000002</v>
      </c>
      <c r="BX219">
        <v>2.4310399999999999</v>
      </c>
      <c r="BY219">
        <v>2.4310499999999999</v>
      </c>
      <c r="BZ219">
        <v>2.44103</v>
      </c>
      <c r="CA219">
        <v>2.4360599999999999</v>
      </c>
      <c r="CB219">
        <v>2.43608</v>
      </c>
      <c r="CC219">
        <v>2.4277600000000001</v>
      </c>
      <c r="CD219">
        <v>2.4311099999999999</v>
      </c>
      <c r="CE219">
        <v>2.4311199999999999</v>
      </c>
      <c r="CF219">
        <v>2.43113</v>
      </c>
      <c r="CG219">
        <v>2.43615</v>
      </c>
      <c r="CH219">
        <v>2.4311699999999998</v>
      </c>
      <c r="CI219">
        <v>2.4311799999999999</v>
      </c>
      <c r="CJ219">
        <v>2.43119</v>
      </c>
      <c r="CK219">
        <v>2.4337</v>
      </c>
      <c r="CL219">
        <v>2.43371</v>
      </c>
      <c r="CM219">
        <v>2.4337200000000001</v>
      </c>
      <c r="CN219">
        <v>2.41621</v>
      </c>
      <c r="CO219">
        <v>2.4137200000000001</v>
      </c>
      <c r="CP219">
        <v>2.4137300000000002</v>
      </c>
      <c r="CQ219">
        <v>2.4062399999999999</v>
      </c>
      <c r="CS219">
        <v>2.4062700000000001</v>
      </c>
      <c r="CT219">
        <v>2.4037899999999999</v>
      </c>
      <c r="CU219">
        <v>2.4037899999999999</v>
      </c>
      <c r="CV219">
        <v>2.4037999999999999</v>
      </c>
      <c r="CW219">
        <v>2.3988100000000001</v>
      </c>
      <c r="CX219">
        <v>2.3988200000000002</v>
      </c>
      <c r="CY219">
        <v>2.3988299999999998</v>
      </c>
      <c r="CZ219">
        <v>2.3838300000000001</v>
      </c>
      <c r="DA219">
        <v>2.3938299999999999</v>
      </c>
      <c r="DB219">
        <v>2.39384</v>
      </c>
      <c r="DC219">
        <v>2.2830400000000002</v>
      </c>
    </row>
    <row r="220" spans="1:107" x14ac:dyDescent="0.25">
      <c r="A220">
        <f t="shared" si="3"/>
        <v>2</v>
      </c>
      <c r="B220" s="2">
        <v>42324</v>
      </c>
      <c r="H220">
        <v>0.42764000000000002</v>
      </c>
      <c r="I220">
        <v>0.4461</v>
      </c>
      <c r="J220">
        <v>0.52456999999999998</v>
      </c>
      <c r="K220">
        <v>0.54354000000000002</v>
      </c>
      <c r="L220">
        <v>0.56505000000000005</v>
      </c>
      <c r="M220">
        <v>0.58879000000000004</v>
      </c>
      <c r="N220">
        <v>0.51888000000000001</v>
      </c>
      <c r="O220">
        <v>0.61258999999999997</v>
      </c>
      <c r="P220">
        <v>0.62022999999999995</v>
      </c>
      <c r="Q220">
        <v>0.68313999999999997</v>
      </c>
      <c r="R220">
        <v>0.72326000000000001</v>
      </c>
      <c r="S220">
        <v>0.78051999999999999</v>
      </c>
      <c r="T220">
        <v>0.80486000000000002</v>
      </c>
      <c r="U220">
        <v>0.74095</v>
      </c>
      <c r="V220">
        <v>0.76534999999999997</v>
      </c>
      <c r="W220">
        <v>0.81023999999999996</v>
      </c>
      <c r="X220">
        <v>0.85940000000000005</v>
      </c>
      <c r="Y220">
        <v>0.92164000000000001</v>
      </c>
      <c r="Z220">
        <v>0.87914000000000003</v>
      </c>
      <c r="AA220">
        <v>0.92935999999999996</v>
      </c>
      <c r="AB220">
        <v>0.95909999999999995</v>
      </c>
      <c r="AC220">
        <v>0.96077000000000001</v>
      </c>
      <c r="AD220">
        <v>0.96704000000000001</v>
      </c>
      <c r="AE220">
        <v>0.86970999999999998</v>
      </c>
      <c r="AF220">
        <v>1.0584899999999999</v>
      </c>
      <c r="AG220">
        <v>1.09494</v>
      </c>
      <c r="AH220">
        <v>1.1883699999999999</v>
      </c>
      <c r="AI220">
        <v>1.20878</v>
      </c>
      <c r="AJ220">
        <v>1.2432000000000001</v>
      </c>
      <c r="AK220">
        <v>1.0808199999999999</v>
      </c>
      <c r="AL220">
        <v>1.32677</v>
      </c>
      <c r="AM220">
        <v>1.44391</v>
      </c>
      <c r="AN220">
        <v>1.28383</v>
      </c>
      <c r="AO220">
        <v>1.51755</v>
      </c>
      <c r="AP220">
        <v>1.6194500000000001</v>
      </c>
      <c r="AQ220">
        <v>1.4431400000000001</v>
      </c>
      <c r="AR220">
        <v>1.6732400000000001</v>
      </c>
      <c r="AS220">
        <v>1.72899</v>
      </c>
      <c r="AT220">
        <v>1.78427</v>
      </c>
      <c r="AU220">
        <v>1.7803800000000001</v>
      </c>
      <c r="AV220">
        <v>1.6712199999999999</v>
      </c>
      <c r="AW220">
        <v>2.2227299999999999</v>
      </c>
      <c r="AX220">
        <v>2.2078700000000002</v>
      </c>
      <c r="AY220">
        <v>2.2680500000000001</v>
      </c>
      <c r="AZ220">
        <v>2.3060100000000001</v>
      </c>
      <c r="BA220">
        <v>2.3247200000000001</v>
      </c>
      <c r="BB220">
        <v>2.3718699999999999</v>
      </c>
      <c r="BC220">
        <v>2.40856</v>
      </c>
      <c r="BD220">
        <v>2.4630399999999999</v>
      </c>
      <c r="BE220">
        <v>2.3641999999999999</v>
      </c>
      <c r="BF220">
        <v>2.5261499999999999</v>
      </c>
      <c r="BG220">
        <v>2.5168400000000002</v>
      </c>
      <c r="BH220">
        <v>2.4928400000000002</v>
      </c>
      <c r="BI220">
        <v>2.48672</v>
      </c>
      <c r="BJ220">
        <v>2.4842200000000001</v>
      </c>
      <c r="BK220">
        <v>2.4609000000000001</v>
      </c>
      <c r="BL220">
        <v>2.4627599999999998</v>
      </c>
      <c r="BM220">
        <v>2.4577800000000001</v>
      </c>
      <c r="BN220">
        <v>2.4509400000000001</v>
      </c>
      <c r="BO220">
        <v>2.3885299999999998</v>
      </c>
      <c r="BP220">
        <v>2.4527999999999999</v>
      </c>
      <c r="BQ220">
        <v>2.4528099999999999</v>
      </c>
      <c r="BR220">
        <v>2.4476100000000001</v>
      </c>
      <c r="BS220">
        <v>2.4373</v>
      </c>
      <c r="BT220">
        <v>2.4527999999999999</v>
      </c>
      <c r="BW220">
        <v>2.42733</v>
      </c>
      <c r="BX220">
        <v>2.4273400000000001</v>
      </c>
      <c r="BY220">
        <v>2.4273500000000001</v>
      </c>
      <c r="BZ220">
        <v>2.4378700000000002</v>
      </c>
      <c r="CA220">
        <v>2.4223599999999998</v>
      </c>
      <c r="CB220">
        <v>2.4223699999999999</v>
      </c>
      <c r="CC220">
        <v>2.4243999999999999</v>
      </c>
      <c r="CD220">
        <v>2.4279199999999999</v>
      </c>
      <c r="CE220">
        <v>2.4279299999999999</v>
      </c>
      <c r="CF220">
        <v>2.42794</v>
      </c>
      <c r="CG220">
        <v>2.4229400000000001</v>
      </c>
      <c r="CH220">
        <v>2.42842</v>
      </c>
      <c r="CI220">
        <v>2.4284300000000001</v>
      </c>
      <c r="CJ220">
        <v>2.4284400000000002</v>
      </c>
      <c r="CK220">
        <v>2.4309400000000001</v>
      </c>
      <c r="CL220">
        <v>2.4309400000000001</v>
      </c>
      <c r="CM220">
        <v>2.4309500000000002</v>
      </c>
      <c r="CN220">
        <v>2.4129900000000002</v>
      </c>
      <c r="CO220">
        <v>2.4104899999999998</v>
      </c>
      <c r="CP220">
        <v>2.4104899999999998</v>
      </c>
      <c r="CQ220">
        <v>2.4034900000000001</v>
      </c>
      <c r="CS220">
        <v>2.4024800000000002</v>
      </c>
      <c r="CT220">
        <v>2.4009900000000002</v>
      </c>
      <c r="CU220">
        <v>2.4031600000000002</v>
      </c>
      <c r="CV220">
        <v>2.4031699999999998</v>
      </c>
      <c r="CW220">
        <v>2.39601</v>
      </c>
      <c r="CX220">
        <v>2.39602</v>
      </c>
      <c r="CY220">
        <v>2.39602</v>
      </c>
      <c r="CZ220">
        <v>2.3910200000000001</v>
      </c>
      <c r="DA220">
        <v>2.3910200000000001</v>
      </c>
      <c r="DB220">
        <v>2.3910200000000001</v>
      </c>
      <c r="DC220">
        <v>2.2780800000000001</v>
      </c>
    </row>
    <row r="221" spans="1:107" x14ac:dyDescent="0.25">
      <c r="A221">
        <f t="shared" si="3"/>
        <v>3</v>
      </c>
      <c r="B221" s="2">
        <v>42325</v>
      </c>
      <c r="H221">
        <v>0.42126999999999998</v>
      </c>
      <c r="I221">
        <v>0.44058000000000003</v>
      </c>
      <c r="J221">
        <v>0.52442999999999995</v>
      </c>
      <c r="K221">
        <v>0.54727000000000003</v>
      </c>
      <c r="L221">
        <v>0.55879999999999996</v>
      </c>
      <c r="M221">
        <v>0.58877000000000002</v>
      </c>
      <c r="N221">
        <v>0.51865000000000006</v>
      </c>
      <c r="O221">
        <v>0.61529</v>
      </c>
      <c r="P221">
        <v>0.62251000000000001</v>
      </c>
      <c r="Q221">
        <v>0.69493000000000005</v>
      </c>
      <c r="R221">
        <v>0.73319000000000001</v>
      </c>
      <c r="S221">
        <v>0.79022000000000003</v>
      </c>
      <c r="T221">
        <v>0.81474000000000002</v>
      </c>
      <c r="U221">
        <v>0.75324000000000002</v>
      </c>
      <c r="V221">
        <v>0.77751999999999999</v>
      </c>
      <c r="W221">
        <v>0.82160999999999995</v>
      </c>
      <c r="X221">
        <v>0.87792000000000003</v>
      </c>
      <c r="Y221">
        <v>0.93225000000000002</v>
      </c>
      <c r="Z221">
        <v>0.88978999999999997</v>
      </c>
      <c r="AA221">
        <v>0.94030999999999998</v>
      </c>
      <c r="AB221">
        <v>0.96879999999999999</v>
      </c>
      <c r="AC221">
        <v>0.97016000000000002</v>
      </c>
      <c r="AD221">
        <v>0.97216999999999998</v>
      </c>
      <c r="AE221">
        <v>0.87777000000000005</v>
      </c>
      <c r="AF221">
        <v>1.06637</v>
      </c>
      <c r="AG221">
        <v>1.10063</v>
      </c>
      <c r="AH221">
        <v>1.19547</v>
      </c>
      <c r="AI221">
        <v>1.2178199999999999</v>
      </c>
      <c r="AJ221">
        <v>1.25607</v>
      </c>
      <c r="AK221">
        <v>1.0866100000000001</v>
      </c>
      <c r="AL221">
        <v>1.33771</v>
      </c>
      <c r="AM221">
        <v>1.44529</v>
      </c>
      <c r="AN221">
        <v>1.28624</v>
      </c>
      <c r="AO221">
        <v>1.52607</v>
      </c>
      <c r="AP221">
        <v>1.6265799999999999</v>
      </c>
      <c r="AQ221">
        <v>1.45021</v>
      </c>
      <c r="AR221">
        <v>1.6803900000000001</v>
      </c>
      <c r="AS221">
        <v>1.73935</v>
      </c>
      <c r="AT221">
        <v>1.8012999999999999</v>
      </c>
      <c r="AU221">
        <v>1.78481</v>
      </c>
      <c r="AV221">
        <v>1.6840200000000001</v>
      </c>
      <c r="AW221">
        <v>2.2280500000000001</v>
      </c>
      <c r="AX221">
        <v>2.2125699999999999</v>
      </c>
      <c r="AY221">
        <v>2.2767599999999999</v>
      </c>
      <c r="AZ221">
        <v>2.3121299999999998</v>
      </c>
      <c r="BA221">
        <v>2.3388200000000001</v>
      </c>
      <c r="BB221">
        <v>2.3801800000000002</v>
      </c>
      <c r="BC221">
        <v>2.4164500000000002</v>
      </c>
      <c r="BD221">
        <v>2.4715799999999999</v>
      </c>
      <c r="BE221">
        <v>2.3744200000000002</v>
      </c>
      <c r="BF221">
        <v>2.53416</v>
      </c>
      <c r="BG221">
        <v>2.5234299999999998</v>
      </c>
      <c r="BH221">
        <v>2.5011000000000001</v>
      </c>
      <c r="BI221">
        <v>2.4964599999999999</v>
      </c>
      <c r="BJ221">
        <v>2.4898099999999999</v>
      </c>
      <c r="BK221">
        <v>2.4675799999999999</v>
      </c>
      <c r="BL221">
        <v>2.4687700000000001</v>
      </c>
      <c r="BM221">
        <v>2.4637799999999999</v>
      </c>
      <c r="BN221">
        <v>2.4576099999999999</v>
      </c>
      <c r="BO221">
        <v>2.3915600000000001</v>
      </c>
      <c r="BP221">
        <v>2.4588000000000001</v>
      </c>
      <c r="BQ221">
        <v>2.4588100000000002</v>
      </c>
      <c r="BR221">
        <v>2.4542899999999999</v>
      </c>
      <c r="BS221">
        <v>2.4542999999999999</v>
      </c>
      <c r="BT221">
        <v>2.47722</v>
      </c>
      <c r="BW221">
        <v>2.4353400000000001</v>
      </c>
      <c r="BX221">
        <v>2.44434</v>
      </c>
      <c r="BY221">
        <v>2.4353600000000002</v>
      </c>
      <c r="BZ221">
        <v>2.4303599999999999</v>
      </c>
      <c r="CA221">
        <v>2.4388999999999998</v>
      </c>
      <c r="CB221">
        <v>2.4389099999999999</v>
      </c>
      <c r="CC221">
        <v>2.4310700000000001</v>
      </c>
      <c r="CD221">
        <v>2.4339300000000001</v>
      </c>
      <c r="CE221">
        <v>2.4339300000000001</v>
      </c>
      <c r="CF221">
        <v>2.4339400000000002</v>
      </c>
      <c r="CG221">
        <v>2.4388000000000001</v>
      </c>
      <c r="CH221">
        <v>2.4300299999999999</v>
      </c>
      <c r="CI221">
        <v>2.43004</v>
      </c>
      <c r="CJ221">
        <v>2.43004</v>
      </c>
      <c r="CK221">
        <v>2.4283600000000001</v>
      </c>
      <c r="CL221">
        <v>2.4283700000000001</v>
      </c>
      <c r="CM221">
        <v>2.4283700000000001</v>
      </c>
      <c r="CN221">
        <v>2.4217300000000002</v>
      </c>
      <c r="CO221">
        <v>2.4164099999999999</v>
      </c>
      <c r="CP221">
        <v>2.4164099999999999</v>
      </c>
      <c r="CQ221">
        <v>2.40842</v>
      </c>
      <c r="CS221">
        <v>2.4127399999999999</v>
      </c>
      <c r="CT221">
        <v>2.40638</v>
      </c>
      <c r="CU221">
        <v>2.40639</v>
      </c>
      <c r="CV221">
        <v>2.40639</v>
      </c>
      <c r="CW221">
        <v>2.4013900000000001</v>
      </c>
      <c r="CX221">
        <v>2.4014000000000002</v>
      </c>
      <c r="CY221">
        <v>2.4014000000000002</v>
      </c>
      <c r="CZ221">
        <v>2.3849399999999998</v>
      </c>
      <c r="DA221">
        <v>2.3963999999999999</v>
      </c>
      <c r="DB221">
        <v>2.3963999999999999</v>
      </c>
      <c r="DC221">
        <v>2.2840799999999999</v>
      </c>
    </row>
    <row r="222" spans="1:107" x14ac:dyDescent="0.25">
      <c r="A222">
        <f t="shared" si="3"/>
        <v>4</v>
      </c>
      <c r="B222" s="2">
        <v>42326</v>
      </c>
      <c r="H222">
        <v>0.37178</v>
      </c>
      <c r="I222">
        <v>0.34599000000000002</v>
      </c>
      <c r="J222">
        <v>0.51380000000000003</v>
      </c>
      <c r="K222">
        <v>0.54757</v>
      </c>
      <c r="L222">
        <v>0.56435000000000002</v>
      </c>
      <c r="M222">
        <v>0.58457999999999999</v>
      </c>
      <c r="N222">
        <v>0.51759999999999995</v>
      </c>
      <c r="O222">
        <v>0.61512</v>
      </c>
      <c r="P222">
        <v>0.63024000000000002</v>
      </c>
      <c r="Q222">
        <v>0.70989000000000002</v>
      </c>
      <c r="R222">
        <v>0.74805999999999995</v>
      </c>
      <c r="S222">
        <v>0.80488000000000004</v>
      </c>
      <c r="T222">
        <v>0.83011000000000001</v>
      </c>
      <c r="U222">
        <v>0.76817000000000002</v>
      </c>
      <c r="V222">
        <v>0.79179999999999995</v>
      </c>
      <c r="W222">
        <v>0.83625000000000005</v>
      </c>
      <c r="X222">
        <v>0.88607000000000002</v>
      </c>
      <c r="Y222">
        <v>0.94591000000000003</v>
      </c>
      <c r="Z222">
        <v>0.90268999999999999</v>
      </c>
      <c r="AA222">
        <v>0.95345999999999997</v>
      </c>
      <c r="AB222">
        <v>0.98233000000000004</v>
      </c>
      <c r="AC222">
        <v>0.98736999999999997</v>
      </c>
      <c r="AD222">
        <v>0.98900999999999994</v>
      </c>
      <c r="AE222">
        <v>0.89566999999999997</v>
      </c>
      <c r="AF222">
        <v>1.0823400000000001</v>
      </c>
      <c r="AG222">
        <v>1.1180099999999999</v>
      </c>
      <c r="AH222">
        <v>1.2149099999999999</v>
      </c>
      <c r="AI222">
        <v>1.23634</v>
      </c>
      <c r="AJ222">
        <v>1.27271</v>
      </c>
      <c r="AK222">
        <v>1.1028500000000001</v>
      </c>
      <c r="AL222">
        <v>1.3566800000000001</v>
      </c>
      <c r="AM222">
        <v>1.4613799999999999</v>
      </c>
      <c r="AN222">
        <v>1.2972999999999999</v>
      </c>
      <c r="AO222">
        <v>1.5361899999999999</v>
      </c>
      <c r="AP222">
        <v>1.6194500000000001</v>
      </c>
      <c r="AQ222">
        <v>1.4465699999999999</v>
      </c>
      <c r="AR222">
        <v>1.6732400000000001</v>
      </c>
      <c r="AS222">
        <v>1.72644</v>
      </c>
      <c r="AT222">
        <v>1.79139</v>
      </c>
      <c r="AU222">
        <v>1.78047</v>
      </c>
      <c r="AV222">
        <v>1.67458</v>
      </c>
      <c r="AW222">
        <v>2.2237900000000002</v>
      </c>
      <c r="AX222">
        <v>2.20838</v>
      </c>
      <c r="AY222">
        <v>2.2719299999999998</v>
      </c>
      <c r="AZ222">
        <v>2.30681</v>
      </c>
      <c r="BA222">
        <v>2.33352</v>
      </c>
      <c r="BB222">
        <v>2.3762699999999999</v>
      </c>
      <c r="BC222">
        <v>2.41296</v>
      </c>
      <c r="BD222">
        <v>2.4644900000000001</v>
      </c>
      <c r="BE222">
        <v>2.3731499999999999</v>
      </c>
      <c r="BF222">
        <v>2.5338400000000001</v>
      </c>
      <c r="BG222">
        <v>2.52319</v>
      </c>
      <c r="BH222">
        <v>2.4994900000000002</v>
      </c>
      <c r="BI222">
        <v>2.4975900000000002</v>
      </c>
      <c r="BJ222">
        <v>2.4909500000000002</v>
      </c>
      <c r="BK222">
        <v>2.4693200000000002</v>
      </c>
      <c r="BL222">
        <v>2.4717099999999999</v>
      </c>
      <c r="BM222">
        <v>2.4686900000000001</v>
      </c>
      <c r="BN222">
        <v>2.4593799999999999</v>
      </c>
      <c r="BO222">
        <v>2.3952300000000002</v>
      </c>
      <c r="BP222">
        <v>2.4617800000000001</v>
      </c>
      <c r="BQ222">
        <v>2.4617900000000001</v>
      </c>
      <c r="BR222">
        <v>2.45607</v>
      </c>
      <c r="BS222">
        <v>2.4560900000000001</v>
      </c>
      <c r="BT222">
        <v>2.4798300000000002</v>
      </c>
      <c r="BW222">
        <v>2.4357700000000002</v>
      </c>
      <c r="BX222">
        <v>2.4461499999999998</v>
      </c>
      <c r="BY222">
        <v>2.4358</v>
      </c>
      <c r="BZ222">
        <v>2.4469099999999999</v>
      </c>
      <c r="CA222">
        <v>2.4419400000000002</v>
      </c>
      <c r="CB222">
        <v>2.4419499999999998</v>
      </c>
      <c r="CC222">
        <v>2.4369700000000001</v>
      </c>
      <c r="CD222">
        <v>2.4369800000000001</v>
      </c>
      <c r="CE222">
        <v>2.4369999999999998</v>
      </c>
      <c r="CF222">
        <v>2.4370099999999999</v>
      </c>
      <c r="CG222">
        <v>2.4399000000000002</v>
      </c>
      <c r="CH222">
        <v>2.4349099999999999</v>
      </c>
      <c r="CI222">
        <v>2.43492</v>
      </c>
      <c r="CJ222">
        <v>2.43493</v>
      </c>
      <c r="CK222">
        <v>2.4379400000000002</v>
      </c>
      <c r="CL222">
        <v>2.4379499999999998</v>
      </c>
      <c r="CM222">
        <v>2.4379599999999999</v>
      </c>
      <c r="CN222">
        <v>2.4243800000000002</v>
      </c>
      <c r="CO222">
        <v>2.42272</v>
      </c>
      <c r="CP222">
        <v>2.4227300000000001</v>
      </c>
      <c r="CQ222">
        <v>2.4104000000000001</v>
      </c>
      <c r="CS222">
        <v>2.4136799999999998</v>
      </c>
      <c r="CT222">
        <v>2.40544</v>
      </c>
      <c r="CU222">
        <v>2.4070299999999998</v>
      </c>
      <c r="CV222">
        <v>2.4070399999999998</v>
      </c>
      <c r="CW222">
        <v>2.40205</v>
      </c>
      <c r="CX222">
        <v>2.40205</v>
      </c>
      <c r="CY222">
        <v>2.4020600000000001</v>
      </c>
      <c r="CZ222">
        <v>2.3881899999999998</v>
      </c>
      <c r="DA222">
        <v>2.3970600000000002</v>
      </c>
      <c r="DB222">
        <v>2.3970699999999998</v>
      </c>
      <c r="DC222">
        <v>2.2881999999999998</v>
      </c>
    </row>
    <row r="223" spans="1:107" x14ac:dyDescent="0.25">
      <c r="A223">
        <f t="shared" si="3"/>
        <v>5</v>
      </c>
      <c r="B223" s="2">
        <v>42327</v>
      </c>
      <c r="H223">
        <v>0.31402000000000002</v>
      </c>
      <c r="I223">
        <v>0.32462999999999997</v>
      </c>
      <c r="J223">
        <v>0.52685999999999999</v>
      </c>
      <c r="K223">
        <v>0.54044000000000003</v>
      </c>
      <c r="L223">
        <v>0.56757000000000002</v>
      </c>
      <c r="M223">
        <v>0.60321999999999998</v>
      </c>
      <c r="N223">
        <v>0.52497000000000005</v>
      </c>
      <c r="O223">
        <v>0.61387999999999998</v>
      </c>
      <c r="P223">
        <v>0.61914999999999998</v>
      </c>
      <c r="Q223">
        <v>0.68684000000000001</v>
      </c>
      <c r="R223">
        <v>0.72629999999999995</v>
      </c>
      <c r="S223">
        <v>0.78335999999999995</v>
      </c>
      <c r="T223">
        <v>0.80771999999999999</v>
      </c>
      <c r="U223">
        <v>0.74714000000000003</v>
      </c>
      <c r="V223">
        <v>0.77156999999999998</v>
      </c>
      <c r="W223">
        <v>0.81533</v>
      </c>
      <c r="X223">
        <v>0.86512</v>
      </c>
      <c r="Y223">
        <v>0.91237999999999997</v>
      </c>
      <c r="Z223">
        <v>0.87050000000000005</v>
      </c>
      <c r="AA223">
        <v>0.92018</v>
      </c>
      <c r="AB223">
        <v>0.95003000000000004</v>
      </c>
      <c r="AC223">
        <v>0.97163999999999995</v>
      </c>
      <c r="AD223">
        <v>0.96123000000000003</v>
      </c>
      <c r="AE223">
        <v>0.86585000000000001</v>
      </c>
      <c r="AF223">
        <v>1.0553300000000001</v>
      </c>
      <c r="AG223">
        <v>1.0917699999999999</v>
      </c>
      <c r="AH223">
        <v>1.18526</v>
      </c>
      <c r="AI223">
        <v>1.20811</v>
      </c>
      <c r="AJ223">
        <v>1.24299</v>
      </c>
      <c r="AK223">
        <v>1.0759099999999999</v>
      </c>
      <c r="AL223">
        <v>1.3267500000000001</v>
      </c>
      <c r="AM223">
        <v>1.43011</v>
      </c>
      <c r="AN223">
        <v>1.26796</v>
      </c>
      <c r="AO223">
        <v>1.5071099999999999</v>
      </c>
      <c r="AP223">
        <v>1.59273</v>
      </c>
      <c r="AQ223">
        <v>1.4202999999999999</v>
      </c>
      <c r="AR223">
        <v>1.6430499999999999</v>
      </c>
      <c r="AS223">
        <v>1.6979200000000001</v>
      </c>
      <c r="AT223">
        <v>1.7552000000000001</v>
      </c>
      <c r="AU223">
        <v>1.74769</v>
      </c>
      <c r="AV223">
        <v>1.6462699999999999</v>
      </c>
      <c r="AW223">
        <v>2.1898200000000001</v>
      </c>
      <c r="AX223">
        <v>2.1743899999999998</v>
      </c>
      <c r="AY223">
        <v>2.2383899999999999</v>
      </c>
      <c r="AZ223">
        <v>2.2738299999999998</v>
      </c>
      <c r="BA223">
        <v>2.2958099999999999</v>
      </c>
      <c r="BB223">
        <v>2.3379300000000001</v>
      </c>
      <c r="BC223">
        <v>2.3811499999999999</v>
      </c>
      <c r="BD223">
        <v>2.4374099999999999</v>
      </c>
      <c r="BE223">
        <v>2.3425600000000002</v>
      </c>
      <c r="BF223">
        <v>2.5016799999999999</v>
      </c>
      <c r="BG223">
        <v>2.4920399999999998</v>
      </c>
      <c r="BH223">
        <v>2.47275</v>
      </c>
      <c r="BI223">
        <v>2.4664299999999999</v>
      </c>
      <c r="BJ223">
        <v>2.4597899999999999</v>
      </c>
      <c r="BK223">
        <v>2.4384899999999998</v>
      </c>
      <c r="BL223">
        <v>2.4405899999999998</v>
      </c>
      <c r="BM223">
        <v>2.4356200000000001</v>
      </c>
      <c r="BN223">
        <v>2.42855</v>
      </c>
      <c r="BO223">
        <v>2.3645399999999999</v>
      </c>
      <c r="BP223">
        <v>2.43065</v>
      </c>
      <c r="BQ223">
        <v>2.4306700000000001</v>
      </c>
      <c r="BR223">
        <v>2.4252500000000001</v>
      </c>
      <c r="BS223">
        <v>2.4252600000000002</v>
      </c>
      <c r="BT223">
        <v>2.4296799999999998</v>
      </c>
      <c r="BW223">
        <v>2.4055200000000001</v>
      </c>
      <c r="BX223">
        <v>2.41533</v>
      </c>
      <c r="BY223">
        <v>2.4055499999999999</v>
      </c>
      <c r="BZ223">
        <v>2.4157899999999999</v>
      </c>
      <c r="CA223">
        <v>2.4108200000000002</v>
      </c>
      <c r="CB223">
        <v>2.4108299999999998</v>
      </c>
      <c r="CC223">
        <v>2.40585</v>
      </c>
      <c r="CD223">
        <v>2.4058600000000001</v>
      </c>
      <c r="CE223">
        <v>2.4058700000000002</v>
      </c>
      <c r="CF223">
        <v>2.4058799999999998</v>
      </c>
      <c r="CG223">
        <v>2.40964</v>
      </c>
      <c r="CH223">
        <v>2.4046599999999998</v>
      </c>
      <c r="CI223">
        <v>2.4046699999999999</v>
      </c>
      <c r="CJ223">
        <v>2.4046799999999999</v>
      </c>
      <c r="CK223">
        <v>2.40869</v>
      </c>
      <c r="CL223">
        <v>2.4087000000000001</v>
      </c>
      <c r="CM223">
        <v>2.4087100000000001</v>
      </c>
      <c r="CN223">
        <v>2.3942100000000002</v>
      </c>
      <c r="CO223">
        <v>2.3884699999999999</v>
      </c>
      <c r="CP223">
        <v>2.3884799999999999</v>
      </c>
      <c r="CQ223">
        <v>2.3802400000000001</v>
      </c>
      <c r="CS223">
        <v>2.38076</v>
      </c>
      <c r="CT223">
        <v>2.3777699999999999</v>
      </c>
      <c r="CU223">
        <v>2.37778</v>
      </c>
      <c r="CV223">
        <v>2.3777900000000001</v>
      </c>
      <c r="CW223">
        <v>2.3727999999999998</v>
      </c>
      <c r="CX223">
        <v>2.3728099999999999</v>
      </c>
      <c r="CY223">
        <v>2.3728099999999999</v>
      </c>
      <c r="CZ223">
        <v>2.3580700000000001</v>
      </c>
      <c r="DA223">
        <v>2.36782</v>
      </c>
      <c r="DB223">
        <v>2.3678300000000001</v>
      </c>
      <c r="DC223">
        <v>2.2573699999999999</v>
      </c>
    </row>
    <row r="224" spans="1:107" x14ac:dyDescent="0.25">
      <c r="A224">
        <f t="shared" si="3"/>
        <v>6</v>
      </c>
      <c r="B224" s="2">
        <v>42328</v>
      </c>
      <c r="H224">
        <v>0.29419000000000001</v>
      </c>
      <c r="I224">
        <v>0.30324000000000001</v>
      </c>
      <c r="J224">
        <v>0.52754999999999996</v>
      </c>
      <c r="K224">
        <v>0.53693000000000002</v>
      </c>
      <c r="L224">
        <v>0.56396000000000002</v>
      </c>
      <c r="M224">
        <v>0.60318000000000005</v>
      </c>
      <c r="N224">
        <v>0.52490000000000003</v>
      </c>
      <c r="O224">
        <v>0.61236000000000002</v>
      </c>
      <c r="P224">
        <v>0.61833000000000005</v>
      </c>
      <c r="Q224">
        <v>0.68523999999999996</v>
      </c>
      <c r="R224">
        <v>0.72416000000000003</v>
      </c>
      <c r="S224">
        <v>0.78188000000000002</v>
      </c>
      <c r="T224">
        <v>0.80661000000000005</v>
      </c>
      <c r="U224">
        <v>0.74253999999999998</v>
      </c>
      <c r="V224">
        <v>0.76780999999999999</v>
      </c>
      <c r="W224">
        <v>0.82669999999999999</v>
      </c>
      <c r="X224">
        <v>0.86207999999999996</v>
      </c>
      <c r="Y224">
        <v>0.91024000000000005</v>
      </c>
      <c r="Z224">
        <v>0.86748000000000003</v>
      </c>
      <c r="AA224">
        <v>0.91691</v>
      </c>
      <c r="AB224">
        <v>0.93967999999999996</v>
      </c>
      <c r="AC224">
        <v>0.97316000000000003</v>
      </c>
      <c r="AD224">
        <v>0.96340999999999999</v>
      </c>
      <c r="AE224">
        <v>0.86729000000000001</v>
      </c>
      <c r="AF224">
        <v>1.0550299999999999</v>
      </c>
      <c r="AG224">
        <v>1.0989</v>
      </c>
      <c r="AH224">
        <v>1.18377</v>
      </c>
      <c r="AI224">
        <v>1.20662</v>
      </c>
      <c r="AJ224">
        <v>1.24248</v>
      </c>
      <c r="AK224">
        <v>1.0738300000000001</v>
      </c>
      <c r="AL224">
        <v>1.3265499999999999</v>
      </c>
      <c r="AM224">
        <v>1.42744</v>
      </c>
      <c r="AN224">
        <v>1.2668699999999999</v>
      </c>
      <c r="AO224">
        <v>1.5075000000000001</v>
      </c>
      <c r="AP224">
        <v>1.5932999999999999</v>
      </c>
      <c r="AQ224">
        <v>1.4207000000000001</v>
      </c>
      <c r="AR224">
        <v>1.6476900000000001</v>
      </c>
      <c r="AS224">
        <v>1.6991400000000001</v>
      </c>
      <c r="AT224">
        <v>1.75566</v>
      </c>
      <c r="AU224">
        <v>1.74912</v>
      </c>
      <c r="AV224">
        <v>1.6477999999999999</v>
      </c>
      <c r="AW224">
        <v>2.1911900000000002</v>
      </c>
      <c r="AX224">
        <v>2.17557</v>
      </c>
      <c r="AY224">
        <v>2.2398099999999999</v>
      </c>
      <c r="AZ224">
        <v>2.2747899999999999</v>
      </c>
      <c r="BA224">
        <v>2.3014999999999999</v>
      </c>
      <c r="BB224">
        <v>2.3436699999999999</v>
      </c>
      <c r="BC224">
        <v>2.3820299999999999</v>
      </c>
      <c r="BD224">
        <v>2.4387699999999999</v>
      </c>
      <c r="BE224">
        <v>2.3437199999999998</v>
      </c>
      <c r="BF224">
        <v>2.5043099999999998</v>
      </c>
      <c r="BG224">
        <v>2.4953400000000001</v>
      </c>
      <c r="BH224">
        <v>2.4718599999999999</v>
      </c>
      <c r="BI224">
        <v>2.46549</v>
      </c>
      <c r="BJ224">
        <v>2.4630800000000002</v>
      </c>
      <c r="BK224">
        <v>2.4414500000000001</v>
      </c>
      <c r="BL224">
        <v>2.44306</v>
      </c>
      <c r="BM224">
        <v>2.4380899999999999</v>
      </c>
      <c r="BN224">
        <v>2.4315199999999999</v>
      </c>
      <c r="BO224">
        <v>2.3694999999999999</v>
      </c>
      <c r="BP224">
        <v>2.4288699999999999</v>
      </c>
      <c r="BQ224">
        <v>2.42889</v>
      </c>
      <c r="BR224">
        <v>2.4288799999999999</v>
      </c>
      <c r="BS224">
        <v>2.4289000000000001</v>
      </c>
      <c r="BT224">
        <v>2.4341699999999999</v>
      </c>
      <c r="BW224">
        <v>2.4094699999999998</v>
      </c>
      <c r="BX224">
        <v>2.4189600000000002</v>
      </c>
      <c r="BY224">
        <v>2.4095</v>
      </c>
      <c r="BZ224">
        <v>2.4045100000000001</v>
      </c>
      <c r="CA224">
        <v>2.4045200000000002</v>
      </c>
      <c r="CB224">
        <v>2.4045399999999999</v>
      </c>
      <c r="CC224">
        <v>2.4057300000000001</v>
      </c>
      <c r="CD224">
        <v>2.4083299999999999</v>
      </c>
      <c r="CE224">
        <v>2.4083399999999999</v>
      </c>
      <c r="CF224">
        <v>2.40835</v>
      </c>
      <c r="CG224">
        <v>2.4135900000000001</v>
      </c>
      <c r="CH224">
        <v>2.4051200000000001</v>
      </c>
      <c r="CI224">
        <v>2.4051300000000002</v>
      </c>
      <c r="CJ224">
        <v>2.4051399999999998</v>
      </c>
      <c r="CK224">
        <v>2.39839</v>
      </c>
      <c r="CL224">
        <v>2.3984000000000001</v>
      </c>
      <c r="CM224">
        <v>2.3984100000000002</v>
      </c>
      <c r="CN224">
        <v>2.39344</v>
      </c>
      <c r="CO224">
        <v>2.3875199999999999</v>
      </c>
      <c r="CP224">
        <v>2.3875299999999999</v>
      </c>
      <c r="CQ224">
        <v>2.3845399999999999</v>
      </c>
      <c r="CS224">
        <v>2.3847200000000002</v>
      </c>
      <c r="CT224">
        <v>2.38273</v>
      </c>
      <c r="CU224">
        <v>2.3847299999999998</v>
      </c>
      <c r="CV224">
        <v>2.3847399999999999</v>
      </c>
      <c r="CW224">
        <v>2.3777499999999998</v>
      </c>
      <c r="CX224">
        <v>2.3777599999999999</v>
      </c>
      <c r="CY224">
        <v>2.3777699999999999</v>
      </c>
      <c r="CZ224">
        <v>2.37276</v>
      </c>
      <c r="DA224">
        <v>2.37277</v>
      </c>
      <c r="DB224">
        <v>2.3727800000000001</v>
      </c>
      <c r="DC224">
        <v>2.26267</v>
      </c>
    </row>
    <row r="225" spans="1:107" x14ac:dyDescent="0.25">
      <c r="A225">
        <f t="shared" si="3"/>
        <v>2</v>
      </c>
      <c r="B225" s="2">
        <v>42331</v>
      </c>
      <c r="H225">
        <v>0.34245999999999999</v>
      </c>
      <c r="I225">
        <v>0.35085</v>
      </c>
      <c r="J225">
        <v>0.53803000000000001</v>
      </c>
      <c r="K225">
        <v>0.55044999999999999</v>
      </c>
      <c r="L225">
        <v>0.57343999999999995</v>
      </c>
      <c r="M225">
        <v>0.60843000000000003</v>
      </c>
      <c r="N225">
        <v>0.52898000000000001</v>
      </c>
      <c r="O225">
        <v>0.62000999999999995</v>
      </c>
      <c r="P225">
        <v>0.62709999999999999</v>
      </c>
      <c r="Q225">
        <v>0.69611000000000001</v>
      </c>
      <c r="R225">
        <v>0.73494000000000004</v>
      </c>
      <c r="S225">
        <v>0.79220000000000002</v>
      </c>
      <c r="T225">
        <v>0.80057999999999996</v>
      </c>
      <c r="U225">
        <v>0.75173999999999996</v>
      </c>
      <c r="V225">
        <v>0.77781999999999996</v>
      </c>
      <c r="W225">
        <v>0.83764000000000005</v>
      </c>
      <c r="X225">
        <v>0.87251000000000001</v>
      </c>
      <c r="Y225">
        <v>0.94755</v>
      </c>
      <c r="Z225">
        <v>0.87836000000000003</v>
      </c>
      <c r="AA225">
        <v>0.92906</v>
      </c>
      <c r="AB225">
        <v>0.95828000000000002</v>
      </c>
      <c r="AC225">
        <v>0.96194000000000002</v>
      </c>
      <c r="AD225">
        <v>0.96575999999999995</v>
      </c>
      <c r="AE225">
        <v>0.86958999999999997</v>
      </c>
      <c r="AF225">
        <v>1.0566599999999999</v>
      </c>
      <c r="AG225">
        <v>1.0922799999999999</v>
      </c>
      <c r="AH225">
        <v>1.1850700000000001</v>
      </c>
      <c r="AI225">
        <v>1.2071000000000001</v>
      </c>
      <c r="AJ225">
        <v>1.24552</v>
      </c>
      <c r="AK225">
        <v>1.06871</v>
      </c>
      <c r="AL225">
        <v>1.3271599999999999</v>
      </c>
      <c r="AM225">
        <v>1.4272800000000001</v>
      </c>
      <c r="AN225">
        <v>1.26736</v>
      </c>
      <c r="AO225">
        <v>1.5063</v>
      </c>
      <c r="AP225">
        <v>1.58883</v>
      </c>
      <c r="AQ225">
        <v>1.4149099999999999</v>
      </c>
      <c r="AR225">
        <v>1.6383099999999999</v>
      </c>
      <c r="AS225">
        <v>1.69171</v>
      </c>
      <c r="AT225">
        <v>1.7486699999999999</v>
      </c>
      <c r="AU225">
        <v>1.74305</v>
      </c>
      <c r="AV225">
        <v>1.63947</v>
      </c>
      <c r="AW225">
        <v>2.1861799999999998</v>
      </c>
      <c r="AX225">
        <v>2.16635</v>
      </c>
      <c r="AY225">
        <v>2.2339000000000002</v>
      </c>
      <c r="AZ225">
        <v>2.26938</v>
      </c>
      <c r="BA225">
        <v>2.29121</v>
      </c>
      <c r="BB225">
        <v>2.34354</v>
      </c>
      <c r="BC225">
        <v>2.38226</v>
      </c>
      <c r="BD225">
        <v>2.4414699999999998</v>
      </c>
      <c r="BE225">
        <v>2.34653</v>
      </c>
      <c r="BF225">
        <v>2.5078100000000001</v>
      </c>
      <c r="BG225">
        <v>2.4984299999999999</v>
      </c>
      <c r="BH225">
        <v>2.4755799999999999</v>
      </c>
      <c r="BI225">
        <v>2.46896</v>
      </c>
      <c r="BJ225">
        <v>2.4664700000000002</v>
      </c>
      <c r="BK225">
        <v>2.44523</v>
      </c>
      <c r="BL225">
        <v>2.44651</v>
      </c>
      <c r="BM225">
        <v>2.4415200000000001</v>
      </c>
      <c r="BN225">
        <v>2.43526</v>
      </c>
      <c r="BO225">
        <v>2.3731</v>
      </c>
      <c r="BP225">
        <v>2.4365399999999999</v>
      </c>
      <c r="BQ225">
        <v>2.43655</v>
      </c>
      <c r="BR225">
        <v>2.43194</v>
      </c>
      <c r="BS225">
        <v>2.4319500000000001</v>
      </c>
      <c r="BT225">
        <v>2.43655</v>
      </c>
      <c r="BW225">
        <v>2.4128099999999999</v>
      </c>
      <c r="BX225">
        <v>2.4219900000000001</v>
      </c>
      <c r="BY225">
        <v>2.41283</v>
      </c>
      <c r="BZ225">
        <v>2.4078400000000002</v>
      </c>
      <c r="CA225">
        <v>2.4166400000000001</v>
      </c>
      <c r="CB225">
        <v>2.4166500000000002</v>
      </c>
      <c r="CC225">
        <v>2.4087200000000002</v>
      </c>
      <c r="CD225">
        <v>2.41167</v>
      </c>
      <c r="CE225">
        <v>2.41167</v>
      </c>
      <c r="CF225">
        <v>2.41168</v>
      </c>
      <c r="CG225">
        <v>2.4172799999999999</v>
      </c>
      <c r="CH225">
        <v>2.40835</v>
      </c>
      <c r="CI225">
        <v>2.4083600000000001</v>
      </c>
      <c r="CJ225">
        <v>2.4123100000000002</v>
      </c>
      <c r="CK225">
        <v>2.4070200000000002</v>
      </c>
      <c r="CL225">
        <v>2.4070200000000002</v>
      </c>
      <c r="CM225">
        <v>2.4070299999999998</v>
      </c>
      <c r="CN225">
        <v>2.3967200000000002</v>
      </c>
      <c r="CO225">
        <v>2.39046</v>
      </c>
      <c r="CP225">
        <v>2.39046</v>
      </c>
      <c r="CQ225">
        <v>2.38707</v>
      </c>
      <c r="CS225">
        <v>2.3879600000000001</v>
      </c>
      <c r="CT225">
        <v>2.38537</v>
      </c>
      <c r="CU225">
        <v>2.3879000000000001</v>
      </c>
      <c r="CV225">
        <v>2.3879100000000002</v>
      </c>
      <c r="CW225">
        <v>2.3803800000000002</v>
      </c>
      <c r="CX225">
        <v>2.3803899999999998</v>
      </c>
      <c r="CY225">
        <v>2.3803899999999998</v>
      </c>
      <c r="CZ225">
        <v>2.3641899999999998</v>
      </c>
      <c r="DA225">
        <v>2.3753899999999999</v>
      </c>
      <c r="DB225">
        <v>2.3753899999999999</v>
      </c>
      <c r="DC225">
        <v>2.2655599999999998</v>
      </c>
    </row>
    <row r="226" spans="1:107" x14ac:dyDescent="0.25">
      <c r="A226">
        <f t="shared" si="3"/>
        <v>3</v>
      </c>
      <c r="B226" s="2">
        <v>42332</v>
      </c>
      <c r="H226">
        <v>0.31909999999999999</v>
      </c>
      <c r="I226">
        <v>0.31897999999999999</v>
      </c>
      <c r="J226">
        <v>0.53786</v>
      </c>
      <c r="K226">
        <v>0.54708999999999997</v>
      </c>
      <c r="L226">
        <v>0.57003000000000004</v>
      </c>
      <c r="M226">
        <v>0.60840000000000005</v>
      </c>
      <c r="N226">
        <v>0.52886999999999995</v>
      </c>
      <c r="O226">
        <v>0.61875000000000002</v>
      </c>
      <c r="P226">
        <v>0.62921000000000005</v>
      </c>
      <c r="Q226">
        <v>0.69059999999999999</v>
      </c>
      <c r="R226">
        <v>0.72984000000000004</v>
      </c>
      <c r="S226">
        <v>0.78703999999999996</v>
      </c>
      <c r="T226">
        <v>0.79540999999999995</v>
      </c>
      <c r="U226">
        <v>0.74856</v>
      </c>
      <c r="V226">
        <v>0.77493999999999996</v>
      </c>
      <c r="W226">
        <v>0.83462000000000003</v>
      </c>
      <c r="X226">
        <v>0.87558999999999998</v>
      </c>
      <c r="Y226">
        <v>0.91137000000000001</v>
      </c>
      <c r="Z226">
        <v>0.87351999999999996</v>
      </c>
      <c r="AA226">
        <v>0.92420000000000002</v>
      </c>
      <c r="AB226">
        <v>0.95287999999999995</v>
      </c>
      <c r="AC226">
        <v>0.95742000000000005</v>
      </c>
      <c r="AD226">
        <v>0.96182999999999996</v>
      </c>
      <c r="AE226">
        <v>0.86463999999999996</v>
      </c>
      <c r="AF226">
        <v>1.0523400000000001</v>
      </c>
      <c r="AG226">
        <v>1.0944700000000001</v>
      </c>
      <c r="AH226">
        <v>1.17987</v>
      </c>
      <c r="AI226">
        <v>1.20031</v>
      </c>
      <c r="AJ226">
        <v>1.2370300000000001</v>
      </c>
      <c r="AK226">
        <v>1.0686199999999999</v>
      </c>
      <c r="AL226">
        <v>1.32036</v>
      </c>
      <c r="AM226">
        <v>1.4207799999999999</v>
      </c>
      <c r="AN226">
        <v>1.2608600000000001</v>
      </c>
      <c r="AO226">
        <v>1.5005999999999999</v>
      </c>
      <c r="AP226">
        <v>1.58684</v>
      </c>
      <c r="AQ226">
        <v>1.41421</v>
      </c>
      <c r="AR226">
        <v>1.63659</v>
      </c>
      <c r="AS226">
        <v>1.6909400000000001</v>
      </c>
      <c r="AT226">
        <v>1.7559499999999999</v>
      </c>
      <c r="AU226">
        <v>1.7336199999999999</v>
      </c>
      <c r="AV226">
        <v>1.6409400000000001</v>
      </c>
      <c r="AW226">
        <v>2.1867800000000002</v>
      </c>
      <c r="AX226">
        <v>2.1657799999999998</v>
      </c>
      <c r="AY226">
        <v>2.2315100000000001</v>
      </c>
      <c r="AZ226">
        <v>2.2706</v>
      </c>
      <c r="BA226">
        <v>2.2972999999999999</v>
      </c>
      <c r="BB226">
        <v>2.3421500000000002</v>
      </c>
      <c r="BC226">
        <v>2.3869500000000001</v>
      </c>
      <c r="BD226">
        <v>2.4348100000000001</v>
      </c>
      <c r="BE226">
        <v>2.3371499999999998</v>
      </c>
      <c r="BF226">
        <v>2.4980799999999999</v>
      </c>
      <c r="BG226">
        <v>2.4884300000000001</v>
      </c>
      <c r="BH226">
        <v>2.4690599999999998</v>
      </c>
      <c r="BI226">
        <v>2.4614199999999999</v>
      </c>
      <c r="BJ226">
        <v>2.4591400000000001</v>
      </c>
      <c r="BK226">
        <v>2.4371700000000001</v>
      </c>
      <c r="BL226">
        <v>2.43946</v>
      </c>
      <c r="BM226">
        <v>2.4344800000000002</v>
      </c>
      <c r="BN226">
        <v>2.4272</v>
      </c>
      <c r="BO226">
        <v>2.3653300000000002</v>
      </c>
      <c r="BP226">
        <v>2.4295</v>
      </c>
      <c r="BQ226">
        <v>2.4295100000000001</v>
      </c>
      <c r="BR226">
        <v>2.42387</v>
      </c>
      <c r="BS226">
        <v>2.42388</v>
      </c>
      <c r="BT226">
        <v>2.4285000000000001</v>
      </c>
      <c r="BW226">
        <v>2.4037199999999999</v>
      </c>
      <c r="BX226">
        <v>2.4037299999999999</v>
      </c>
      <c r="BY226">
        <v>2.40374</v>
      </c>
      <c r="BZ226">
        <v>2.4145699999999999</v>
      </c>
      <c r="CA226">
        <v>2.4095900000000001</v>
      </c>
      <c r="CB226">
        <v>2.4096000000000002</v>
      </c>
      <c r="CC226">
        <v>2.4046099999999999</v>
      </c>
      <c r="CD226">
        <v>2.40462</v>
      </c>
      <c r="CE226">
        <v>2.40463</v>
      </c>
      <c r="CF226">
        <v>2.4046400000000001</v>
      </c>
      <c r="CG226">
        <v>2.4097900000000001</v>
      </c>
      <c r="CH226">
        <v>2.4047999999999998</v>
      </c>
      <c r="CI226">
        <v>2.4048099999999999</v>
      </c>
      <c r="CJ226">
        <v>2.40482</v>
      </c>
      <c r="CK226">
        <v>2.4073199999999999</v>
      </c>
      <c r="CL226">
        <v>2.40733</v>
      </c>
      <c r="CM226">
        <v>2.40733</v>
      </c>
      <c r="CN226">
        <v>2.3930600000000002</v>
      </c>
      <c r="CO226">
        <v>2.3871799999999999</v>
      </c>
      <c r="CP226">
        <v>2.3871899999999999</v>
      </c>
      <c r="CQ226">
        <v>2.3790800000000001</v>
      </c>
      <c r="CS226">
        <v>2.37886</v>
      </c>
      <c r="CT226">
        <v>2.3763700000000001</v>
      </c>
      <c r="CU226">
        <v>2.3763800000000002</v>
      </c>
      <c r="CV226">
        <v>2.3763800000000002</v>
      </c>
      <c r="CW226">
        <v>2.3713899999999999</v>
      </c>
      <c r="CX226">
        <v>2.3713899999999999</v>
      </c>
      <c r="CY226">
        <v>2.3714</v>
      </c>
      <c r="CZ226">
        <v>2.3572500000000001</v>
      </c>
      <c r="DA226">
        <v>2.3664000000000001</v>
      </c>
      <c r="DB226">
        <v>2.3664000000000001</v>
      </c>
      <c r="DC226">
        <v>2.2574900000000002</v>
      </c>
    </row>
    <row r="227" spans="1:107" x14ac:dyDescent="0.25">
      <c r="A227">
        <f t="shared" si="3"/>
        <v>4</v>
      </c>
      <c r="B227" s="2">
        <v>42333</v>
      </c>
      <c r="H227">
        <v>0.18773000000000001</v>
      </c>
      <c r="I227">
        <v>9.0539999999999995E-2</v>
      </c>
      <c r="J227">
        <v>0.52614000000000005</v>
      </c>
      <c r="K227">
        <v>0.54554999999999998</v>
      </c>
      <c r="L227">
        <v>0.57371000000000005</v>
      </c>
      <c r="M227">
        <v>0.60397000000000001</v>
      </c>
      <c r="N227">
        <v>0.53983999999999999</v>
      </c>
      <c r="O227">
        <v>0.64712000000000003</v>
      </c>
      <c r="P227">
        <v>0.63727999999999996</v>
      </c>
      <c r="Q227">
        <v>0.70067999999999997</v>
      </c>
      <c r="R227">
        <v>0.73939999999999995</v>
      </c>
      <c r="S227">
        <v>0.79618999999999995</v>
      </c>
      <c r="T227">
        <v>0.82174000000000003</v>
      </c>
      <c r="U227">
        <v>0.75871</v>
      </c>
      <c r="V227">
        <v>0.78376000000000001</v>
      </c>
      <c r="W227">
        <v>0.84358999999999995</v>
      </c>
      <c r="X227">
        <v>0.87768999999999997</v>
      </c>
      <c r="Y227">
        <v>0.95001999999999998</v>
      </c>
      <c r="Z227">
        <v>0.88075000000000003</v>
      </c>
      <c r="AA227">
        <v>0.93089999999999995</v>
      </c>
      <c r="AB227">
        <v>0.96094999999999997</v>
      </c>
      <c r="AC227">
        <v>0.9536</v>
      </c>
      <c r="AD227">
        <v>0.95798000000000005</v>
      </c>
      <c r="AE227">
        <v>0.86241000000000001</v>
      </c>
      <c r="AF227">
        <v>1.04799</v>
      </c>
      <c r="AG227">
        <v>1.0864199999999999</v>
      </c>
      <c r="AH227">
        <v>1.17221</v>
      </c>
      <c r="AI227">
        <v>1.1930000000000001</v>
      </c>
      <c r="AJ227">
        <v>1.2296899999999999</v>
      </c>
      <c r="AK227">
        <v>1.0620000000000001</v>
      </c>
      <c r="AL227">
        <v>1.3135300000000001</v>
      </c>
      <c r="AM227">
        <v>1.40682</v>
      </c>
      <c r="AN227">
        <v>1.25044</v>
      </c>
      <c r="AO227">
        <v>1.48465</v>
      </c>
      <c r="AP227">
        <v>1.5570299999999999</v>
      </c>
      <c r="AQ227">
        <v>1.3829199999999999</v>
      </c>
      <c r="AR227">
        <v>1.60704</v>
      </c>
      <c r="AS227">
        <v>1.6586399999999999</v>
      </c>
      <c r="AT227">
        <v>1.71366</v>
      </c>
      <c r="AU227">
        <v>1.7127699999999999</v>
      </c>
      <c r="AV227">
        <v>1.6084700000000001</v>
      </c>
      <c r="AW227">
        <v>2.1583000000000001</v>
      </c>
      <c r="AX227">
        <v>2.1464799999999999</v>
      </c>
      <c r="AY227">
        <v>2.21027</v>
      </c>
      <c r="AZ227">
        <v>2.2459699999999998</v>
      </c>
      <c r="BA227">
        <v>2.2726799999999998</v>
      </c>
      <c r="BB227">
        <v>2.3167800000000001</v>
      </c>
      <c r="BC227">
        <v>2.3593999999999999</v>
      </c>
      <c r="BD227">
        <v>2.4035700000000002</v>
      </c>
      <c r="BE227">
        <v>2.3100900000000002</v>
      </c>
      <c r="BF227">
        <v>2.4721099999999998</v>
      </c>
      <c r="BG227">
        <v>2.4621400000000002</v>
      </c>
      <c r="BH227">
        <v>2.4428899999999998</v>
      </c>
      <c r="BI227">
        <v>2.4343499999999998</v>
      </c>
      <c r="BJ227">
        <v>2.42937</v>
      </c>
      <c r="BK227">
        <v>2.4119199999999998</v>
      </c>
      <c r="BL227">
        <v>2.4129200000000002</v>
      </c>
      <c r="BM227">
        <v>2.40794</v>
      </c>
      <c r="BN227">
        <v>2.40198</v>
      </c>
      <c r="BO227">
        <v>2.3407800000000001</v>
      </c>
      <c r="BP227">
        <v>2.4029799999999999</v>
      </c>
      <c r="BQ227">
        <v>2.403</v>
      </c>
      <c r="BR227">
        <v>2.3900899999999998</v>
      </c>
      <c r="BS227">
        <v>2.39011</v>
      </c>
      <c r="BT227">
        <v>2.4030200000000002</v>
      </c>
      <c r="BW227">
        <v>2.3801600000000001</v>
      </c>
      <c r="BX227">
        <v>2.3801700000000001</v>
      </c>
      <c r="BY227">
        <v>2.3801800000000002</v>
      </c>
      <c r="BZ227">
        <v>2.3881199999999998</v>
      </c>
      <c r="CA227">
        <v>2.38314</v>
      </c>
      <c r="CB227">
        <v>2.3831500000000001</v>
      </c>
      <c r="CC227">
        <v>2.3755199999999999</v>
      </c>
      <c r="CD227">
        <v>2.37818</v>
      </c>
      <c r="CE227">
        <v>2.37819</v>
      </c>
      <c r="CF227">
        <v>2.3782000000000001</v>
      </c>
      <c r="CG227">
        <v>2.3732099999999998</v>
      </c>
      <c r="CH227">
        <v>2.3812899999999999</v>
      </c>
      <c r="CI227">
        <v>2.3813</v>
      </c>
      <c r="CJ227">
        <v>2.38131</v>
      </c>
      <c r="CK227">
        <v>2.3532600000000001</v>
      </c>
      <c r="CL227">
        <v>2.3532700000000002</v>
      </c>
      <c r="CM227">
        <v>2.3532799999999998</v>
      </c>
      <c r="CN227">
        <v>2.36328</v>
      </c>
      <c r="CO227">
        <v>2.35731</v>
      </c>
      <c r="CP227">
        <v>2.3573200000000001</v>
      </c>
      <c r="CQ227">
        <v>2.3626999999999998</v>
      </c>
      <c r="CS227">
        <v>2.3553999999999999</v>
      </c>
      <c r="CT227">
        <v>2.35608</v>
      </c>
      <c r="CU227">
        <v>2.35608</v>
      </c>
      <c r="CV227">
        <v>2.35609</v>
      </c>
      <c r="CW227">
        <v>2.3489399999999998</v>
      </c>
      <c r="CX227">
        <v>2.3489399999999998</v>
      </c>
      <c r="CY227">
        <v>2.3489499999999999</v>
      </c>
      <c r="CZ227">
        <v>2.34395</v>
      </c>
      <c r="DA227">
        <v>2.34396</v>
      </c>
      <c r="DB227">
        <v>2.34396</v>
      </c>
      <c r="DC227">
        <v>2.2307999999999999</v>
      </c>
    </row>
    <row r="228" spans="1:107" x14ac:dyDescent="0.25">
      <c r="A228">
        <f t="shared" si="3"/>
        <v>5</v>
      </c>
      <c r="B228" s="2">
        <v>42334</v>
      </c>
      <c r="H228">
        <v>4.3229999999999998E-2</v>
      </c>
      <c r="I228">
        <v>0.04</v>
      </c>
      <c r="J228">
        <v>0.52583000000000002</v>
      </c>
      <c r="K228">
        <v>0.54081000000000001</v>
      </c>
      <c r="L228">
        <v>0.57013000000000003</v>
      </c>
      <c r="M228">
        <v>0.60392999999999997</v>
      </c>
      <c r="N228">
        <v>0.53771000000000002</v>
      </c>
      <c r="O228">
        <v>0.64829999999999999</v>
      </c>
      <c r="P228">
        <v>0.63397999999999999</v>
      </c>
      <c r="Q228">
        <v>0.69610000000000005</v>
      </c>
      <c r="R228">
        <v>0.73397000000000001</v>
      </c>
      <c r="S228">
        <v>0.79154000000000002</v>
      </c>
      <c r="T228">
        <v>0.81747999999999998</v>
      </c>
      <c r="U228">
        <v>0.753</v>
      </c>
      <c r="V228">
        <v>0.77785000000000004</v>
      </c>
      <c r="W228">
        <v>0.82165999999999995</v>
      </c>
      <c r="X228">
        <v>0.87844999999999995</v>
      </c>
      <c r="Y228">
        <v>0.94133999999999995</v>
      </c>
      <c r="Z228">
        <v>0.87141999999999997</v>
      </c>
      <c r="AA228">
        <v>0.92159999999999997</v>
      </c>
      <c r="AB228">
        <v>0.95047000000000004</v>
      </c>
      <c r="AC228">
        <v>0.93986000000000003</v>
      </c>
      <c r="AD228">
        <v>0.94335000000000002</v>
      </c>
      <c r="AE228">
        <v>0.84869000000000006</v>
      </c>
      <c r="AF228">
        <v>1.0341499999999999</v>
      </c>
      <c r="AG228">
        <v>1.0717099999999999</v>
      </c>
      <c r="AH228">
        <v>1.1565799999999999</v>
      </c>
      <c r="AI228">
        <v>1.17967</v>
      </c>
      <c r="AJ228">
        <v>1.2181</v>
      </c>
      <c r="AK228">
        <v>1.04823</v>
      </c>
      <c r="AL228">
        <v>1.29976</v>
      </c>
      <c r="AM228">
        <v>1.39015</v>
      </c>
      <c r="AN228">
        <v>1.23447</v>
      </c>
      <c r="AO228">
        <v>1.4674799999999999</v>
      </c>
      <c r="AP228">
        <v>1.5378099999999999</v>
      </c>
      <c r="AQ228">
        <v>1.36463</v>
      </c>
      <c r="AR228">
        <v>1.5873299999999999</v>
      </c>
      <c r="AS228">
        <v>1.6378699999999999</v>
      </c>
      <c r="AT228">
        <v>1.69394</v>
      </c>
      <c r="AU228">
        <v>1.6874400000000001</v>
      </c>
      <c r="AV228">
        <v>1.5901099999999999</v>
      </c>
      <c r="AW228">
        <v>2.1433800000000001</v>
      </c>
      <c r="AX228">
        <v>2.1197900000000001</v>
      </c>
      <c r="AY228">
        <v>2.1878799999999998</v>
      </c>
      <c r="AZ228">
        <v>2.2259099999999998</v>
      </c>
      <c r="BA228">
        <v>2.2526299999999999</v>
      </c>
      <c r="BB228">
        <v>2.30044</v>
      </c>
      <c r="BC228">
        <v>2.3504299999999998</v>
      </c>
      <c r="BD228">
        <v>2.39331</v>
      </c>
      <c r="BE228">
        <v>2.2996799999999999</v>
      </c>
      <c r="BF228">
        <v>2.4627699999999999</v>
      </c>
      <c r="BG228">
        <v>2.4527999999999999</v>
      </c>
      <c r="BH228">
        <v>2.4328699999999999</v>
      </c>
      <c r="BI228">
        <v>2.4263400000000002</v>
      </c>
      <c r="BJ228">
        <v>2.4248699999999999</v>
      </c>
      <c r="BK228">
        <v>2.4025799999999999</v>
      </c>
      <c r="BL228">
        <v>2.4049100000000001</v>
      </c>
      <c r="BM228">
        <v>2.39994</v>
      </c>
      <c r="BN228">
        <v>2.3926400000000001</v>
      </c>
      <c r="BO228">
        <v>2.33127</v>
      </c>
      <c r="BP228">
        <v>2.3949699999999998</v>
      </c>
      <c r="BQ228">
        <v>2.39499</v>
      </c>
      <c r="BR228">
        <v>2.3790800000000001</v>
      </c>
      <c r="BS228">
        <v>2.3791000000000002</v>
      </c>
      <c r="BT228">
        <v>2.3940100000000002</v>
      </c>
      <c r="BW228">
        <v>2.3691499999999999</v>
      </c>
      <c r="BX228">
        <v>2.3691599999999999</v>
      </c>
      <c r="BY228">
        <v>2.36917</v>
      </c>
      <c r="BZ228">
        <v>2.3801000000000001</v>
      </c>
      <c r="CA228">
        <v>2.37513</v>
      </c>
      <c r="CB228">
        <v>2.37514</v>
      </c>
      <c r="CC228">
        <v>2.3701599999999998</v>
      </c>
      <c r="CD228">
        <v>2.37018</v>
      </c>
      <c r="CE228">
        <v>2.37019</v>
      </c>
      <c r="CF228">
        <v>2.3702000000000001</v>
      </c>
      <c r="CG228">
        <v>2.3652099999999998</v>
      </c>
      <c r="CH228">
        <v>2.3712800000000001</v>
      </c>
      <c r="CI228">
        <v>2.3712900000000001</v>
      </c>
      <c r="CJ228">
        <v>2.3713000000000002</v>
      </c>
      <c r="CK228">
        <v>2.3602300000000001</v>
      </c>
      <c r="CL228">
        <v>2.3602400000000001</v>
      </c>
      <c r="CM228">
        <v>2.3602500000000002</v>
      </c>
      <c r="CN228">
        <v>2.35528</v>
      </c>
      <c r="CO228">
        <v>2.3418000000000001</v>
      </c>
      <c r="CP228">
        <v>2.3418100000000002</v>
      </c>
      <c r="CQ228">
        <v>2.35032</v>
      </c>
      <c r="CS228">
        <v>2.3413499999999998</v>
      </c>
      <c r="CT228">
        <v>2.3470599999999999</v>
      </c>
      <c r="CU228">
        <v>2.34707</v>
      </c>
      <c r="CV228">
        <v>2.34707</v>
      </c>
      <c r="CW228">
        <v>2.34043</v>
      </c>
      <c r="CX228">
        <v>2.34043</v>
      </c>
      <c r="CY228">
        <v>2.3404400000000001</v>
      </c>
      <c r="CZ228">
        <v>2.3354499999999998</v>
      </c>
      <c r="DA228">
        <v>2.3354599999999999</v>
      </c>
      <c r="DB228">
        <v>2.3354599999999999</v>
      </c>
      <c r="DC228">
        <v>2.2188300000000001</v>
      </c>
    </row>
    <row r="229" spans="1:107" x14ac:dyDescent="0.25">
      <c r="A229">
        <f t="shared" si="3"/>
        <v>6</v>
      </c>
      <c r="B229" s="2">
        <v>42335</v>
      </c>
      <c r="H229">
        <v>5.9409999999999998E-2</v>
      </c>
      <c r="I229">
        <v>5.126E-2</v>
      </c>
      <c r="J229">
        <v>0.52553000000000005</v>
      </c>
      <c r="K229">
        <v>0.53969</v>
      </c>
      <c r="L229">
        <v>0.57069999999999999</v>
      </c>
      <c r="M229">
        <v>0.60389000000000004</v>
      </c>
      <c r="N229">
        <v>0.53756000000000004</v>
      </c>
      <c r="O229">
        <v>0.64680000000000004</v>
      </c>
      <c r="P229">
        <v>0.63722999999999996</v>
      </c>
      <c r="Q229">
        <v>0.69769999999999999</v>
      </c>
      <c r="R229">
        <v>0.73731999999999998</v>
      </c>
      <c r="S229">
        <v>0.79452</v>
      </c>
      <c r="T229">
        <v>0.81923000000000001</v>
      </c>
      <c r="U229">
        <v>0.76075000000000004</v>
      </c>
      <c r="V229">
        <v>0.78624000000000005</v>
      </c>
      <c r="W229">
        <v>0.82970999999999995</v>
      </c>
      <c r="X229">
        <v>0.88648000000000005</v>
      </c>
      <c r="Y229">
        <v>0.94725000000000004</v>
      </c>
      <c r="Z229">
        <v>0.87826000000000004</v>
      </c>
      <c r="AA229">
        <v>0.92825000000000002</v>
      </c>
      <c r="AB229">
        <v>0.95872999999999997</v>
      </c>
      <c r="AC229">
        <v>0.94342999999999999</v>
      </c>
      <c r="AD229">
        <v>0.94757000000000002</v>
      </c>
      <c r="AE229">
        <v>0.85136999999999996</v>
      </c>
      <c r="AF229">
        <v>1.04989</v>
      </c>
      <c r="AG229">
        <v>1.07403</v>
      </c>
      <c r="AH229">
        <v>1.1593199999999999</v>
      </c>
      <c r="AI229">
        <v>1.1914499999999999</v>
      </c>
      <c r="AJ229">
        <v>1.2173700000000001</v>
      </c>
      <c r="AK229">
        <v>1.05063</v>
      </c>
      <c r="AL229">
        <v>1.30172</v>
      </c>
      <c r="AM229">
        <v>1.3921699999999999</v>
      </c>
      <c r="AN229">
        <v>1.23647</v>
      </c>
      <c r="AO229">
        <v>1.4707300000000001</v>
      </c>
      <c r="AP229">
        <v>1.53508</v>
      </c>
      <c r="AQ229">
        <v>1.3611</v>
      </c>
      <c r="AR229">
        <v>1.58473</v>
      </c>
      <c r="AS229">
        <v>1.63446</v>
      </c>
      <c r="AT229">
        <v>1.6907300000000001</v>
      </c>
      <c r="AU229">
        <v>1.69279</v>
      </c>
      <c r="AV229">
        <v>1.5926899999999999</v>
      </c>
      <c r="AW229">
        <v>2.1435</v>
      </c>
      <c r="AX229">
        <v>2.11957</v>
      </c>
      <c r="AY229">
        <v>2.1892499999999999</v>
      </c>
      <c r="AZ229">
        <v>2.2270599999999998</v>
      </c>
      <c r="BA229">
        <v>2.2537699999999998</v>
      </c>
      <c r="BB229">
        <v>2.3008600000000001</v>
      </c>
      <c r="BC229">
        <v>2.3521800000000002</v>
      </c>
      <c r="BD229">
        <v>2.3983699999999999</v>
      </c>
      <c r="BE229">
        <v>2.3033999999999999</v>
      </c>
      <c r="BF229">
        <v>2.4670399999999999</v>
      </c>
      <c r="BG229">
        <v>2.4570699999999999</v>
      </c>
      <c r="BH229">
        <v>2.4377800000000001</v>
      </c>
      <c r="BI229">
        <v>2.43079</v>
      </c>
      <c r="BJ229">
        <v>2.4301400000000002</v>
      </c>
      <c r="BK229">
        <v>2.4071799999999999</v>
      </c>
      <c r="BL229">
        <v>2.4088599999999998</v>
      </c>
      <c r="BM229">
        <v>2.4038900000000001</v>
      </c>
      <c r="BN229">
        <v>2.3972500000000001</v>
      </c>
      <c r="BO229">
        <v>2.3364400000000001</v>
      </c>
      <c r="BP229">
        <v>2.39893</v>
      </c>
      <c r="BQ229">
        <v>2.3989400000000001</v>
      </c>
      <c r="BR229">
        <v>2.3839800000000002</v>
      </c>
      <c r="BS229">
        <v>2.3839999999999999</v>
      </c>
      <c r="BT229">
        <v>2.3989600000000002</v>
      </c>
      <c r="BW229">
        <v>2.37405</v>
      </c>
      <c r="BX229">
        <v>2.3740600000000001</v>
      </c>
      <c r="BY229">
        <v>2.3740800000000002</v>
      </c>
      <c r="BZ229">
        <v>2.3840599999999998</v>
      </c>
      <c r="CA229">
        <v>2.3790900000000001</v>
      </c>
      <c r="CB229">
        <v>2.3791000000000002</v>
      </c>
      <c r="CC229">
        <v>2.37412</v>
      </c>
      <c r="CD229">
        <v>2.3741300000000001</v>
      </c>
      <c r="CE229">
        <v>2.3741400000000001</v>
      </c>
      <c r="CF229">
        <v>2.3741500000000002</v>
      </c>
      <c r="CG229">
        <v>2.3691599999999999</v>
      </c>
      <c r="CH229">
        <v>2.3766799999999999</v>
      </c>
      <c r="CI229">
        <v>2.37669</v>
      </c>
      <c r="CJ229">
        <v>2.3767</v>
      </c>
      <c r="CK229">
        <v>2.3641899999999998</v>
      </c>
      <c r="CL229">
        <v>2.3641999999999999</v>
      </c>
      <c r="CM229">
        <v>2.3642099999999999</v>
      </c>
      <c r="CN229">
        <v>2.34924</v>
      </c>
      <c r="CO229">
        <v>2.3467500000000001</v>
      </c>
      <c r="CP229">
        <v>2.3467600000000002</v>
      </c>
      <c r="CQ229">
        <v>2.3509199999999999</v>
      </c>
      <c r="CS229">
        <v>2.34179</v>
      </c>
      <c r="CT229">
        <v>2.3492999999999999</v>
      </c>
      <c r="CU229">
        <v>2.34931</v>
      </c>
      <c r="CV229">
        <v>2.3493200000000001</v>
      </c>
      <c r="CW229">
        <v>2.34999</v>
      </c>
      <c r="CX229">
        <v>2.35</v>
      </c>
      <c r="CY229">
        <v>2.35284</v>
      </c>
      <c r="CZ229">
        <v>2.3428499999999999</v>
      </c>
      <c r="DA229">
        <v>2.3428599999999999</v>
      </c>
      <c r="DB229">
        <v>2.3428599999999999</v>
      </c>
      <c r="DC229">
        <v>2.22506</v>
      </c>
    </row>
    <row r="230" spans="1:107" x14ac:dyDescent="0.25">
      <c r="A230">
        <f t="shared" si="3"/>
        <v>2</v>
      </c>
      <c r="B230" s="2">
        <v>42338</v>
      </c>
      <c r="H230">
        <v>0.25252000000000002</v>
      </c>
      <c r="I230">
        <v>0.22001999999999999</v>
      </c>
      <c r="J230">
        <v>0.52707000000000004</v>
      </c>
      <c r="K230">
        <v>0.55210000000000004</v>
      </c>
      <c r="L230">
        <v>0.57899</v>
      </c>
      <c r="M230">
        <v>0.60826000000000002</v>
      </c>
      <c r="N230">
        <v>0.55359999999999998</v>
      </c>
      <c r="O230">
        <v>0.65715000000000001</v>
      </c>
      <c r="P230">
        <v>0.64287000000000005</v>
      </c>
      <c r="Q230">
        <v>0.70491999999999999</v>
      </c>
      <c r="R230">
        <v>0.74397999999999997</v>
      </c>
      <c r="S230">
        <v>0.80112000000000005</v>
      </c>
      <c r="T230">
        <v>0.82716999999999996</v>
      </c>
      <c r="U230">
        <v>0.76300000000000001</v>
      </c>
      <c r="V230">
        <v>0.78737000000000001</v>
      </c>
      <c r="W230">
        <v>0.83033999999999997</v>
      </c>
      <c r="X230">
        <v>0.88836999999999999</v>
      </c>
      <c r="Y230">
        <v>0.91942000000000002</v>
      </c>
      <c r="Z230">
        <v>0.87877000000000005</v>
      </c>
      <c r="AA230">
        <v>0.92742000000000002</v>
      </c>
      <c r="AB230">
        <v>0.9506</v>
      </c>
      <c r="AC230">
        <v>0.94552999999999998</v>
      </c>
      <c r="AD230">
        <v>0.95045999999999997</v>
      </c>
      <c r="AE230">
        <v>0.85451999999999995</v>
      </c>
      <c r="AF230">
        <v>1.05447</v>
      </c>
      <c r="AG230">
        <v>1.0628899999999999</v>
      </c>
      <c r="AH230">
        <v>1.16252</v>
      </c>
      <c r="AI230">
        <v>1.18723</v>
      </c>
      <c r="AJ230">
        <v>1.22174</v>
      </c>
      <c r="AK230">
        <v>1.05684</v>
      </c>
      <c r="AL230">
        <v>1.3064499999999999</v>
      </c>
      <c r="AM230">
        <v>1.40158</v>
      </c>
      <c r="AN230">
        <v>1.2412799999999999</v>
      </c>
      <c r="AO230">
        <v>1.47404</v>
      </c>
      <c r="AP230">
        <v>1.5433399999999999</v>
      </c>
      <c r="AQ230">
        <v>1.36521</v>
      </c>
      <c r="AR230">
        <v>1.5915999999999999</v>
      </c>
      <c r="AS230">
        <v>1.64045</v>
      </c>
      <c r="AT230">
        <v>1.69347</v>
      </c>
      <c r="AU230">
        <v>1.69981</v>
      </c>
      <c r="AV230">
        <v>1.5956399999999999</v>
      </c>
      <c r="AW230">
        <v>2.1486800000000001</v>
      </c>
      <c r="AX230">
        <v>2.1309100000000001</v>
      </c>
      <c r="AY230">
        <v>2.1946099999999999</v>
      </c>
      <c r="AZ230">
        <v>2.2303700000000002</v>
      </c>
      <c r="BA230">
        <v>2.2511899999999998</v>
      </c>
      <c r="BB230">
        <v>2.30077</v>
      </c>
      <c r="BC230">
        <v>2.34578</v>
      </c>
      <c r="BD230">
        <v>2.4014000000000002</v>
      </c>
      <c r="BE230">
        <v>2.29928</v>
      </c>
      <c r="BF230">
        <v>2.4641899999999999</v>
      </c>
      <c r="BG230">
        <v>2.4542199999999998</v>
      </c>
      <c r="BH230">
        <v>2.4308900000000002</v>
      </c>
      <c r="BI230">
        <v>2.4282499999999998</v>
      </c>
      <c r="BJ230">
        <v>2.4272499999999999</v>
      </c>
      <c r="BK230">
        <v>2.4056099999999998</v>
      </c>
      <c r="BL230">
        <v>2.4072900000000002</v>
      </c>
      <c r="BM230">
        <v>2.4023099999999999</v>
      </c>
      <c r="BN230">
        <v>2.3956499999999998</v>
      </c>
      <c r="BO230">
        <v>2.33433</v>
      </c>
      <c r="BP230">
        <v>2.3923199999999998</v>
      </c>
      <c r="BQ230">
        <v>2.38733</v>
      </c>
      <c r="BR230">
        <v>2.3823400000000001</v>
      </c>
      <c r="BS230">
        <v>2.3823500000000002</v>
      </c>
      <c r="BT230">
        <v>2.3973399999999998</v>
      </c>
      <c r="BW230">
        <v>2.3723800000000002</v>
      </c>
      <c r="BX230">
        <v>2.3723900000000002</v>
      </c>
      <c r="BY230">
        <v>2.3723999999999998</v>
      </c>
      <c r="BZ230">
        <v>2.3824000000000001</v>
      </c>
      <c r="CA230">
        <v>2.3774299999999999</v>
      </c>
      <c r="CB230">
        <v>2.3774299999999999</v>
      </c>
      <c r="CC230">
        <v>2.3691</v>
      </c>
      <c r="CD230">
        <v>2.3724500000000002</v>
      </c>
      <c r="CE230">
        <v>2.3724599999999998</v>
      </c>
      <c r="CF230">
        <v>2.3724699999999999</v>
      </c>
      <c r="CG230">
        <v>2.36747</v>
      </c>
      <c r="CH230">
        <v>2.3739699999999999</v>
      </c>
      <c r="CI230">
        <v>2.3739699999999999</v>
      </c>
      <c r="CJ230">
        <v>2.37398</v>
      </c>
      <c r="CK230">
        <v>2.3624800000000001</v>
      </c>
      <c r="CL230">
        <v>2.3624900000000002</v>
      </c>
      <c r="CM230">
        <v>2.3624900000000002</v>
      </c>
      <c r="CN230">
        <v>2.35751</v>
      </c>
      <c r="CO230">
        <v>2.3450299999999999</v>
      </c>
      <c r="CP230">
        <v>2.3450299999999999</v>
      </c>
      <c r="CQ230">
        <v>2.34918</v>
      </c>
      <c r="CS230">
        <v>2.3441999999999998</v>
      </c>
      <c r="CT230">
        <v>2.3475299999999999</v>
      </c>
      <c r="CU230">
        <v>2.3505400000000001</v>
      </c>
      <c r="CV230">
        <v>2.3505400000000001</v>
      </c>
      <c r="CW230">
        <v>2.3472200000000001</v>
      </c>
      <c r="CX230">
        <v>2.3472200000000001</v>
      </c>
      <c r="CY230">
        <v>2.34456</v>
      </c>
      <c r="CZ230">
        <v>2.3395700000000001</v>
      </c>
      <c r="DA230">
        <v>2.3395700000000001</v>
      </c>
      <c r="DB230">
        <v>2.3395800000000002</v>
      </c>
      <c r="DC230">
        <v>2.2225999999999999</v>
      </c>
    </row>
    <row r="231" spans="1:107" x14ac:dyDescent="0.25">
      <c r="A231">
        <f t="shared" si="3"/>
        <v>3</v>
      </c>
      <c r="B231" s="2">
        <v>42339</v>
      </c>
      <c r="J231">
        <v>0.52686999999999995</v>
      </c>
      <c r="K231">
        <v>0.54957999999999996</v>
      </c>
      <c r="L231">
        <v>0.55779000000000001</v>
      </c>
      <c r="M231">
        <v>0.60824</v>
      </c>
      <c r="N231">
        <v>0.55303000000000002</v>
      </c>
      <c r="O231">
        <v>0.66115000000000002</v>
      </c>
      <c r="P231">
        <v>0.63644999999999996</v>
      </c>
      <c r="Q231">
        <v>0.67210000000000003</v>
      </c>
      <c r="R231">
        <v>0.71208000000000005</v>
      </c>
      <c r="S231">
        <v>0.76927000000000001</v>
      </c>
      <c r="T231">
        <v>0.79456000000000004</v>
      </c>
      <c r="U231">
        <v>0.73102</v>
      </c>
      <c r="V231">
        <v>0.75624000000000002</v>
      </c>
      <c r="W231">
        <v>0.79966000000000004</v>
      </c>
      <c r="X231">
        <v>0.85746</v>
      </c>
      <c r="Y231">
        <v>0.87953999999999999</v>
      </c>
      <c r="Z231">
        <v>0.84170999999999996</v>
      </c>
      <c r="AA231">
        <v>0.89193</v>
      </c>
      <c r="AB231">
        <v>0.92123999999999995</v>
      </c>
      <c r="AC231">
        <v>0.89995999999999998</v>
      </c>
      <c r="AD231">
        <v>0.90307000000000004</v>
      </c>
      <c r="AE231">
        <v>0.80706</v>
      </c>
      <c r="AF231">
        <v>1.00648</v>
      </c>
      <c r="AG231">
        <v>1.0228200000000001</v>
      </c>
      <c r="AH231">
        <v>1.1325499999999999</v>
      </c>
      <c r="AI231">
        <v>1.1419900000000001</v>
      </c>
      <c r="AJ231">
        <v>1.1783999999999999</v>
      </c>
      <c r="AK231">
        <v>1.0055700000000001</v>
      </c>
      <c r="AL231">
        <v>1.2553099999999999</v>
      </c>
      <c r="AM231">
        <v>1.3440099999999999</v>
      </c>
      <c r="AN231">
        <v>1.1879999999999999</v>
      </c>
      <c r="AO231">
        <v>1.41384</v>
      </c>
      <c r="AP231">
        <v>1.4649099999999999</v>
      </c>
      <c r="AQ231">
        <v>1.29111</v>
      </c>
      <c r="AR231">
        <v>1.5180400000000001</v>
      </c>
      <c r="AS231">
        <v>1.5633900000000001</v>
      </c>
      <c r="AT231">
        <v>1.61978</v>
      </c>
      <c r="AU231">
        <v>1.6244799999999999</v>
      </c>
      <c r="AV231">
        <v>1.5226900000000001</v>
      </c>
      <c r="AW231">
        <v>2.0718299999999998</v>
      </c>
      <c r="AX231">
        <v>2.0534699999999999</v>
      </c>
      <c r="AY231">
        <v>2.1173099999999998</v>
      </c>
      <c r="AZ231">
        <v>2.1528700000000001</v>
      </c>
      <c r="BA231">
        <v>2.17442</v>
      </c>
      <c r="BB231">
        <v>2.2156500000000001</v>
      </c>
      <c r="BC231">
        <v>2.2675299999999998</v>
      </c>
      <c r="BD231">
        <v>2.3273999999999999</v>
      </c>
      <c r="BE231">
        <v>2.2332399999999999</v>
      </c>
      <c r="BF231">
        <v>2.40401</v>
      </c>
      <c r="BG231">
        <v>2.3946900000000002</v>
      </c>
      <c r="BH231">
        <v>2.37493</v>
      </c>
      <c r="BI231">
        <v>2.3686099999999999</v>
      </c>
      <c r="BJ231">
        <v>2.3687200000000002</v>
      </c>
      <c r="BK231">
        <v>2.3464200000000002</v>
      </c>
      <c r="BL231">
        <v>2.34815</v>
      </c>
      <c r="BM231">
        <v>2.3431700000000002</v>
      </c>
      <c r="BN231">
        <v>2.3364600000000002</v>
      </c>
      <c r="BO231">
        <v>2.2781099999999999</v>
      </c>
      <c r="BP231">
        <v>2.32802</v>
      </c>
      <c r="BQ231">
        <v>2.32803</v>
      </c>
      <c r="BR231">
        <v>2.3230499999999998</v>
      </c>
      <c r="BS231">
        <v>2.3230599999999999</v>
      </c>
      <c r="BT231">
        <v>2.3382000000000001</v>
      </c>
      <c r="BW231">
        <v>2.3130799999999998</v>
      </c>
      <c r="BX231">
        <v>2.3130899999999999</v>
      </c>
      <c r="BY231">
        <v>2.3130999999999999</v>
      </c>
      <c r="BZ231">
        <v>2.3282400000000001</v>
      </c>
      <c r="CA231">
        <v>2.3232699999999999</v>
      </c>
      <c r="CB231">
        <v>2.32328</v>
      </c>
      <c r="CC231">
        <v>2.3182999999999998</v>
      </c>
      <c r="CD231">
        <v>2.3182999999999998</v>
      </c>
      <c r="CE231">
        <v>2.3263099999999999</v>
      </c>
      <c r="CF231">
        <v>2.3263199999999999</v>
      </c>
      <c r="CG231">
        <v>2.3083300000000002</v>
      </c>
      <c r="CH231">
        <v>2.31616</v>
      </c>
      <c r="CI231">
        <v>2.3161700000000001</v>
      </c>
      <c r="CJ231">
        <v>2.3161700000000001</v>
      </c>
      <c r="CK231">
        <v>2.3033399999999999</v>
      </c>
      <c r="CL231">
        <v>2.3033399999999999</v>
      </c>
      <c r="CM231">
        <v>2.30335</v>
      </c>
      <c r="CN231">
        <v>2.2983699999999998</v>
      </c>
      <c r="CO231">
        <v>2.2858800000000001</v>
      </c>
      <c r="CP231">
        <v>2.2858900000000002</v>
      </c>
      <c r="CQ231">
        <v>2.2899799999999999</v>
      </c>
      <c r="CS231">
        <v>2.2808999999999999</v>
      </c>
      <c r="CT231">
        <v>2.28823</v>
      </c>
      <c r="CU231">
        <v>2.28823</v>
      </c>
      <c r="CV231">
        <v>2.2882400000000001</v>
      </c>
      <c r="CW231">
        <v>2.2885800000000001</v>
      </c>
      <c r="CX231">
        <v>2.2885800000000001</v>
      </c>
      <c r="CY231">
        <v>2.2885900000000001</v>
      </c>
      <c r="CZ231">
        <v>2.2812600000000001</v>
      </c>
      <c r="DA231">
        <v>2.2812700000000001</v>
      </c>
      <c r="DB231">
        <v>2.2812700000000001</v>
      </c>
      <c r="DC231">
        <v>2.1634099999999998</v>
      </c>
    </row>
    <row r="232" spans="1:107" x14ac:dyDescent="0.25">
      <c r="A232">
        <f t="shared" si="3"/>
        <v>4</v>
      </c>
      <c r="B232" s="2">
        <v>42340</v>
      </c>
      <c r="J232">
        <v>0.51539000000000001</v>
      </c>
      <c r="K232">
        <v>0.55064999999999997</v>
      </c>
      <c r="L232">
        <v>0.57062999999999997</v>
      </c>
      <c r="M232">
        <v>0.60467000000000004</v>
      </c>
      <c r="N232">
        <v>0.55413000000000001</v>
      </c>
      <c r="O232">
        <v>0.66074999999999995</v>
      </c>
      <c r="P232">
        <v>0.65442999999999996</v>
      </c>
      <c r="Q232">
        <v>0.69450000000000001</v>
      </c>
      <c r="R232">
        <v>0.73262000000000005</v>
      </c>
      <c r="S232">
        <v>0.78839999999999999</v>
      </c>
      <c r="T232">
        <v>0.8145</v>
      </c>
      <c r="U232">
        <v>0.74821000000000004</v>
      </c>
      <c r="V232">
        <v>0.77410999999999996</v>
      </c>
      <c r="W232">
        <v>0.81891000000000003</v>
      </c>
      <c r="X232">
        <v>0.87616000000000005</v>
      </c>
      <c r="Y232">
        <v>0.93239000000000005</v>
      </c>
      <c r="Z232">
        <v>0.86353999999999997</v>
      </c>
      <c r="AA232">
        <v>0.91388999999999998</v>
      </c>
      <c r="AB232">
        <v>0.94284000000000001</v>
      </c>
      <c r="AC232">
        <v>0.92542999999999997</v>
      </c>
      <c r="AD232">
        <v>0.92757999999999996</v>
      </c>
      <c r="AE232">
        <v>0.83318000000000003</v>
      </c>
      <c r="AF232">
        <v>1.03074</v>
      </c>
      <c r="AG232">
        <v>1.0484899999999999</v>
      </c>
      <c r="AH232">
        <v>1.1534500000000001</v>
      </c>
      <c r="AI232">
        <v>1.16445</v>
      </c>
      <c r="AJ232">
        <v>1.1999599999999999</v>
      </c>
      <c r="AK232">
        <v>1.0280800000000001</v>
      </c>
      <c r="AL232">
        <v>1.2776099999999999</v>
      </c>
      <c r="AM232">
        <v>1.3555900000000001</v>
      </c>
      <c r="AN232">
        <v>1.2015400000000001</v>
      </c>
      <c r="AO232">
        <v>1.4269799999999999</v>
      </c>
      <c r="AP232">
        <v>1.4860599999999999</v>
      </c>
      <c r="AQ232">
        <v>1.3097000000000001</v>
      </c>
      <c r="AR232">
        <v>1.5313600000000001</v>
      </c>
      <c r="AS232">
        <v>1.5836399999999999</v>
      </c>
      <c r="AT232">
        <v>1.6389</v>
      </c>
      <c r="AU232">
        <v>1.63367</v>
      </c>
      <c r="AV232">
        <v>1.53478</v>
      </c>
      <c r="AW232">
        <v>2.0884100000000001</v>
      </c>
      <c r="AX232">
        <v>2.06935</v>
      </c>
      <c r="AY232">
        <v>2.1320100000000002</v>
      </c>
      <c r="AZ232">
        <v>2.1674600000000002</v>
      </c>
      <c r="BA232">
        <v>2.1941700000000002</v>
      </c>
      <c r="BB232">
        <v>2.24213</v>
      </c>
      <c r="BC232">
        <v>2.28329</v>
      </c>
      <c r="BD232">
        <v>2.3284600000000002</v>
      </c>
      <c r="BE232">
        <v>2.2356199999999999</v>
      </c>
      <c r="BF232">
        <v>2.4030200000000002</v>
      </c>
      <c r="BG232">
        <v>2.3934000000000002</v>
      </c>
      <c r="BH232">
        <v>2.3737499999999998</v>
      </c>
      <c r="BI232">
        <v>2.36653</v>
      </c>
      <c r="BJ232">
        <v>2.3615499999999998</v>
      </c>
      <c r="BK232">
        <v>2.3448199999999999</v>
      </c>
      <c r="BL232">
        <v>2.3460999999999999</v>
      </c>
      <c r="BM232">
        <v>2.3411300000000002</v>
      </c>
      <c r="BN232">
        <v>2.3348800000000001</v>
      </c>
      <c r="BO232">
        <v>2.27529</v>
      </c>
      <c r="BP232">
        <v>2.33616</v>
      </c>
      <c r="BQ232">
        <v>2.3361800000000001</v>
      </c>
      <c r="BR232">
        <v>2.3224200000000002</v>
      </c>
      <c r="BS232">
        <v>2.3224399999999998</v>
      </c>
      <c r="BT232">
        <v>2.3361999999999998</v>
      </c>
      <c r="BW232">
        <v>2.3124899999999999</v>
      </c>
      <c r="BX232">
        <v>2.3125</v>
      </c>
      <c r="BY232">
        <v>2.3125200000000001</v>
      </c>
      <c r="BZ232">
        <v>2.3262700000000001</v>
      </c>
      <c r="CA232">
        <v>2.3075399999999999</v>
      </c>
      <c r="CB232">
        <v>2.30755</v>
      </c>
      <c r="CC232">
        <v>2.3163399999999998</v>
      </c>
      <c r="CD232">
        <v>2.3163499999999999</v>
      </c>
      <c r="CE232">
        <v>2.3238799999999999</v>
      </c>
      <c r="CF232">
        <v>2.3239000000000001</v>
      </c>
      <c r="CG232">
        <v>2.3063899999999999</v>
      </c>
      <c r="CH232">
        <v>2.31514</v>
      </c>
      <c r="CI232">
        <v>2.31515</v>
      </c>
      <c r="CJ232">
        <v>2.3151600000000001</v>
      </c>
      <c r="CK232">
        <v>2.3014100000000002</v>
      </c>
      <c r="CL232">
        <v>2.3014199999999998</v>
      </c>
      <c r="CM232">
        <v>2.3014299999999999</v>
      </c>
      <c r="CN232">
        <v>2.28647</v>
      </c>
      <c r="CO232">
        <v>2.2839800000000001</v>
      </c>
      <c r="CP232">
        <v>2.2839900000000002</v>
      </c>
      <c r="CQ232">
        <v>2.2885499999999999</v>
      </c>
      <c r="CS232">
        <v>2.27901</v>
      </c>
      <c r="CT232">
        <v>2.2877299999999998</v>
      </c>
      <c r="CU232">
        <v>2.29108</v>
      </c>
      <c r="CV232">
        <v>2.2910900000000001</v>
      </c>
      <c r="CW232">
        <v>2.2877700000000001</v>
      </c>
      <c r="CX232">
        <v>2.2877800000000001</v>
      </c>
      <c r="CY232">
        <v>2.2902900000000002</v>
      </c>
      <c r="CZ232">
        <v>2.2803</v>
      </c>
      <c r="DA232">
        <v>2.2803100000000001</v>
      </c>
      <c r="DB232">
        <v>2.2803200000000001</v>
      </c>
      <c r="DC232">
        <v>2.1628500000000002</v>
      </c>
    </row>
    <row r="233" spans="1:107" x14ac:dyDescent="0.25">
      <c r="A233">
        <f t="shared" si="3"/>
        <v>5</v>
      </c>
      <c r="B233" s="2">
        <v>42341</v>
      </c>
      <c r="J233">
        <v>0.56979000000000002</v>
      </c>
      <c r="K233">
        <v>0.56200000000000006</v>
      </c>
      <c r="L233">
        <v>0.59143999999999997</v>
      </c>
      <c r="M233">
        <v>0.63210999999999995</v>
      </c>
      <c r="N233">
        <v>0.56559000000000004</v>
      </c>
      <c r="O233">
        <v>0.67034000000000005</v>
      </c>
      <c r="P233">
        <v>0.66915999999999998</v>
      </c>
      <c r="Q233">
        <v>0.72728000000000004</v>
      </c>
      <c r="R233">
        <v>0.76605000000000001</v>
      </c>
      <c r="S233">
        <v>0.82387999999999995</v>
      </c>
      <c r="T233">
        <v>0.84902</v>
      </c>
      <c r="U233">
        <v>0.78703999999999996</v>
      </c>
      <c r="V233">
        <v>0.81279000000000001</v>
      </c>
      <c r="W233">
        <v>0.87290000000000001</v>
      </c>
      <c r="X233">
        <v>0.91398999999999997</v>
      </c>
      <c r="Y233">
        <v>0.92245999999999995</v>
      </c>
      <c r="Z233">
        <v>0.91376999999999997</v>
      </c>
      <c r="AA233">
        <v>0.96321000000000001</v>
      </c>
      <c r="AB233">
        <v>0.98592999999999997</v>
      </c>
      <c r="AC233">
        <v>0.99465999999999999</v>
      </c>
      <c r="AD233">
        <v>1.0005999999999999</v>
      </c>
      <c r="AE233">
        <v>0.90480000000000005</v>
      </c>
      <c r="AF233">
        <v>1.09344</v>
      </c>
      <c r="AG233">
        <v>1.11914</v>
      </c>
      <c r="AH233">
        <v>1.2365600000000001</v>
      </c>
      <c r="AI233">
        <v>1.2405999999999999</v>
      </c>
      <c r="AJ233">
        <v>1.27504</v>
      </c>
      <c r="AK233">
        <v>1.1118699999999999</v>
      </c>
      <c r="AL233">
        <v>1.3584099999999999</v>
      </c>
      <c r="AM233">
        <v>1.4500299999999999</v>
      </c>
      <c r="AN233">
        <v>1.2919400000000001</v>
      </c>
      <c r="AO233">
        <v>1.52047</v>
      </c>
      <c r="AP233">
        <v>1.6063099999999999</v>
      </c>
      <c r="AQ233">
        <v>1.4185399999999999</v>
      </c>
      <c r="AR233">
        <v>1.64178</v>
      </c>
      <c r="AS233">
        <v>1.6992799999999999</v>
      </c>
      <c r="AT233">
        <v>1.75234</v>
      </c>
      <c r="AU233">
        <v>1.75451</v>
      </c>
      <c r="AV233">
        <v>1.64527</v>
      </c>
      <c r="AW233">
        <v>2.1918600000000001</v>
      </c>
      <c r="AX233">
        <v>2.1741100000000002</v>
      </c>
      <c r="AY233">
        <v>2.2363599999999999</v>
      </c>
      <c r="AZ233">
        <v>2.2779600000000002</v>
      </c>
      <c r="BA233">
        <v>2.2945199999999999</v>
      </c>
      <c r="BB233">
        <v>2.3403499999999999</v>
      </c>
      <c r="BC233">
        <v>2.3807499999999999</v>
      </c>
      <c r="BD233">
        <v>2.4355099999999998</v>
      </c>
      <c r="BE233">
        <v>2.3396699999999999</v>
      </c>
      <c r="BF233">
        <v>2.5041000000000002</v>
      </c>
      <c r="BG233">
        <v>2.4944700000000002</v>
      </c>
      <c r="BH233">
        <v>2.4748800000000002</v>
      </c>
      <c r="BI233">
        <v>2.4680800000000001</v>
      </c>
      <c r="BJ233">
        <v>2.4630999999999998</v>
      </c>
      <c r="BK233">
        <v>2.4449100000000001</v>
      </c>
      <c r="BL233">
        <v>2.44665</v>
      </c>
      <c r="BM233">
        <v>2.4416799999999999</v>
      </c>
      <c r="BN233">
        <v>2.4349699999999999</v>
      </c>
      <c r="BO233">
        <v>2.3746399999999999</v>
      </c>
      <c r="BP233">
        <v>2.4265400000000001</v>
      </c>
      <c r="BQ233">
        <v>2.4265599999999998</v>
      </c>
      <c r="BR233">
        <v>2.4215800000000001</v>
      </c>
      <c r="BS233">
        <v>2.4215900000000001</v>
      </c>
      <c r="BT233">
        <v>2.43675</v>
      </c>
      <c r="BW233">
        <v>2.4116499999999998</v>
      </c>
      <c r="BX233">
        <v>2.4116599999999999</v>
      </c>
      <c r="BY233">
        <v>2.41167</v>
      </c>
      <c r="BZ233">
        <v>2.4268200000000002</v>
      </c>
      <c r="CA233">
        <v>2.4218600000000001</v>
      </c>
      <c r="CB233">
        <v>2.4067099999999999</v>
      </c>
      <c r="CC233">
        <v>2.4169</v>
      </c>
      <c r="CD233">
        <v>2.4169100000000001</v>
      </c>
      <c r="CE233">
        <v>2.42543</v>
      </c>
      <c r="CF233">
        <v>2.42544</v>
      </c>
      <c r="CG233">
        <v>2.4069500000000001</v>
      </c>
      <c r="CH233">
        <v>2.4152900000000002</v>
      </c>
      <c r="CI233">
        <v>2.4152999999999998</v>
      </c>
      <c r="CJ233">
        <v>2.4153099999999998</v>
      </c>
      <c r="CK233">
        <v>2.387</v>
      </c>
      <c r="CL233">
        <v>2.3870100000000001</v>
      </c>
      <c r="CM233">
        <v>2.3870200000000001</v>
      </c>
      <c r="CN233">
        <v>2.39703</v>
      </c>
      <c r="CO233">
        <v>2.3845399999999999</v>
      </c>
      <c r="CP233">
        <v>2.3845499999999999</v>
      </c>
      <c r="CQ233">
        <v>2.3820600000000001</v>
      </c>
      <c r="CS233">
        <v>2.3795799999999998</v>
      </c>
      <c r="CT233">
        <v>2.3795899999999999</v>
      </c>
      <c r="CU233">
        <v>2.3869099999999999</v>
      </c>
      <c r="CV233">
        <v>2.3771</v>
      </c>
      <c r="CW233">
        <v>2.3879299999999999</v>
      </c>
      <c r="CX233">
        <v>2.38794</v>
      </c>
      <c r="CY233">
        <v>2.38794</v>
      </c>
      <c r="CZ233">
        <v>2.38096</v>
      </c>
      <c r="DA233">
        <v>2.38097</v>
      </c>
      <c r="DB233">
        <v>2.37114</v>
      </c>
      <c r="DC233">
        <v>2.262</v>
      </c>
    </row>
    <row r="234" spans="1:107" x14ac:dyDescent="0.25">
      <c r="A234">
        <f t="shared" si="3"/>
        <v>6</v>
      </c>
      <c r="B234" s="2">
        <v>42342</v>
      </c>
      <c r="J234">
        <v>0.55052999999999996</v>
      </c>
      <c r="K234">
        <v>0.55249000000000004</v>
      </c>
      <c r="L234">
        <v>0.57121</v>
      </c>
      <c r="M234">
        <v>0.62224999999999997</v>
      </c>
      <c r="N234">
        <v>0.56045</v>
      </c>
      <c r="O234">
        <v>0.65966999999999998</v>
      </c>
      <c r="P234">
        <v>0.65276000000000001</v>
      </c>
      <c r="Q234">
        <v>0.69432000000000005</v>
      </c>
      <c r="R234">
        <v>0.73441000000000001</v>
      </c>
      <c r="S234">
        <v>0.79218999999999995</v>
      </c>
      <c r="T234">
        <v>0.81708000000000003</v>
      </c>
      <c r="U234">
        <v>0.7581</v>
      </c>
      <c r="V234">
        <v>0.78393000000000002</v>
      </c>
      <c r="W234">
        <v>0.82835999999999999</v>
      </c>
      <c r="X234">
        <v>0.88502999999999998</v>
      </c>
      <c r="Y234">
        <v>0.95072999999999996</v>
      </c>
      <c r="Z234">
        <v>0.88170999999999999</v>
      </c>
      <c r="AA234">
        <v>0.93245999999999996</v>
      </c>
      <c r="AB234">
        <v>0.96491000000000005</v>
      </c>
      <c r="AC234">
        <v>0.95418000000000003</v>
      </c>
      <c r="AD234">
        <v>0.95584999999999998</v>
      </c>
      <c r="AE234">
        <v>0.86084000000000005</v>
      </c>
      <c r="AF234">
        <v>1.0589599999999999</v>
      </c>
      <c r="AG234">
        <v>1.0776600000000001</v>
      </c>
      <c r="AH234">
        <v>1.1847099999999999</v>
      </c>
      <c r="AI234">
        <v>1.18821</v>
      </c>
      <c r="AJ234">
        <v>1.22305</v>
      </c>
      <c r="AK234">
        <v>1.0591999999999999</v>
      </c>
      <c r="AL234">
        <v>1.3066599999999999</v>
      </c>
      <c r="AM234">
        <v>1.3944799999999999</v>
      </c>
      <c r="AN234">
        <v>1.23706</v>
      </c>
      <c r="AO234">
        <v>1.46309</v>
      </c>
      <c r="AP234">
        <v>1.55308</v>
      </c>
      <c r="AQ234">
        <v>1.3713900000000001</v>
      </c>
      <c r="AR234">
        <v>1.5935999999999999</v>
      </c>
      <c r="AS234">
        <v>1.6492100000000001</v>
      </c>
      <c r="AT234">
        <v>1.7045300000000001</v>
      </c>
      <c r="AU234">
        <v>1.7009099999999999</v>
      </c>
      <c r="AV234">
        <v>1.5972900000000001</v>
      </c>
      <c r="AW234">
        <v>2.1509299999999998</v>
      </c>
      <c r="AX234">
        <v>2.1312899999999999</v>
      </c>
      <c r="AY234">
        <v>2.1952400000000001</v>
      </c>
      <c r="AZ234">
        <v>2.2356600000000002</v>
      </c>
      <c r="BA234">
        <v>2.2582499999999999</v>
      </c>
      <c r="BB234">
        <v>2.30721</v>
      </c>
      <c r="BC234">
        <v>2.3519600000000001</v>
      </c>
      <c r="BD234">
        <v>2.3939699999999999</v>
      </c>
      <c r="BE234">
        <v>2.3026</v>
      </c>
      <c r="BF234">
        <v>2.4723700000000002</v>
      </c>
      <c r="BG234">
        <v>2.4624000000000001</v>
      </c>
      <c r="BH234">
        <v>2.4379499999999998</v>
      </c>
      <c r="BI234">
        <v>2.4365399999999999</v>
      </c>
      <c r="BJ234">
        <v>2.4358</v>
      </c>
      <c r="BK234">
        <v>2.41351</v>
      </c>
      <c r="BL234">
        <v>2.41561</v>
      </c>
      <c r="BM234">
        <v>2.4106399999999999</v>
      </c>
      <c r="BN234">
        <v>2.4035799999999998</v>
      </c>
      <c r="BO234">
        <v>2.3411200000000001</v>
      </c>
      <c r="BP234">
        <v>2.3944399999999999</v>
      </c>
      <c r="BQ234">
        <v>2.39446</v>
      </c>
      <c r="BR234">
        <v>2.3894799999999998</v>
      </c>
      <c r="BS234">
        <v>2.3895</v>
      </c>
      <c r="BT234">
        <v>2.4056999999999999</v>
      </c>
      <c r="BW234">
        <v>2.3795500000000001</v>
      </c>
      <c r="BX234">
        <v>2.3795600000000001</v>
      </c>
      <c r="BY234">
        <v>2.3795799999999998</v>
      </c>
      <c r="BZ234">
        <v>2.3957700000000002</v>
      </c>
      <c r="CA234">
        <v>2.3908100000000001</v>
      </c>
      <c r="CB234">
        <v>2.3908299999999998</v>
      </c>
      <c r="CC234">
        <v>2.3858600000000001</v>
      </c>
      <c r="CD234">
        <v>2.3858700000000002</v>
      </c>
      <c r="CE234">
        <v>2.3933800000000001</v>
      </c>
      <c r="CF234">
        <v>2.3934000000000002</v>
      </c>
      <c r="CG234">
        <v>2.3759100000000002</v>
      </c>
      <c r="CH234">
        <v>2.38218</v>
      </c>
      <c r="CI234">
        <v>2.38219</v>
      </c>
      <c r="CJ234">
        <v>2.3822100000000002</v>
      </c>
      <c r="CK234">
        <v>2.37094</v>
      </c>
      <c r="CL234">
        <v>2.3709500000000001</v>
      </c>
      <c r="CM234">
        <v>2.3709600000000002</v>
      </c>
      <c r="CN234">
        <v>2.36598</v>
      </c>
      <c r="CO234">
        <v>2.3534999999999999</v>
      </c>
      <c r="CP234">
        <v>2.35351</v>
      </c>
      <c r="CQ234">
        <v>2.3572500000000001</v>
      </c>
      <c r="CS234">
        <v>2.3485399999999998</v>
      </c>
      <c r="CT234">
        <v>2.35229</v>
      </c>
      <c r="CU234">
        <v>2.3548100000000001</v>
      </c>
      <c r="CV234">
        <v>2.3548200000000001</v>
      </c>
      <c r="CW234">
        <v>2.35283</v>
      </c>
      <c r="CX234">
        <v>2.35284</v>
      </c>
      <c r="CY234">
        <v>2.3551700000000002</v>
      </c>
      <c r="CZ234">
        <v>2.3478500000000002</v>
      </c>
      <c r="DA234">
        <v>2.3478599999999998</v>
      </c>
      <c r="DB234">
        <v>2.3478699999999999</v>
      </c>
      <c r="DC234">
        <v>2.2302300000000002</v>
      </c>
    </row>
    <row r="235" spans="1:107" x14ac:dyDescent="0.25">
      <c r="A235">
        <f t="shared" si="3"/>
        <v>2</v>
      </c>
      <c r="B235" s="2">
        <v>42345</v>
      </c>
      <c r="J235">
        <v>0.56416999999999995</v>
      </c>
      <c r="K235">
        <v>0.54479</v>
      </c>
      <c r="L235">
        <v>0.55884</v>
      </c>
      <c r="M235">
        <v>0.62785999999999997</v>
      </c>
      <c r="N235">
        <v>0.56481999999999999</v>
      </c>
      <c r="O235">
        <v>0.65837000000000001</v>
      </c>
      <c r="P235">
        <v>0.64873000000000003</v>
      </c>
      <c r="Q235">
        <v>0.67459000000000002</v>
      </c>
      <c r="R235">
        <v>0.71282000000000001</v>
      </c>
      <c r="S235">
        <v>0.77083999999999997</v>
      </c>
      <c r="T235">
        <v>0.79678000000000004</v>
      </c>
      <c r="U235">
        <v>0.72851999999999995</v>
      </c>
      <c r="V235">
        <v>0.75348999999999999</v>
      </c>
      <c r="W235">
        <v>0.81393000000000004</v>
      </c>
      <c r="X235">
        <v>0.85531999999999997</v>
      </c>
      <c r="Y235">
        <v>0.91913</v>
      </c>
      <c r="Z235">
        <v>0.84980999999999995</v>
      </c>
      <c r="AA235">
        <v>0.90049999999999997</v>
      </c>
      <c r="AB235">
        <v>0.92762</v>
      </c>
      <c r="AC235">
        <v>0.91425999999999996</v>
      </c>
      <c r="AD235">
        <v>0.91613</v>
      </c>
      <c r="AE235">
        <v>0.82082999999999995</v>
      </c>
      <c r="AF235">
        <v>1.0053700000000001</v>
      </c>
      <c r="AG235">
        <v>1.0428599999999999</v>
      </c>
      <c r="AH235">
        <v>1.1426799999999999</v>
      </c>
      <c r="AI235">
        <v>1.1531400000000001</v>
      </c>
      <c r="AJ235">
        <v>1.1883600000000001</v>
      </c>
      <c r="AK235">
        <v>1.01752</v>
      </c>
      <c r="AL235">
        <v>1.2648600000000001</v>
      </c>
      <c r="AM235">
        <v>1.3489599999999999</v>
      </c>
      <c r="AN235">
        <v>1.19455</v>
      </c>
      <c r="AO235">
        <v>1.4230499999999999</v>
      </c>
      <c r="AP235">
        <v>1.49316</v>
      </c>
      <c r="AQ235">
        <v>1.3063</v>
      </c>
      <c r="AR235">
        <v>1.5336399999999999</v>
      </c>
      <c r="AS235">
        <v>1.5861099999999999</v>
      </c>
      <c r="AT235">
        <v>1.6431500000000001</v>
      </c>
      <c r="AU235">
        <v>1.6348499999999999</v>
      </c>
      <c r="AV235">
        <v>1.5367200000000001</v>
      </c>
      <c r="AW235">
        <v>2.0915300000000001</v>
      </c>
      <c r="AX235">
        <v>2.07213</v>
      </c>
      <c r="AY235">
        <v>2.1344500000000002</v>
      </c>
      <c r="AZ235">
        <v>2.1701700000000002</v>
      </c>
      <c r="BA235">
        <v>2.2021600000000001</v>
      </c>
      <c r="BB235">
        <v>2.2476799999999999</v>
      </c>
      <c r="BC235">
        <v>2.28105</v>
      </c>
      <c r="BD235">
        <v>2.3414299999999999</v>
      </c>
      <c r="BE235">
        <v>2.2416100000000001</v>
      </c>
      <c r="BF235">
        <v>2.4113099999999998</v>
      </c>
      <c r="BG235">
        <v>2.4006699999999999</v>
      </c>
      <c r="BH235">
        <v>2.3763899999999998</v>
      </c>
      <c r="BI235">
        <v>2.37534</v>
      </c>
      <c r="BJ235">
        <v>2.3740399999999999</v>
      </c>
      <c r="BK235">
        <v>2.3523900000000002</v>
      </c>
      <c r="BL235">
        <v>2.3543799999999999</v>
      </c>
      <c r="BM235">
        <v>2.3494000000000002</v>
      </c>
      <c r="BN235">
        <v>2.3424299999999998</v>
      </c>
      <c r="BO235">
        <v>2.2819600000000002</v>
      </c>
      <c r="BP235">
        <v>2.3444099999999999</v>
      </c>
      <c r="BQ235">
        <v>2.3444199999999999</v>
      </c>
      <c r="BR235">
        <v>2.3285</v>
      </c>
      <c r="BS235">
        <v>2.3285100000000001</v>
      </c>
      <c r="BT235">
        <v>2.3444199999999999</v>
      </c>
      <c r="BW235">
        <v>2.31854</v>
      </c>
      <c r="BX235">
        <v>2.3185500000000001</v>
      </c>
      <c r="BY235">
        <v>2.3185600000000002</v>
      </c>
      <c r="BZ235">
        <v>2.33446</v>
      </c>
      <c r="CA235">
        <v>2.3135699999999999</v>
      </c>
      <c r="CB235">
        <v>2.3294999999999999</v>
      </c>
      <c r="CC235">
        <v>2.3245200000000001</v>
      </c>
      <c r="CD235">
        <v>2.3360500000000002</v>
      </c>
      <c r="CE235">
        <v>2.3310599999999999</v>
      </c>
      <c r="CF235">
        <v>2.33107</v>
      </c>
      <c r="CG235">
        <v>2.3145600000000002</v>
      </c>
      <c r="CH235">
        <v>2.3201399999999999</v>
      </c>
      <c r="CI235">
        <v>2.3201399999999999</v>
      </c>
      <c r="CJ235">
        <v>2.3201499999999999</v>
      </c>
      <c r="CK235">
        <v>2.3095699999999999</v>
      </c>
      <c r="CL235">
        <v>2.3095699999999999</v>
      </c>
      <c r="CM235">
        <v>2.30958</v>
      </c>
      <c r="CN235">
        <v>2.3046000000000002</v>
      </c>
      <c r="CO235">
        <v>2.2921100000000001</v>
      </c>
      <c r="CP235">
        <v>2.2921100000000001</v>
      </c>
      <c r="CQ235">
        <v>2.2959499999999999</v>
      </c>
      <c r="CS235">
        <v>2.2909700000000002</v>
      </c>
      <c r="CT235">
        <v>2.2936800000000002</v>
      </c>
      <c r="CU235">
        <v>2.2936899999999998</v>
      </c>
      <c r="CV235">
        <v>2.2936899999999998</v>
      </c>
      <c r="CW235">
        <v>2.2907199999999999</v>
      </c>
      <c r="CX235">
        <v>2.2907299999999999</v>
      </c>
      <c r="CY235">
        <v>2.29339</v>
      </c>
      <c r="CZ235">
        <v>2.28573</v>
      </c>
      <c r="DA235">
        <v>2.2857400000000001</v>
      </c>
      <c r="DB235">
        <v>2.2857400000000001</v>
      </c>
      <c r="DC235">
        <v>2.1687500000000002</v>
      </c>
    </row>
    <row r="236" spans="1:107" x14ac:dyDescent="0.25">
      <c r="A236">
        <f t="shared" si="3"/>
        <v>3</v>
      </c>
      <c r="B236" s="2">
        <v>42346</v>
      </c>
      <c r="J236">
        <v>0.54368000000000005</v>
      </c>
      <c r="K236">
        <v>0.53930999999999996</v>
      </c>
      <c r="L236">
        <v>0.57782</v>
      </c>
      <c r="M236">
        <v>0.59718000000000004</v>
      </c>
      <c r="N236">
        <v>0.54908999999999997</v>
      </c>
      <c r="O236">
        <v>0.64722999999999997</v>
      </c>
      <c r="P236">
        <v>0.63768999999999998</v>
      </c>
      <c r="Q236">
        <v>0.64385000000000003</v>
      </c>
      <c r="R236">
        <v>0.67959000000000003</v>
      </c>
      <c r="S236">
        <v>0.74251</v>
      </c>
      <c r="T236">
        <v>0.76783000000000001</v>
      </c>
      <c r="U236">
        <v>0.70225000000000004</v>
      </c>
      <c r="V236">
        <v>0.71799999999999997</v>
      </c>
      <c r="W236">
        <v>0.77120999999999995</v>
      </c>
      <c r="X236">
        <v>0.82940000000000003</v>
      </c>
      <c r="Y236">
        <v>0.86478999999999995</v>
      </c>
      <c r="Z236">
        <v>0.82174000000000003</v>
      </c>
      <c r="AA236">
        <v>0.87107999999999997</v>
      </c>
      <c r="AB236">
        <v>0.89942</v>
      </c>
      <c r="AC236">
        <v>0.89093</v>
      </c>
      <c r="AD236">
        <v>0.89063000000000003</v>
      </c>
      <c r="AE236">
        <v>0.79615999999999998</v>
      </c>
      <c r="AF236">
        <v>0.99621999999999999</v>
      </c>
      <c r="AG236">
        <v>1.01346</v>
      </c>
      <c r="AH236">
        <v>1.11774</v>
      </c>
      <c r="AI236">
        <v>1.1236299999999999</v>
      </c>
      <c r="AJ236">
        <v>1.16144</v>
      </c>
      <c r="AK236">
        <v>0.995</v>
      </c>
      <c r="AL236">
        <v>1.2430699999999999</v>
      </c>
      <c r="AM236">
        <v>1.33186</v>
      </c>
      <c r="AN236">
        <v>1.1738200000000001</v>
      </c>
      <c r="AO236">
        <v>1.3972899999999999</v>
      </c>
      <c r="AP236">
        <v>1.48516</v>
      </c>
      <c r="AQ236">
        <v>1.3137700000000001</v>
      </c>
      <c r="AR236">
        <v>1.5257000000000001</v>
      </c>
      <c r="AS236">
        <v>1.58317</v>
      </c>
      <c r="AT236">
        <v>1.6400699999999999</v>
      </c>
      <c r="AU236">
        <v>1.6307499999999999</v>
      </c>
      <c r="AV236">
        <v>1.5359100000000001</v>
      </c>
      <c r="AW236">
        <v>2.0911499999999998</v>
      </c>
      <c r="AX236">
        <v>2.0723699999999998</v>
      </c>
      <c r="AY236">
        <v>2.13551</v>
      </c>
      <c r="AZ236">
        <v>2.1699199999999998</v>
      </c>
      <c r="BA236">
        <v>2.1966100000000002</v>
      </c>
      <c r="BB236">
        <v>2.2457699999999998</v>
      </c>
      <c r="BC236">
        <v>2.2959100000000001</v>
      </c>
      <c r="BD236">
        <v>2.3361399999999999</v>
      </c>
      <c r="BE236">
        <v>2.24247</v>
      </c>
      <c r="BF236">
        <v>2.4161899999999998</v>
      </c>
      <c r="BG236">
        <v>2.4062100000000002</v>
      </c>
      <c r="BH236">
        <v>2.38287</v>
      </c>
      <c r="BI236">
        <v>2.3802500000000002</v>
      </c>
      <c r="BJ236">
        <v>2.3799100000000002</v>
      </c>
      <c r="BK236">
        <v>2.3576000000000001</v>
      </c>
      <c r="BL236">
        <v>2.3592900000000001</v>
      </c>
      <c r="BM236">
        <v>2.3543099999999999</v>
      </c>
      <c r="BN236">
        <v>2.3476400000000002</v>
      </c>
      <c r="BO236">
        <v>2.2885900000000001</v>
      </c>
      <c r="BP236">
        <v>2.3393000000000002</v>
      </c>
      <c r="BQ236">
        <v>2.3393099999999998</v>
      </c>
      <c r="BR236">
        <v>2.33432</v>
      </c>
      <c r="BS236">
        <v>2.33433</v>
      </c>
      <c r="BT236">
        <v>2.3493300000000001</v>
      </c>
      <c r="BW236">
        <v>2.32436</v>
      </c>
      <c r="BX236">
        <v>2.32437</v>
      </c>
      <c r="BY236">
        <v>2.3243800000000001</v>
      </c>
      <c r="BZ236">
        <v>2.3393799999999998</v>
      </c>
      <c r="CA236">
        <v>2.3193899999999998</v>
      </c>
      <c r="CB236">
        <v>2.3344100000000001</v>
      </c>
      <c r="CC236">
        <v>2.32944</v>
      </c>
      <c r="CD236">
        <v>2.32944</v>
      </c>
      <c r="CE236">
        <v>2.3369499999999999</v>
      </c>
      <c r="CF236">
        <v>2.3369599999999999</v>
      </c>
      <c r="CG236">
        <v>2.3194599999999999</v>
      </c>
      <c r="CH236">
        <v>2.32694</v>
      </c>
      <c r="CI236">
        <v>2.3269500000000001</v>
      </c>
      <c r="CJ236">
        <v>2.3269500000000001</v>
      </c>
      <c r="CK236">
        <v>2.31447</v>
      </c>
      <c r="CL236">
        <v>2.3144800000000001</v>
      </c>
      <c r="CM236">
        <v>2.3144900000000002</v>
      </c>
      <c r="CN236">
        <v>2.30951</v>
      </c>
      <c r="CO236">
        <v>2.2970199999999998</v>
      </c>
      <c r="CP236">
        <v>2.2970199999999998</v>
      </c>
      <c r="CQ236">
        <v>2.3011699999999999</v>
      </c>
      <c r="CS236">
        <v>2.2920400000000001</v>
      </c>
      <c r="CT236">
        <v>2.2995100000000002</v>
      </c>
      <c r="CU236">
        <v>2.2995100000000002</v>
      </c>
      <c r="CV236">
        <v>2.2995199999999998</v>
      </c>
      <c r="CW236">
        <v>2.2998599999999998</v>
      </c>
      <c r="CX236">
        <v>2.2998599999999998</v>
      </c>
      <c r="CY236">
        <v>2.2998599999999998</v>
      </c>
      <c r="CZ236">
        <v>2.2925399999999998</v>
      </c>
      <c r="DA236">
        <v>2.2925399999999998</v>
      </c>
      <c r="DB236">
        <v>2.2925499999999999</v>
      </c>
      <c r="DC236">
        <v>2.1745899999999998</v>
      </c>
    </row>
    <row r="237" spans="1:107" x14ac:dyDescent="0.25">
      <c r="A237">
        <f t="shared" si="3"/>
        <v>4</v>
      </c>
      <c r="B237" s="2">
        <v>42347</v>
      </c>
      <c r="J237">
        <v>0.53066000000000002</v>
      </c>
      <c r="K237">
        <v>0.52739000000000003</v>
      </c>
      <c r="L237">
        <v>0.56982999999999995</v>
      </c>
      <c r="M237">
        <v>0.59260000000000002</v>
      </c>
      <c r="N237">
        <v>0.54713000000000001</v>
      </c>
      <c r="O237">
        <v>0.64002000000000003</v>
      </c>
      <c r="P237">
        <v>0.62563000000000002</v>
      </c>
      <c r="Q237">
        <v>0.61714999999999998</v>
      </c>
      <c r="R237">
        <v>0.65607000000000004</v>
      </c>
      <c r="S237">
        <v>0.71336999999999995</v>
      </c>
      <c r="T237">
        <v>0.73953999999999998</v>
      </c>
      <c r="U237">
        <v>0.66539999999999999</v>
      </c>
      <c r="V237">
        <v>0.69177</v>
      </c>
      <c r="W237">
        <v>0.73611000000000004</v>
      </c>
      <c r="X237">
        <v>0.79308000000000001</v>
      </c>
      <c r="Y237">
        <v>0.85873999999999995</v>
      </c>
      <c r="Z237">
        <v>0.78934000000000004</v>
      </c>
      <c r="AA237">
        <v>0.83909</v>
      </c>
      <c r="AB237">
        <v>0.86714000000000002</v>
      </c>
      <c r="AC237">
        <v>0.86346000000000001</v>
      </c>
      <c r="AD237">
        <v>0.86404999999999998</v>
      </c>
      <c r="AE237">
        <v>0.76841000000000004</v>
      </c>
      <c r="AF237">
        <v>0.96684000000000003</v>
      </c>
      <c r="AG237">
        <v>0.98667000000000005</v>
      </c>
      <c r="AH237">
        <v>1.0706800000000001</v>
      </c>
      <c r="AI237">
        <v>1.0936300000000001</v>
      </c>
      <c r="AJ237">
        <v>1.12924</v>
      </c>
      <c r="AK237">
        <v>0.96808000000000005</v>
      </c>
      <c r="AL237">
        <v>1.21357</v>
      </c>
      <c r="AM237">
        <v>1.30101</v>
      </c>
      <c r="AN237">
        <v>1.1490800000000001</v>
      </c>
      <c r="AO237">
        <v>1.3731</v>
      </c>
      <c r="AP237">
        <v>1.4616800000000001</v>
      </c>
      <c r="AQ237">
        <v>1.28983</v>
      </c>
      <c r="AR237">
        <v>1.5155799999999999</v>
      </c>
      <c r="AS237">
        <v>1.56437</v>
      </c>
      <c r="AT237">
        <v>1.61992</v>
      </c>
      <c r="AU237">
        <v>1.61395</v>
      </c>
      <c r="AV237">
        <v>1.5113300000000001</v>
      </c>
      <c r="AW237">
        <v>2.0704500000000001</v>
      </c>
      <c r="AX237">
        <v>2.0587900000000001</v>
      </c>
      <c r="AY237">
        <v>2.1219399999999999</v>
      </c>
      <c r="AZ237">
        <v>2.1578300000000001</v>
      </c>
      <c r="BA237">
        <v>2.1845400000000001</v>
      </c>
      <c r="BB237">
        <v>2.2340800000000001</v>
      </c>
      <c r="BC237">
        <v>2.2815099999999999</v>
      </c>
      <c r="BD237">
        <v>2.3316499999999998</v>
      </c>
      <c r="BE237">
        <v>2.2336299999999998</v>
      </c>
      <c r="BF237">
        <v>2.4112399999999998</v>
      </c>
      <c r="BG237">
        <v>2.4006500000000002</v>
      </c>
      <c r="BH237">
        <v>2.3845399999999999</v>
      </c>
      <c r="BI237">
        <v>2.3761800000000002</v>
      </c>
      <c r="BJ237">
        <v>2.3712</v>
      </c>
      <c r="BK237">
        <v>2.35371</v>
      </c>
      <c r="BL237">
        <v>2.3557600000000001</v>
      </c>
      <c r="BM237">
        <v>2.3507799999999999</v>
      </c>
      <c r="BN237">
        <v>2.33982</v>
      </c>
      <c r="BO237">
        <v>2.2875200000000002</v>
      </c>
      <c r="BP237">
        <v>2.3458100000000002</v>
      </c>
      <c r="BQ237">
        <v>2.3458299999999999</v>
      </c>
      <c r="BR237">
        <v>2.3307500000000001</v>
      </c>
      <c r="BS237">
        <v>2.3307699999999998</v>
      </c>
      <c r="BT237">
        <v>2.3448600000000002</v>
      </c>
      <c r="BW237">
        <v>2.33588</v>
      </c>
      <c r="BX237">
        <v>2.3208299999999999</v>
      </c>
      <c r="BY237">
        <v>2.3208500000000001</v>
      </c>
      <c r="BZ237">
        <v>2.3359200000000002</v>
      </c>
      <c r="CA237">
        <v>2.3309600000000001</v>
      </c>
      <c r="CB237">
        <v>2.3309700000000002</v>
      </c>
      <c r="CC237">
        <v>2.3260000000000001</v>
      </c>
      <c r="CD237">
        <v>2.3260100000000001</v>
      </c>
      <c r="CE237">
        <v>2.3260200000000002</v>
      </c>
      <c r="CF237">
        <v>2.3260299999999998</v>
      </c>
      <c r="CG237">
        <v>2.3160400000000001</v>
      </c>
      <c r="CH237">
        <v>2.3254299999999999</v>
      </c>
      <c r="CI237">
        <v>2.32544</v>
      </c>
      <c r="CJ237">
        <v>2.32545</v>
      </c>
      <c r="CK237">
        <v>2.31107</v>
      </c>
      <c r="CL237">
        <v>2.31108</v>
      </c>
      <c r="CM237">
        <v>2.3110900000000001</v>
      </c>
      <c r="CN237">
        <v>2.29514</v>
      </c>
      <c r="CO237">
        <v>2.2926500000000001</v>
      </c>
      <c r="CP237">
        <v>2.2926600000000001</v>
      </c>
      <c r="CQ237">
        <v>2.2974299999999999</v>
      </c>
      <c r="CS237">
        <v>2.28769</v>
      </c>
      <c r="CT237">
        <v>2.2960600000000002</v>
      </c>
      <c r="CU237">
        <v>2.2960699999999998</v>
      </c>
      <c r="CV237">
        <v>2.2960799999999999</v>
      </c>
      <c r="CW237">
        <v>2.2967499999999998</v>
      </c>
      <c r="CX237">
        <v>2.2967499999999998</v>
      </c>
      <c r="CY237">
        <v>2.30009</v>
      </c>
      <c r="CZ237">
        <v>2.28912</v>
      </c>
      <c r="DA237">
        <v>2.28912</v>
      </c>
      <c r="DB237">
        <v>2.2891300000000001</v>
      </c>
      <c r="DC237">
        <v>2.1726399999999999</v>
      </c>
    </row>
    <row r="238" spans="1:107" x14ac:dyDescent="0.25">
      <c r="A238">
        <f t="shared" si="3"/>
        <v>5</v>
      </c>
      <c r="B238" s="2">
        <v>42348</v>
      </c>
      <c r="J238">
        <v>0.52085999999999999</v>
      </c>
      <c r="K238">
        <v>0.52278999999999998</v>
      </c>
      <c r="L238">
        <v>0.56906999999999996</v>
      </c>
      <c r="M238">
        <v>0.58765000000000001</v>
      </c>
      <c r="N238">
        <v>0.54232000000000002</v>
      </c>
      <c r="O238">
        <v>0.63726000000000005</v>
      </c>
      <c r="P238">
        <v>0.62726000000000004</v>
      </c>
      <c r="Q238">
        <v>0.61711000000000005</v>
      </c>
      <c r="R238">
        <v>0.65178999999999998</v>
      </c>
      <c r="S238">
        <v>0.71370999999999996</v>
      </c>
      <c r="T238">
        <v>0.73978999999999995</v>
      </c>
      <c r="U238">
        <v>0.66783000000000003</v>
      </c>
      <c r="V238">
        <v>0.69413999999999998</v>
      </c>
      <c r="W238">
        <v>0.73831000000000002</v>
      </c>
      <c r="X238">
        <v>0.79574999999999996</v>
      </c>
      <c r="Y238">
        <v>0.86175000000000002</v>
      </c>
      <c r="Z238">
        <v>0.79186999999999996</v>
      </c>
      <c r="AA238">
        <v>0.84138999999999997</v>
      </c>
      <c r="AB238">
        <v>0.87075000000000002</v>
      </c>
      <c r="AC238">
        <v>0.85794000000000004</v>
      </c>
      <c r="AD238">
        <v>0.86033000000000004</v>
      </c>
      <c r="AE238">
        <v>0.76510999999999996</v>
      </c>
      <c r="AF238">
        <v>0.94979000000000002</v>
      </c>
      <c r="AG238">
        <v>0.97941</v>
      </c>
      <c r="AH238">
        <v>1.0627800000000001</v>
      </c>
      <c r="AI238">
        <v>1.0872999999999999</v>
      </c>
      <c r="AJ238">
        <v>1.1230800000000001</v>
      </c>
      <c r="AK238">
        <v>0.96197999999999995</v>
      </c>
      <c r="AL238">
        <v>1.20723</v>
      </c>
      <c r="AM238">
        <v>1.2970699999999999</v>
      </c>
      <c r="AN238">
        <v>1.1429800000000001</v>
      </c>
      <c r="AO238">
        <v>1.36782</v>
      </c>
      <c r="AP238">
        <v>1.4557500000000001</v>
      </c>
      <c r="AQ238">
        <v>1.284</v>
      </c>
      <c r="AR238">
        <v>1.5047299999999999</v>
      </c>
      <c r="AS238">
        <v>1.5554399999999999</v>
      </c>
      <c r="AT238">
        <v>1.60849</v>
      </c>
      <c r="AU238">
        <v>1.6043700000000001</v>
      </c>
      <c r="AV238">
        <v>1.5049300000000001</v>
      </c>
      <c r="AW238">
        <v>2.0704099999999999</v>
      </c>
      <c r="AX238">
        <v>2.05803</v>
      </c>
      <c r="AY238">
        <v>2.1215999999999999</v>
      </c>
      <c r="AZ238">
        <v>2.1580400000000002</v>
      </c>
      <c r="BA238">
        <v>2.1895699999999998</v>
      </c>
      <c r="BB238">
        <v>2.23299</v>
      </c>
      <c r="BC238">
        <v>2.27949</v>
      </c>
      <c r="BD238">
        <v>2.3351500000000001</v>
      </c>
      <c r="BE238">
        <v>2.23461</v>
      </c>
      <c r="BF238">
        <v>2.4075600000000001</v>
      </c>
      <c r="BG238">
        <v>2.3976299999999999</v>
      </c>
      <c r="BH238">
        <v>2.38104</v>
      </c>
      <c r="BI238">
        <v>2.3726799999999999</v>
      </c>
      <c r="BJ238">
        <v>2.3677000000000001</v>
      </c>
      <c r="BK238">
        <v>2.3510300000000002</v>
      </c>
      <c r="BL238">
        <v>2.3527499999999999</v>
      </c>
      <c r="BM238">
        <v>2.3477800000000002</v>
      </c>
      <c r="BN238">
        <v>2.3378000000000001</v>
      </c>
      <c r="BO238">
        <v>2.2860800000000001</v>
      </c>
      <c r="BP238">
        <v>2.3327</v>
      </c>
      <c r="BQ238">
        <v>2.3327100000000001</v>
      </c>
      <c r="BR238">
        <v>2.3277399999999999</v>
      </c>
      <c r="BS238">
        <v>2.32775</v>
      </c>
      <c r="BT238">
        <v>2.3428499999999999</v>
      </c>
      <c r="BW238">
        <v>2.3178000000000001</v>
      </c>
      <c r="BX238">
        <v>2.3178200000000002</v>
      </c>
      <c r="BY238">
        <v>2.3178299999999998</v>
      </c>
      <c r="BZ238">
        <v>2.3329200000000001</v>
      </c>
      <c r="CA238">
        <v>2.32796</v>
      </c>
      <c r="CB238">
        <v>2.3279700000000001</v>
      </c>
      <c r="CC238">
        <v>2.3128799999999998</v>
      </c>
      <c r="CD238">
        <v>2.32301</v>
      </c>
      <c r="CE238">
        <v>2.3325200000000001</v>
      </c>
      <c r="CF238">
        <v>2.3325300000000002</v>
      </c>
      <c r="CG238">
        <v>2.31304</v>
      </c>
      <c r="CH238">
        <v>2.3224300000000002</v>
      </c>
      <c r="CI238">
        <v>2.3224399999999998</v>
      </c>
      <c r="CJ238">
        <v>2.3224499999999999</v>
      </c>
      <c r="CK238">
        <v>2.3080699999999998</v>
      </c>
      <c r="CL238">
        <v>2.3080799999999999</v>
      </c>
      <c r="CM238">
        <v>2.30809</v>
      </c>
      <c r="CN238">
        <v>2.3031199999999998</v>
      </c>
      <c r="CO238">
        <v>2.2964099999999998</v>
      </c>
      <c r="CP238">
        <v>2.2964199999999999</v>
      </c>
      <c r="CQ238">
        <v>2.2985600000000002</v>
      </c>
      <c r="CS238">
        <v>2.28979</v>
      </c>
      <c r="CT238">
        <v>2.2953800000000002</v>
      </c>
      <c r="CU238">
        <v>2.2953899999999998</v>
      </c>
      <c r="CV238">
        <v>2.2953899999999998</v>
      </c>
      <c r="CW238">
        <v>2.2890799999999998</v>
      </c>
      <c r="CX238">
        <v>2.2890799999999998</v>
      </c>
      <c r="CY238">
        <v>2.2890899999999998</v>
      </c>
      <c r="CZ238">
        <v>2.2841</v>
      </c>
      <c r="DA238">
        <v>2.2841</v>
      </c>
      <c r="DB238">
        <v>2.2841100000000001</v>
      </c>
      <c r="DC238">
        <v>2.1682700000000001</v>
      </c>
    </row>
    <row r="239" spans="1:107" x14ac:dyDescent="0.25">
      <c r="A239">
        <f t="shared" si="3"/>
        <v>6</v>
      </c>
      <c r="B239" s="2">
        <v>42349</v>
      </c>
      <c r="J239">
        <v>0.52042999999999995</v>
      </c>
      <c r="K239">
        <v>0.50644999999999996</v>
      </c>
      <c r="L239">
        <v>0.55800000000000005</v>
      </c>
      <c r="M239">
        <v>0.58858999999999995</v>
      </c>
      <c r="N239">
        <v>0.54266000000000003</v>
      </c>
      <c r="O239">
        <v>0.62697000000000003</v>
      </c>
      <c r="P239">
        <v>0.59191000000000005</v>
      </c>
      <c r="Q239">
        <v>0.55759999999999998</v>
      </c>
      <c r="R239">
        <v>0.58291999999999999</v>
      </c>
      <c r="S239">
        <v>0.65629000000000004</v>
      </c>
      <c r="T239">
        <v>0.68261000000000005</v>
      </c>
      <c r="U239">
        <v>0.62487999999999999</v>
      </c>
      <c r="V239">
        <v>0.63463999999999998</v>
      </c>
      <c r="W239">
        <v>0.67778000000000005</v>
      </c>
      <c r="X239">
        <v>0.73716999999999999</v>
      </c>
      <c r="Y239">
        <v>0.77054</v>
      </c>
      <c r="Z239">
        <v>0.72141999999999995</v>
      </c>
      <c r="AA239">
        <v>0.77603</v>
      </c>
      <c r="AB239">
        <v>0.80383000000000004</v>
      </c>
      <c r="AC239">
        <v>0.78547999999999996</v>
      </c>
      <c r="AD239">
        <v>0.78685000000000005</v>
      </c>
      <c r="AE239">
        <v>0.69220999999999999</v>
      </c>
      <c r="AF239">
        <v>0.89036999999999999</v>
      </c>
      <c r="AG239">
        <v>0.90410999999999997</v>
      </c>
      <c r="AH239">
        <v>0.98692000000000002</v>
      </c>
      <c r="AI239">
        <v>1.01197</v>
      </c>
      <c r="AJ239">
        <v>1.04674</v>
      </c>
      <c r="AK239">
        <v>0.88680000000000003</v>
      </c>
      <c r="AL239">
        <v>1.13117</v>
      </c>
      <c r="AM239">
        <v>1.2278899999999999</v>
      </c>
      <c r="AN239">
        <v>1.07077</v>
      </c>
      <c r="AO239">
        <v>1.29406</v>
      </c>
      <c r="AP239">
        <v>1.3874500000000001</v>
      </c>
      <c r="AQ239">
        <v>1.2036500000000001</v>
      </c>
      <c r="AR239">
        <v>1.43201</v>
      </c>
      <c r="AS239">
        <v>1.4826699999999999</v>
      </c>
      <c r="AT239">
        <v>1.5357099999999999</v>
      </c>
      <c r="AU239">
        <v>1.5312300000000001</v>
      </c>
      <c r="AV239">
        <v>1.43279</v>
      </c>
      <c r="AW239">
        <v>2.00136</v>
      </c>
      <c r="AX239">
        <v>1.9886299999999999</v>
      </c>
      <c r="AY239">
        <v>2.0490699999999999</v>
      </c>
      <c r="AZ239">
        <v>2.0865</v>
      </c>
      <c r="BA239">
        <v>2.1174200000000001</v>
      </c>
      <c r="BB239">
        <v>2.16316</v>
      </c>
      <c r="BC239">
        <v>2.2188500000000002</v>
      </c>
      <c r="BD239">
        <v>2.2659799999999999</v>
      </c>
      <c r="BE239">
        <v>2.1656900000000001</v>
      </c>
      <c r="BF239">
        <v>2.3351700000000002</v>
      </c>
      <c r="BG239">
        <v>2.3250999999999999</v>
      </c>
      <c r="BH239">
        <v>2.3098999999999998</v>
      </c>
      <c r="BI239">
        <v>2.29758</v>
      </c>
      <c r="BJ239">
        <v>2.29765</v>
      </c>
      <c r="BK239">
        <v>2.2775099999999999</v>
      </c>
      <c r="BL239">
        <v>2.2837200000000002</v>
      </c>
      <c r="BM239">
        <v>2.27874</v>
      </c>
      <c r="BN239">
        <v>2.2687599999999999</v>
      </c>
      <c r="BO239">
        <v>2.2175699999999998</v>
      </c>
      <c r="BP239">
        <v>2.2625899999999999</v>
      </c>
      <c r="BQ239">
        <v>2.2625999999999999</v>
      </c>
      <c r="BR239">
        <v>2.2576200000000002</v>
      </c>
      <c r="BS239">
        <v>2.2576399999999999</v>
      </c>
      <c r="BT239">
        <v>2.2738</v>
      </c>
      <c r="BW239">
        <v>2.2709000000000001</v>
      </c>
      <c r="BX239">
        <v>2.2477</v>
      </c>
      <c r="BY239">
        <v>2.2477100000000001</v>
      </c>
      <c r="BZ239">
        <v>2.2638699999999998</v>
      </c>
      <c r="CA239">
        <v>2.2589100000000002</v>
      </c>
      <c r="CB239">
        <v>2.2589199999999998</v>
      </c>
      <c r="CC239">
        <v>2.2427600000000001</v>
      </c>
      <c r="CD239">
        <v>2.2539600000000002</v>
      </c>
      <c r="CE239">
        <v>2.26444</v>
      </c>
      <c r="CF239">
        <v>2.2539799999999999</v>
      </c>
      <c r="CG239">
        <v>2.2440000000000002</v>
      </c>
      <c r="CH239">
        <v>2.2440099999999998</v>
      </c>
      <c r="CI239">
        <v>2.2440199999999999</v>
      </c>
      <c r="CJ239">
        <v>2.24403</v>
      </c>
      <c r="CK239">
        <v>2.2390300000000001</v>
      </c>
      <c r="CL239">
        <v>2.2390400000000001</v>
      </c>
      <c r="CM239">
        <v>2.2390500000000002</v>
      </c>
      <c r="CN239">
        <v>2.23407</v>
      </c>
      <c r="CO239">
        <v>2.2215799999999999</v>
      </c>
      <c r="CP239">
        <v>2.22159</v>
      </c>
      <c r="CQ239">
        <v>2.2253500000000002</v>
      </c>
      <c r="CS239">
        <v>2.22038</v>
      </c>
      <c r="CT239">
        <v>2.2229299999999999</v>
      </c>
      <c r="CU239">
        <v>2.2229299999999999</v>
      </c>
      <c r="CV239">
        <v>2.2229399999999999</v>
      </c>
      <c r="CW239">
        <v>2.2199200000000001</v>
      </c>
      <c r="CX239">
        <v>2.2199300000000002</v>
      </c>
      <c r="CY239">
        <v>2.2199300000000002</v>
      </c>
      <c r="CZ239">
        <v>2.2149399999999999</v>
      </c>
      <c r="DA239">
        <v>2.21495</v>
      </c>
      <c r="DB239">
        <v>2.21495</v>
      </c>
      <c r="DC239">
        <v>2.0984600000000002</v>
      </c>
    </row>
    <row r="240" spans="1:107" x14ac:dyDescent="0.25">
      <c r="A240">
        <f t="shared" si="3"/>
        <v>2</v>
      </c>
      <c r="B240" s="2">
        <v>42352</v>
      </c>
      <c r="J240">
        <v>0.53249999999999997</v>
      </c>
      <c r="K240">
        <v>0.51939999999999997</v>
      </c>
      <c r="L240">
        <v>0.55591999999999997</v>
      </c>
      <c r="M240">
        <v>0.56242999999999999</v>
      </c>
      <c r="N240">
        <v>0.51141000000000003</v>
      </c>
      <c r="O240">
        <v>0.62085999999999997</v>
      </c>
      <c r="P240">
        <v>0.60499000000000003</v>
      </c>
      <c r="Q240">
        <v>0.58343999999999996</v>
      </c>
      <c r="R240">
        <v>0.60687999999999998</v>
      </c>
      <c r="S240">
        <v>0.68030000000000002</v>
      </c>
      <c r="T240">
        <v>0.70572999999999997</v>
      </c>
      <c r="U240">
        <v>0.67237000000000002</v>
      </c>
      <c r="V240">
        <v>0.65708999999999995</v>
      </c>
      <c r="W240">
        <v>0.70089000000000001</v>
      </c>
      <c r="X240">
        <v>0.75838000000000005</v>
      </c>
      <c r="Y240">
        <v>0.82165999999999995</v>
      </c>
      <c r="Z240">
        <v>0.74531999999999998</v>
      </c>
      <c r="AA240">
        <v>0.80171000000000003</v>
      </c>
      <c r="AB240">
        <v>0.83682000000000001</v>
      </c>
      <c r="AC240">
        <v>0.82511999999999996</v>
      </c>
      <c r="AD240">
        <v>0.82716000000000001</v>
      </c>
      <c r="AE240">
        <v>0.73175999999999997</v>
      </c>
      <c r="AF240">
        <v>0.91490000000000005</v>
      </c>
      <c r="AG240">
        <v>0.94798000000000004</v>
      </c>
      <c r="AH240">
        <v>1.02945</v>
      </c>
      <c r="AI240">
        <v>1.0532900000000001</v>
      </c>
      <c r="AJ240">
        <v>1.0884</v>
      </c>
      <c r="AK240">
        <v>0.92708999999999997</v>
      </c>
      <c r="AL240">
        <v>1.17272</v>
      </c>
      <c r="AM240">
        <v>1.26895</v>
      </c>
      <c r="AN240">
        <v>1.11768</v>
      </c>
      <c r="AO240">
        <v>1.34388</v>
      </c>
      <c r="AP240">
        <v>1.44855</v>
      </c>
      <c r="AQ240">
        <v>1.2718400000000001</v>
      </c>
      <c r="AR240">
        <v>1.49746</v>
      </c>
      <c r="AS240">
        <v>1.5474399999999999</v>
      </c>
      <c r="AT240">
        <v>1.60419</v>
      </c>
      <c r="AU240">
        <v>1.59667</v>
      </c>
      <c r="AV240">
        <v>1.49502</v>
      </c>
      <c r="AW240">
        <v>2.0627499999999999</v>
      </c>
      <c r="AX240">
        <v>2.04922</v>
      </c>
      <c r="AY240">
        <v>2.1127400000000001</v>
      </c>
      <c r="AZ240">
        <v>2.14805</v>
      </c>
      <c r="BA240">
        <v>2.1747399999999999</v>
      </c>
      <c r="BB240">
        <v>2.21455</v>
      </c>
      <c r="BC240">
        <v>2.2643800000000001</v>
      </c>
      <c r="BD240">
        <v>2.3019599999999998</v>
      </c>
      <c r="BE240">
        <v>2.2107999999999999</v>
      </c>
      <c r="BF240">
        <v>2.3822999999999999</v>
      </c>
      <c r="BG240">
        <v>2.3732600000000001</v>
      </c>
      <c r="BH240">
        <v>2.3547600000000002</v>
      </c>
      <c r="BI240">
        <v>2.3498199999999998</v>
      </c>
      <c r="BJ240">
        <v>2.3448199999999999</v>
      </c>
      <c r="BK240">
        <v>2.3290500000000001</v>
      </c>
      <c r="BL240">
        <v>2.3313600000000001</v>
      </c>
      <c r="BM240">
        <v>2.3263799999999999</v>
      </c>
      <c r="BN240">
        <v>2.31542</v>
      </c>
      <c r="BO240">
        <v>2.2648899999999998</v>
      </c>
      <c r="BP240">
        <v>2.3214000000000001</v>
      </c>
      <c r="BQ240">
        <v>2.3214100000000002</v>
      </c>
      <c r="BR240">
        <v>2.3054800000000002</v>
      </c>
      <c r="BS240">
        <v>2.3054899999999998</v>
      </c>
      <c r="BT240">
        <v>2.3204199999999999</v>
      </c>
      <c r="BW240">
        <v>2.31142</v>
      </c>
      <c r="BX240">
        <v>2.2955299999999998</v>
      </c>
      <c r="BY240">
        <v>2.2955399999999999</v>
      </c>
      <c r="BZ240">
        <v>2.3114499999999998</v>
      </c>
      <c r="CA240">
        <v>2.3064800000000001</v>
      </c>
      <c r="CB240">
        <v>2.3064900000000002</v>
      </c>
      <c r="CC240">
        <v>2.3015099999999999</v>
      </c>
      <c r="CD240">
        <v>2.3015099999999999</v>
      </c>
      <c r="CE240">
        <v>2.3099400000000001</v>
      </c>
      <c r="CF240">
        <v>2.3099400000000001</v>
      </c>
      <c r="CG240">
        <v>2.2915399999999999</v>
      </c>
      <c r="CH240">
        <v>2.2999900000000002</v>
      </c>
      <c r="CI240">
        <v>2.2999999999999998</v>
      </c>
      <c r="CJ240">
        <v>2.2999999999999998</v>
      </c>
      <c r="CK240">
        <v>2.3000099999999999</v>
      </c>
      <c r="CL240">
        <v>2.3000099999999999</v>
      </c>
      <c r="CM240">
        <v>2.30002</v>
      </c>
      <c r="CN240">
        <v>2.2815799999999999</v>
      </c>
      <c r="CO240">
        <v>2.27908</v>
      </c>
      <c r="CP240">
        <v>2.27908</v>
      </c>
      <c r="CQ240">
        <v>2.2753199999999998</v>
      </c>
      <c r="CS240">
        <v>2.26763</v>
      </c>
      <c r="CT240">
        <v>2.2690800000000002</v>
      </c>
      <c r="CU240">
        <v>2.2716099999999999</v>
      </c>
      <c r="CV240">
        <v>2.2716099999999999</v>
      </c>
      <c r="CW240">
        <v>2.2641</v>
      </c>
      <c r="CX240">
        <v>2.2641100000000001</v>
      </c>
      <c r="CY240">
        <v>2.2641100000000001</v>
      </c>
      <c r="CZ240">
        <v>2.2566099999999998</v>
      </c>
      <c r="DA240">
        <v>2.2500599999999999</v>
      </c>
      <c r="DB240">
        <v>2.2500599999999999</v>
      </c>
      <c r="DC240">
        <v>2.1476999999999999</v>
      </c>
    </row>
    <row r="241" spans="1:107" x14ac:dyDescent="0.25">
      <c r="A241">
        <f t="shared" si="3"/>
        <v>3</v>
      </c>
      <c r="B241" s="2">
        <v>42353</v>
      </c>
      <c r="J241">
        <v>0.54183000000000003</v>
      </c>
      <c r="K241">
        <v>0.53108999999999995</v>
      </c>
      <c r="L241">
        <v>0.56867000000000001</v>
      </c>
      <c r="M241">
        <v>0.57723000000000002</v>
      </c>
      <c r="N241">
        <v>0.5222</v>
      </c>
      <c r="O241">
        <v>0.63165000000000004</v>
      </c>
      <c r="P241">
        <v>0.61695</v>
      </c>
      <c r="Q241">
        <v>0.59806000000000004</v>
      </c>
      <c r="R241">
        <v>0.62648999999999999</v>
      </c>
      <c r="S241">
        <v>0.69284000000000001</v>
      </c>
      <c r="T241">
        <v>0.71867000000000003</v>
      </c>
      <c r="U241">
        <v>0.68557999999999997</v>
      </c>
      <c r="V241">
        <v>0.66949000000000003</v>
      </c>
      <c r="W241">
        <v>0.71399999999999997</v>
      </c>
      <c r="X241">
        <v>0.77154</v>
      </c>
      <c r="Y241">
        <v>0.83413000000000004</v>
      </c>
      <c r="Z241">
        <v>0.75893999999999995</v>
      </c>
      <c r="AA241">
        <v>0.81484999999999996</v>
      </c>
      <c r="AB241">
        <v>0.84979000000000005</v>
      </c>
      <c r="AC241">
        <v>0.83533999999999997</v>
      </c>
      <c r="AD241">
        <v>0.83989999999999998</v>
      </c>
      <c r="AE241">
        <v>0.74521000000000004</v>
      </c>
      <c r="AF241">
        <v>0.92749999999999999</v>
      </c>
      <c r="AG241">
        <v>0.96077999999999997</v>
      </c>
      <c r="AH241">
        <v>1.0428599999999999</v>
      </c>
      <c r="AI241">
        <v>1.06745</v>
      </c>
      <c r="AJ241">
        <v>1.1022000000000001</v>
      </c>
      <c r="AK241">
        <v>0.94108000000000003</v>
      </c>
      <c r="AL241">
        <v>1.18625</v>
      </c>
      <c r="AM241">
        <v>1.28759</v>
      </c>
      <c r="AN241">
        <v>1.1362699999999999</v>
      </c>
      <c r="AO241">
        <v>1.36114</v>
      </c>
      <c r="AP241">
        <v>1.46095</v>
      </c>
      <c r="AQ241">
        <v>1.28888</v>
      </c>
      <c r="AR241">
        <v>1.51406</v>
      </c>
      <c r="AS241">
        <v>1.56619</v>
      </c>
      <c r="AT241">
        <v>1.63043</v>
      </c>
      <c r="AU241">
        <v>1.61338</v>
      </c>
      <c r="AV241">
        <v>1.5129699999999999</v>
      </c>
      <c r="AW241">
        <v>2.0817899999999998</v>
      </c>
      <c r="AX241">
        <v>2.06928</v>
      </c>
      <c r="AY241">
        <v>2.1295199999999999</v>
      </c>
      <c r="AZ241">
        <v>2.1667299999999998</v>
      </c>
      <c r="BA241">
        <v>2.1934200000000001</v>
      </c>
      <c r="BB241">
        <v>2.2296200000000002</v>
      </c>
      <c r="BC241">
        <v>2.2789600000000001</v>
      </c>
      <c r="BD241">
        <v>2.32185</v>
      </c>
      <c r="BE241">
        <v>2.2273100000000001</v>
      </c>
      <c r="BF241">
        <v>2.3973599999999999</v>
      </c>
      <c r="BG241">
        <v>2.3880599999999998</v>
      </c>
      <c r="BH241">
        <v>2.3679899999999998</v>
      </c>
      <c r="BI241">
        <v>2.3636300000000001</v>
      </c>
      <c r="BJ241">
        <v>2.3586299999999998</v>
      </c>
      <c r="BK241">
        <v>2.3427899999999999</v>
      </c>
      <c r="BL241">
        <v>2.34517</v>
      </c>
      <c r="BM241">
        <v>2.3401900000000002</v>
      </c>
      <c r="BN241">
        <v>2.3292199999999998</v>
      </c>
      <c r="BO241">
        <v>2.2781600000000002</v>
      </c>
      <c r="BP241">
        <v>2.33521</v>
      </c>
      <c r="BQ241">
        <v>2.3352200000000001</v>
      </c>
      <c r="BR241">
        <v>2.3191000000000002</v>
      </c>
      <c r="BS241">
        <v>2.3191099999999998</v>
      </c>
      <c r="BT241">
        <v>2.3342299999999998</v>
      </c>
      <c r="BW241">
        <v>2.3252299999999999</v>
      </c>
      <c r="BX241">
        <v>2.3091499999999998</v>
      </c>
      <c r="BY241">
        <v>2.3091599999999999</v>
      </c>
      <c r="BZ241">
        <v>2.3252600000000001</v>
      </c>
      <c r="CA241">
        <v>2.32029</v>
      </c>
      <c r="CB241">
        <v>2.32029</v>
      </c>
      <c r="CC241">
        <v>2.3153199999999998</v>
      </c>
      <c r="CD241">
        <v>2.3153199999999998</v>
      </c>
      <c r="CE241">
        <v>2.3238500000000002</v>
      </c>
      <c r="CF241">
        <v>2.3238599999999998</v>
      </c>
      <c r="CG241">
        <v>2.3053499999999998</v>
      </c>
      <c r="CH241">
        <v>2.31372</v>
      </c>
      <c r="CI241">
        <v>2.3137300000000001</v>
      </c>
      <c r="CJ241">
        <v>2.3137300000000001</v>
      </c>
      <c r="CK241">
        <v>2.3137400000000001</v>
      </c>
      <c r="CL241">
        <v>2.3137400000000001</v>
      </c>
      <c r="CM241">
        <v>2.3137500000000002</v>
      </c>
      <c r="CN241">
        <v>2.2953899999999998</v>
      </c>
      <c r="CO241">
        <v>2.2928899999999999</v>
      </c>
      <c r="CP241">
        <v>2.2928899999999999</v>
      </c>
      <c r="CQ241">
        <v>2.2890799999999998</v>
      </c>
      <c r="CS241">
        <v>2.2813699999999999</v>
      </c>
      <c r="CT241">
        <v>2.28281</v>
      </c>
      <c r="CU241">
        <v>2.2852999999999999</v>
      </c>
      <c r="CV241">
        <v>2.2852999999999999</v>
      </c>
      <c r="CW241">
        <v>2.2778299999999998</v>
      </c>
      <c r="CX241">
        <v>2.2778299999999998</v>
      </c>
      <c r="CY241">
        <v>2.2778399999999999</v>
      </c>
      <c r="CZ241">
        <v>2.2704200000000001</v>
      </c>
      <c r="DA241">
        <v>2.2639800000000001</v>
      </c>
      <c r="DB241">
        <v>2.2639800000000001</v>
      </c>
      <c r="DC241">
        <v>2.1614399999999998</v>
      </c>
    </row>
    <row r="242" spans="1:107" x14ac:dyDescent="0.25">
      <c r="A242">
        <f t="shared" si="3"/>
        <v>4</v>
      </c>
      <c r="B242" s="2">
        <v>42354</v>
      </c>
      <c r="J242">
        <v>0.52749999999999997</v>
      </c>
      <c r="K242">
        <v>0.53886000000000001</v>
      </c>
      <c r="L242">
        <v>0.57962000000000002</v>
      </c>
      <c r="M242">
        <v>0.57267000000000001</v>
      </c>
      <c r="N242">
        <v>0.54315000000000002</v>
      </c>
      <c r="O242">
        <v>0.64415999999999995</v>
      </c>
      <c r="P242">
        <v>0.63187000000000004</v>
      </c>
      <c r="Q242">
        <v>0.62470999999999999</v>
      </c>
      <c r="R242">
        <v>0.65371999999999997</v>
      </c>
      <c r="S242">
        <v>0.71926999999999996</v>
      </c>
      <c r="T242">
        <v>0.74395999999999995</v>
      </c>
      <c r="U242">
        <v>0.71750999999999998</v>
      </c>
      <c r="V242">
        <v>0.70208000000000004</v>
      </c>
      <c r="W242">
        <v>0.74721000000000004</v>
      </c>
      <c r="X242">
        <v>0.79735999999999996</v>
      </c>
      <c r="Y242">
        <v>0.86556999999999995</v>
      </c>
      <c r="Z242">
        <v>0.79093999999999998</v>
      </c>
      <c r="AA242">
        <v>0.84774000000000005</v>
      </c>
      <c r="AB242">
        <v>0.87327999999999995</v>
      </c>
      <c r="AC242">
        <v>0.86717999999999995</v>
      </c>
      <c r="AD242">
        <v>0.86941999999999997</v>
      </c>
      <c r="AE242">
        <v>0.77327999999999997</v>
      </c>
      <c r="AF242">
        <v>0.95755000000000001</v>
      </c>
      <c r="AG242">
        <v>0.99511000000000005</v>
      </c>
      <c r="AH242">
        <v>1.07084</v>
      </c>
      <c r="AI242">
        <v>1.0941399999999999</v>
      </c>
      <c r="AJ242">
        <v>1.1282300000000001</v>
      </c>
      <c r="AK242">
        <v>0.96796000000000004</v>
      </c>
      <c r="AL242">
        <v>1.2116199999999999</v>
      </c>
      <c r="AM242">
        <v>1.3141400000000001</v>
      </c>
      <c r="AN242">
        <v>1.1641300000000001</v>
      </c>
      <c r="AO242">
        <v>1.38297</v>
      </c>
      <c r="AP242">
        <v>1.4801599999999999</v>
      </c>
      <c r="AQ242">
        <v>1.30897</v>
      </c>
      <c r="AR242">
        <v>1.5327999999999999</v>
      </c>
      <c r="AS242">
        <v>1.5834900000000001</v>
      </c>
      <c r="AT242">
        <v>1.64072</v>
      </c>
      <c r="AU242">
        <v>1.6244799999999999</v>
      </c>
      <c r="AV242">
        <v>1.5302100000000001</v>
      </c>
      <c r="AW242">
        <v>2.0959500000000002</v>
      </c>
      <c r="AX242">
        <v>2.0682100000000001</v>
      </c>
      <c r="AY242">
        <v>2.1413700000000002</v>
      </c>
      <c r="AZ242">
        <v>2.1777500000000001</v>
      </c>
      <c r="BA242">
        <v>2.20445</v>
      </c>
      <c r="BB242">
        <v>2.2467000000000001</v>
      </c>
      <c r="BC242">
        <v>2.2867099999999998</v>
      </c>
      <c r="BD242">
        <v>2.3231700000000002</v>
      </c>
      <c r="BE242">
        <v>2.2294399999999999</v>
      </c>
      <c r="BF242">
        <v>2.3972000000000002</v>
      </c>
      <c r="BG242">
        <v>2.3826200000000002</v>
      </c>
      <c r="BH242">
        <v>2.3672900000000001</v>
      </c>
      <c r="BI242">
        <v>2.3548</v>
      </c>
      <c r="BJ242">
        <v>2.34815</v>
      </c>
      <c r="BK242">
        <v>2.33934</v>
      </c>
      <c r="BL242">
        <v>2.3358699999999999</v>
      </c>
      <c r="BM242">
        <v>2.33256</v>
      </c>
      <c r="BN242">
        <v>2.3344</v>
      </c>
      <c r="BO242">
        <v>2.27122</v>
      </c>
      <c r="BP242">
        <v>2.32918</v>
      </c>
      <c r="BQ242">
        <v>2.3292000000000002</v>
      </c>
      <c r="BR242">
        <v>2.3194599999999999</v>
      </c>
      <c r="BS242">
        <v>2.31948</v>
      </c>
      <c r="BT242">
        <v>2.3292299999999999</v>
      </c>
      <c r="BW242">
        <v>2.3095300000000001</v>
      </c>
      <c r="BX242">
        <v>2.3095400000000001</v>
      </c>
      <c r="BY242">
        <v>2.3095500000000002</v>
      </c>
      <c r="BZ242">
        <v>2.3193100000000002</v>
      </c>
      <c r="CA242">
        <v>2.3143400000000001</v>
      </c>
      <c r="CB242">
        <v>2.3143500000000001</v>
      </c>
      <c r="CC242">
        <v>2.3093699999999999</v>
      </c>
      <c r="CD242">
        <v>2.30938</v>
      </c>
      <c r="CE242">
        <v>2.3093900000000001</v>
      </c>
      <c r="CF242">
        <v>2.3094000000000001</v>
      </c>
      <c r="CG242">
        <v>2.2993899999999998</v>
      </c>
      <c r="CH242">
        <v>2.29941</v>
      </c>
      <c r="CI242">
        <v>2.29942</v>
      </c>
      <c r="CJ242">
        <v>2.29942</v>
      </c>
      <c r="CK242">
        <v>2.2794599999999998</v>
      </c>
      <c r="CL242">
        <v>2.2794699999999999</v>
      </c>
      <c r="CM242">
        <v>2.27948</v>
      </c>
      <c r="CN242">
        <v>2.2862200000000001</v>
      </c>
      <c r="CO242">
        <v>2.2897099999999999</v>
      </c>
      <c r="CP242">
        <v>2.28972</v>
      </c>
      <c r="CQ242">
        <v>2.29175</v>
      </c>
      <c r="CS242">
        <v>2.29278</v>
      </c>
      <c r="CT242">
        <v>2.28512</v>
      </c>
      <c r="CU242">
        <v>2.2877999999999998</v>
      </c>
      <c r="CV242">
        <v>2.2878099999999999</v>
      </c>
      <c r="CW242">
        <v>2.2778200000000002</v>
      </c>
      <c r="CX242">
        <v>2.2778299999999998</v>
      </c>
      <c r="CY242">
        <v>2.2778299999999998</v>
      </c>
      <c r="CZ242">
        <v>2.2728299999999999</v>
      </c>
      <c r="DA242">
        <v>2.27284</v>
      </c>
      <c r="DB242">
        <v>2.27285</v>
      </c>
      <c r="DC242">
        <v>2.1533899999999999</v>
      </c>
    </row>
    <row r="243" spans="1:107" x14ac:dyDescent="0.25">
      <c r="A243">
        <f t="shared" si="3"/>
        <v>5</v>
      </c>
      <c r="B243" s="2">
        <v>42355</v>
      </c>
      <c r="J243">
        <v>0.52700000000000002</v>
      </c>
      <c r="K243">
        <v>0.52866000000000002</v>
      </c>
      <c r="L243">
        <v>0.57526999999999995</v>
      </c>
      <c r="M243">
        <v>0.57360999999999995</v>
      </c>
      <c r="N243">
        <v>0.54118999999999995</v>
      </c>
      <c r="O243">
        <v>0.64054</v>
      </c>
      <c r="P243">
        <v>0.62346999999999997</v>
      </c>
      <c r="Q243">
        <v>0.60177000000000003</v>
      </c>
      <c r="R243">
        <v>0.63110999999999995</v>
      </c>
      <c r="S243">
        <v>0.69799</v>
      </c>
      <c r="T243">
        <v>0.72485999999999995</v>
      </c>
      <c r="U243">
        <v>0.68762000000000001</v>
      </c>
      <c r="V243">
        <v>0.67457999999999996</v>
      </c>
      <c r="W243">
        <v>0.71823999999999999</v>
      </c>
      <c r="X243">
        <v>0.77705000000000002</v>
      </c>
      <c r="Y243">
        <v>0.80552999999999997</v>
      </c>
      <c r="Z243">
        <v>0.76358999999999999</v>
      </c>
      <c r="AA243">
        <v>0.81198000000000004</v>
      </c>
      <c r="AB243">
        <v>0.84019999999999995</v>
      </c>
      <c r="AC243">
        <v>0.81986999999999999</v>
      </c>
      <c r="AD243">
        <v>0.82193000000000005</v>
      </c>
      <c r="AE243">
        <v>0.72655999999999998</v>
      </c>
      <c r="AF243">
        <v>0.92481999999999998</v>
      </c>
      <c r="AG243">
        <v>0.93686999999999998</v>
      </c>
      <c r="AH243">
        <v>1.01875</v>
      </c>
      <c r="AI243">
        <v>1.04426</v>
      </c>
      <c r="AJ243">
        <v>1.07938</v>
      </c>
      <c r="AK243">
        <v>0.91893000000000002</v>
      </c>
      <c r="AL243">
        <v>1.1634100000000001</v>
      </c>
      <c r="AM243">
        <v>1.25953</v>
      </c>
      <c r="AN243">
        <v>1.10711</v>
      </c>
      <c r="AO243">
        <v>1.32541</v>
      </c>
      <c r="AP243">
        <v>1.40801</v>
      </c>
      <c r="AQ243">
        <v>1.2386600000000001</v>
      </c>
      <c r="AR243">
        <v>1.4615199999999999</v>
      </c>
      <c r="AS243">
        <v>1.5091300000000001</v>
      </c>
      <c r="AT243">
        <v>1.56629</v>
      </c>
      <c r="AU243">
        <v>1.55094</v>
      </c>
      <c r="AV243">
        <v>1.4548399999999999</v>
      </c>
      <c r="AW243">
        <v>2.0177499999999999</v>
      </c>
      <c r="AX243">
        <v>1.99535</v>
      </c>
      <c r="AY243">
        <v>2.06501</v>
      </c>
      <c r="AZ243">
        <v>2.10222</v>
      </c>
      <c r="BA243">
        <v>2.12893</v>
      </c>
      <c r="BB243">
        <v>2.1750099999999999</v>
      </c>
      <c r="BC243">
        <v>2.2181099999999998</v>
      </c>
      <c r="BD243">
        <v>2.26674</v>
      </c>
      <c r="BE243">
        <v>2.1651400000000001</v>
      </c>
      <c r="BF243">
        <v>2.3375599999999999</v>
      </c>
      <c r="BG243">
        <v>2.31623</v>
      </c>
      <c r="BH243">
        <v>2.3029799999999998</v>
      </c>
      <c r="BI243">
        <v>2.2932700000000001</v>
      </c>
      <c r="BJ243">
        <v>2.2866200000000001</v>
      </c>
      <c r="BK243">
        <v>2.27732</v>
      </c>
      <c r="BL243">
        <v>2.27433</v>
      </c>
      <c r="BM243">
        <v>2.27102</v>
      </c>
      <c r="BN243">
        <v>2.2730800000000002</v>
      </c>
      <c r="BO243">
        <v>2.2082199999999998</v>
      </c>
      <c r="BP243">
        <v>2.2670599999999999</v>
      </c>
      <c r="BQ243">
        <v>2.2670699999999999</v>
      </c>
      <c r="BR243">
        <v>2.25814</v>
      </c>
      <c r="BS243">
        <v>2.2581500000000001</v>
      </c>
      <c r="BT243">
        <v>2.2680699999999998</v>
      </c>
      <c r="BW243">
        <v>2.2482000000000002</v>
      </c>
      <c r="BX243">
        <v>2.2482099999999998</v>
      </c>
      <c r="BY243">
        <v>2.24823</v>
      </c>
      <c r="BZ243">
        <v>2.2571699999999999</v>
      </c>
      <c r="CA243">
        <v>2.2432500000000002</v>
      </c>
      <c r="CB243">
        <v>2.2432599999999998</v>
      </c>
      <c r="CC243">
        <v>2.24457</v>
      </c>
      <c r="CD243">
        <v>2.24674</v>
      </c>
      <c r="CE243">
        <v>2.2472500000000002</v>
      </c>
      <c r="CF243">
        <v>2.2467700000000002</v>
      </c>
      <c r="CG243">
        <v>2.2232500000000002</v>
      </c>
      <c r="CH243">
        <v>2.2416299999999998</v>
      </c>
      <c r="CI243">
        <v>2.2419699999999998</v>
      </c>
      <c r="CJ243">
        <v>2.2416399999999999</v>
      </c>
      <c r="CK243">
        <v>2.2182900000000001</v>
      </c>
      <c r="CL243">
        <v>2.2183000000000002</v>
      </c>
      <c r="CM243">
        <v>2.2183099999999998</v>
      </c>
      <c r="CN243">
        <v>2.2246700000000001</v>
      </c>
      <c r="CO243">
        <v>2.2283900000000001</v>
      </c>
      <c r="CP243">
        <v>2.2284000000000002</v>
      </c>
      <c r="CQ243">
        <v>2.2300900000000001</v>
      </c>
      <c r="CS243">
        <v>2.23047</v>
      </c>
      <c r="CT243">
        <v>2.2234600000000002</v>
      </c>
      <c r="CU243">
        <v>2.2254900000000002</v>
      </c>
      <c r="CV243">
        <v>2.2254900000000002</v>
      </c>
      <c r="CW243">
        <v>2.2164700000000002</v>
      </c>
      <c r="CX243">
        <v>2.2164700000000002</v>
      </c>
      <c r="CY243">
        <v>2.2164799999999998</v>
      </c>
      <c r="CZ243">
        <v>2.2114799999999999</v>
      </c>
      <c r="DA243">
        <v>2.2114799999999999</v>
      </c>
      <c r="DB243">
        <v>2.21149</v>
      </c>
      <c r="DC243">
        <v>2.09118</v>
      </c>
    </row>
    <row r="244" spans="1:107" x14ac:dyDescent="0.25">
      <c r="A244">
        <f t="shared" si="3"/>
        <v>6</v>
      </c>
      <c r="B244" s="2">
        <v>42356</v>
      </c>
      <c r="J244">
        <v>0.52647999999999995</v>
      </c>
      <c r="K244">
        <v>0.52251000000000003</v>
      </c>
      <c r="L244">
        <v>0.57386999999999999</v>
      </c>
      <c r="M244">
        <v>0.57357000000000002</v>
      </c>
      <c r="N244">
        <v>0.54100999999999999</v>
      </c>
      <c r="O244">
        <v>0.63582000000000005</v>
      </c>
      <c r="P244">
        <v>0.61397999999999997</v>
      </c>
      <c r="Q244">
        <v>0.56347999999999998</v>
      </c>
      <c r="R244">
        <v>0.60929999999999995</v>
      </c>
      <c r="S244">
        <v>0.67523999999999995</v>
      </c>
      <c r="T244">
        <v>0.70235999999999998</v>
      </c>
      <c r="U244">
        <v>0.68439000000000005</v>
      </c>
      <c r="V244">
        <v>0.64837</v>
      </c>
      <c r="W244">
        <v>0.69127000000000005</v>
      </c>
      <c r="X244">
        <v>0.74944999999999995</v>
      </c>
      <c r="Y244">
        <v>0.77115</v>
      </c>
      <c r="Z244">
        <v>0.73382000000000003</v>
      </c>
      <c r="AA244">
        <v>0.78317000000000003</v>
      </c>
      <c r="AB244">
        <v>0.80974000000000002</v>
      </c>
      <c r="AC244">
        <v>0.78654000000000002</v>
      </c>
      <c r="AD244">
        <v>0.78900999999999999</v>
      </c>
      <c r="AE244">
        <v>0.69267000000000001</v>
      </c>
      <c r="AF244">
        <v>0.89009000000000005</v>
      </c>
      <c r="AG244">
        <v>0.90254999999999996</v>
      </c>
      <c r="AH244">
        <v>1.0019800000000001</v>
      </c>
      <c r="AI244">
        <v>1.0065500000000001</v>
      </c>
      <c r="AJ244">
        <v>1.0416099999999999</v>
      </c>
      <c r="AK244">
        <v>0.88161999999999996</v>
      </c>
      <c r="AL244">
        <v>1.12483</v>
      </c>
      <c r="AM244">
        <v>1.2225699999999999</v>
      </c>
      <c r="AN244">
        <v>1.0673900000000001</v>
      </c>
      <c r="AO244">
        <v>1.28311</v>
      </c>
      <c r="AP244">
        <v>1.37178</v>
      </c>
      <c r="AQ244">
        <v>1.2007300000000001</v>
      </c>
      <c r="AR244">
        <v>1.42509</v>
      </c>
      <c r="AS244">
        <v>1.4736199999999999</v>
      </c>
      <c r="AT244">
        <v>1.52471</v>
      </c>
      <c r="AU244">
        <v>1.51305</v>
      </c>
      <c r="AV244">
        <v>1.41876</v>
      </c>
      <c r="AW244">
        <v>1.9766300000000001</v>
      </c>
      <c r="AX244">
        <v>1.96034</v>
      </c>
      <c r="AY244">
        <v>2.0315300000000001</v>
      </c>
      <c r="AZ244">
        <v>2.0641099999999999</v>
      </c>
      <c r="BA244">
        <v>2.0908099999999998</v>
      </c>
      <c r="BB244">
        <v>2.1428400000000001</v>
      </c>
      <c r="BC244">
        <v>2.1787700000000001</v>
      </c>
      <c r="BD244">
        <v>2.2260499999999999</v>
      </c>
      <c r="BE244">
        <v>2.1290499999999999</v>
      </c>
      <c r="BF244">
        <v>2.2894299999999999</v>
      </c>
      <c r="BG244">
        <v>2.2762600000000002</v>
      </c>
      <c r="BH244">
        <v>2.2594400000000001</v>
      </c>
      <c r="BI244">
        <v>2.2452999999999999</v>
      </c>
      <c r="BJ244">
        <v>2.2434599999999998</v>
      </c>
      <c r="BK244">
        <v>2.2286800000000002</v>
      </c>
      <c r="BL244">
        <v>2.2253699999999998</v>
      </c>
      <c r="BM244">
        <v>2.2220499999999999</v>
      </c>
      <c r="BN244">
        <v>2.2241200000000001</v>
      </c>
      <c r="BO244">
        <v>2.16343</v>
      </c>
      <c r="BP244">
        <v>2.2185700000000002</v>
      </c>
      <c r="BQ244">
        <v>2.2185800000000002</v>
      </c>
      <c r="BR244">
        <v>2.2091699999999999</v>
      </c>
      <c r="BS244">
        <v>2.20919</v>
      </c>
      <c r="BT244">
        <v>2.21861</v>
      </c>
      <c r="BW244">
        <v>2.1992400000000001</v>
      </c>
      <c r="BX244">
        <v>2.1992500000000001</v>
      </c>
      <c r="BY244">
        <v>2.1992600000000002</v>
      </c>
      <c r="BZ244">
        <v>2.2086899999999998</v>
      </c>
      <c r="CA244">
        <v>2.2037100000000001</v>
      </c>
      <c r="CB244">
        <v>2.2037200000000001</v>
      </c>
      <c r="CC244">
        <v>2.1987399999999999</v>
      </c>
      <c r="CD244">
        <v>2.19875</v>
      </c>
      <c r="CE244">
        <v>2.19876</v>
      </c>
      <c r="CF244">
        <v>2.1987700000000001</v>
      </c>
      <c r="CG244">
        <v>2.1887699999999999</v>
      </c>
      <c r="CH244">
        <v>2.1939299999999999</v>
      </c>
      <c r="CI244">
        <v>2.19394</v>
      </c>
      <c r="CJ244">
        <v>2.1939500000000001</v>
      </c>
      <c r="CK244">
        <v>2.1688299999999998</v>
      </c>
      <c r="CL244">
        <v>2.1688399999999999</v>
      </c>
      <c r="CM244">
        <v>2.1688499999999999</v>
      </c>
      <c r="CN244">
        <v>2.1756899999999999</v>
      </c>
      <c r="CO244">
        <v>2.1794099999999998</v>
      </c>
      <c r="CP244">
        <v>2.1794199999999999</v>
      </c>
      <c r="CQ244">
        <v>2.1879</v>
      </c>
      <c r="CS244">
        <v>2.1829200000000002</v>
      </c>
      <c r="CT244">
        <v>2.1751100000000001</v>
      </c>
      <c r="CU244">
        <v>2.17794</v>
      </c>
      <c r="CV244">
        <v>2.17794</v>
      </c>
      <c r="CW244">
        <v>2.1679499999999998</v>
      </c>
      <c r="CX244">
        <v>2.1679599999999999</v>
      </c>
      <c r="CY244">
        <v>2.16797</v>
      </c>
      <c r="CZ244">
        <v>2.16296</v>
      </c>
      <c r="DA244">
        <v>2.1629700000000001</v>
      </c>
      <c r="DB244">
        <v>2.1629800000000001</v>
      </c>
      <c r="DC244">
        <v>2.0431499999999998</v>
      </c>
    </row>
    <row r="245" spans="1:107" x14ac:dyDescent="0.25">
      <c r="A245">
        <f t="shared" si="3"/>
        <v>2</v>
      </c>
      <c r="B245" s="2">
        <v>42359</v>
      </c>
      <c r="J245">
        <v>0.54091</v>
      </c>
      <c r="K245">
        <v>0.53227999999999998</v>
      </c>
      <c r="L245">
        <v>0.57869999999999999</v>
      </c>
      <c r="M245">
        <v>0.57806000000000002</v>
      </c>
      <c r="N245">
        <v>0.54507000000000005</v>
      </c>
      <c r="O245">
        <v>0.61787999999999998</v>
      </c>
      <c r="P245">
        <v>0.61655000000000004</v>
      </c>
      <c r="Q245">
        <v>0.55928999999999995</v>
      </c>
      <c r="R245">
        <v>0.60533999999999999</v>
      </c>
      <c r="S245">
        <v>0.67093000000000003</v>
      </c>
      <c r="T245">
        <v>0.69777</v>
      </c>
      <c r="U245">
        <v>0.67888000000000004</v>
      </c>
      <c r="V245">
        <v>0.64227999999999996</v>
      </c>
      <c r="W245">
        <v>0.68562000000000001</v>
      </c>
      <c r="X245">
        <v>0.74351</v>
      </c>
      <c r="Y245">
        <v>0.73458000000000001</v>
      </c>
      <c r="Z245">
        <v>0.72650999999999999</v>
      </c>
      <c r="AA245">
        <v>0.77549999999999997</v>
      </c>
      <c r="AB245">
        <v>0.80230000000000001</v>
      </c>
      <c r="AC245">
        <v>0.78917000000000004</v>
      </c>
      <c r="AD245">
        <v>0.77693999999999996</v>
      </c>
      <c r="AE245">
        <v>0.67939000000000005</v>
      </c>
      <c r="AF245">
        <v>0.87831999999999999</v>
      </c>
      <c r="AG245">
        <v>0.88817000000000002</v>
      </c>
      <c r="AH245">
        <v>0.96904999999999997</v>
      </c>
      <c r="AI245">
        <v>0.99217999999999995</v>
      </c>
      <c r="AJ245">
        <v>1.02729</v>
      </c>
      <c r="AK245">
        <v>0.86794000000000004</v>
      </c>
      <c r="AL245">
        <v>1.11046</v>
      </c>
      <c r="AM245">
        <v>1.21072</v>
      </c>
      <c r="AN245">
        <v>1.05392</v>
      </c>
      <c r="AO245">
        <v>1.27302</v>
      </c>
      <c r="AP245">
        <v>1.36006</v>
      </c>
      <c r="AQ245">
        <v>1.1894199999999999</v>
      </c>
      <c r="AR245">
        <v>1.4097200000000001</v>
      </c>
      <c r="AS245">
        <v>1.46136</v>
      </c>
      <c r="AT245">
        <v>1.5143800000000001</v>
      </c>
      <c r="AU245">
        <v>1.5039400000000001</v>
      </c>
      <c r="AV245">
        <v>1.40608</v>
      </c>
      <c r="AW245">
        <v>1.96828</v>
      </c>
      <c r="AX245">
        <v>1.94886</v>
      </c>
      <c r="AY245">
        <v>2.01905</v>
      </c>
      <c r="AZ245">
        <v>2.05192</v>
      </c>
      <c r="BA245">
        <v>2.0786199999999999</v>
      </c>
      <c r="BB245">
        <v>2.1369699999999998</v>
      </c>
      <c r="BC245">
        <v>2.1723699999999999</v>
      </c>
      <c r="BD245">
        <v>2.2249599999999998</v>
      </c>
      <c r="BE245">
        <v>2.1231800000000001</v>
      </c>
      <c r="BF245">
        <v>2.2878599999999998</v>
      </c>
      <c r="BG245">
        <v>2.2667899999999999</v>
      </c>
      <c r="BH245">
        <v>2.2535599999999998</v>
      </c>
      <c r="BI245">
        <v>2.2454499999999999</v>
      </c>
      <c r="BJ245">
        <v>2.2404600000000001</v>
      </c>
      <c r="BK245">
        <v>2.2255199999999999</v>
      </c>
      <c r="BL245">
        <v>2.2254900000000002</v>
      </c>
      <c r="BM245">
        <v>2.21888</v>
      </c>
      <c r="BN245">
        <v>2.2206399999999999</v>
      </c>
      <c r="BO245">
        <v>2.1580499999999998</v>
      </c>
      <c r="BP245">
        <v>2.2115999999999998</v>
      </c>
      <c r="BQ245">
        <v>2.2155399999999998</v>
      </c>
      <c r="BR245">
        <v>2.20472</v>
      </c>
      <c r="BS245">
        <v>2.2047300000000001</v>
      </c>
      <c r="BT245">
        <v>2.1997399999999998</v>
      </c>
      <c r="BW245">
        <v>2.19476</v>
      </c>
      <c r="BX245">
        <v>2.1947700000000001</v>
      </c>
      <c r="BY245">
        <v>2.1947800000000002</v>
      </c>
      <c r="BZ245">
        <v>2.2055899999999999</v>
      </c>
      <c r="CA245">
        <v>2.2006100000000002</v>
      </c>
      <c r="CB245">
        <v>2.2006199999999998</v>
      </c>
      <c r="CC245">
        <v>2.19563</v>
      </c>
      <c r="CD245">
        <v>2.19564</v>
      </c>
      <c r="CE245">
        <v>2.19564</v>
      </c>
      <c r="CF245">
        <v>2.1956500000000001</v>
      </c>
      <c r="CG245">
        <v>2.1856399999999998</v>
      </c>
      <c r="CH245">
        <v>2.1886899999999998</v>
      </c>
      <c r="CI245">
        <v>2.1886899999999998</v>
      </c>
      <c r="CJ245">
        <v>2.1886999999999999</v>
      </c>
      <c r="CK245">
        <v>2.1812100000000001</v>
      </c>
      <c r="CL245">
        <v>2.1647400000000001</v>
      </c>
      <c r="CM245">
        <v>2.1647400000000001</v>
      </c>
      <c r="CN245">
        <v>2.1717499999999998</v>
      </c>
      <c r="CO245">
        <v>2.1750099999999999</v>
      </c>
      <c r="CP245">
        <v>2.1750099999999999</v>
      </c>
      <c r="CQ245">
        <v>2.1718799999999998</v>
      </c>
      <c r="CS245">
        <v>2.1732100000000001</v>
      </c>
      <c r="CT245">
        <v>2.16988</v>
      </c>
      <c r="CU245">
        <v>2.1669100000000001</v>
      </c>
      <c r="CV245">
        <v>2.1669100000000001</v>
      </c>
      <c r="CW245">
        <v>2.1619199999999998</v>
      </c>
      <c r="CX245">
        <v>2.1619199999999998</v>
      </c>
      <c r="CY245">
        <v>2.1619199999999998</v>
      </c>
      <c r="CZ245">
        <v>2.1569199999999999</v>
      </c>
      <c r="DA245">
        <v>2.1569199999999999</v>
      </c>
      <c r="DB245">
        <v>2.15693</v>
      </c>
      <c r="DC245">
        <v>2.03661</v>
      </c>
    </row>
    <row r="246" spans="1:107" x14ac:dyDescent="0.25">
      <c r="A246">
        <f t="shared" si="3"/>
        <v>3</v>
      </c>
      <c r="B246" s="2">
        <v>42360</v>
      </c>
      <c r="J246">
        <v>0.50800000000000001</v>
      </c>
      <c r="K246">
        <v>0.53922000000000003</v>
      </c>
      <c r="L246">
        <v>0.56544000000000005</v>
      </c>
      <c r="M246">
        <v>0.56874000000000002</v>
      </c>
      <c r="N246">
        <v>0.54101999999999995</v>
      </c>
      <c r="O246">
        <v>0.62056</v>
      </c>
      <c r="P246">
        <v>0.61172000000000004</v>
      </c>
      <c r="Q246">
        <v>0.58030000000000004</v>
      </c>
      <c r="R246">
        <v>0.62741000000000002</v>
      </c>
      <c r="S246">
        <v>0.69233</v>
      </c>
      <c r="T246">
        <v>0.71940000000000004</v>
      </c>
      <c r="U246">
        <v>0.70201000000000002</v>
      </c>
      <c r="V246">
        <v>0.66471999999999998</v>
      </c>
      <c r="W246">
        <v>0.70974999999999999</v>
      </c>
      <c r="X246">
        <v>0.76680000000000004</v>
      </c>
      <c r="Y246">
        <v>0.81233999999999995</v>
      </c>
      <c r="Z246">
        <v>0.74278999999999995</v>
      </c>
      <c r="AA246">
        <v>0.79212000000000005</v>
      </c>
      <c r="AB246">
        <v>0.81899999999999995</v>
      </c>
      <c r="AC246">
        <v>0.81155999999999995</v>
      </c>
      <c r="AD246">
        <v>0.79944999999999999</v>
      </c>
      <c r="AE246">
        <v>0.70470999999999995</v>
      </c>
      <c r="AF246">
        <v>0.89932999999999996</v>
      </c>
      <c r="AG246">
        <v>0.91230999999999995</v>
      </c>
      <c r="AH246">
        <v>1.0119899999999999</v>
      </c>
      <c r="AI246">
        <v>1.0169699999999999</v>
      </c>
      <c r="AJ246">
        <v>1.0508500000000001</v>
      </c>
      <c r="AK246">
        <v>0.89043000000000005</v>
      </c>
      <c r="AL246">
        <v>1.1342099999999999</v>
      </c>
      <c r="AM246">
        <v>1.23031</v>
      </c>
      <c r="AN246">
        <v>1.07758</v>
      </c>
      <c r="AO246">
        <v>1.29535</v>
      </c>
      <c r="AP246">
        <v>1.38625</v>
      </c>
      <c r="AQ246">
        <v>1.20963</v>
      </c>
      <c r="AR246">
        <v>1.42679</v>
      </c>
      <c r="AS246">
        <v>1.48366</v>
      </c>
      <c r="AT246">
        <v>1.54108</v>
      </c>
      <c r="AU246">
        <v>1.5273099999999999</v>
      </c>
      <c r="AV246">
        <v>1.4307000000000001</v>
      </c>
      <c r="AW246">
        <v>1.99343</v>
      </c>
      <c r="AX246">
        <v>1.9742500000000001</v>
      </c>
      <c r="AY246">
        <v>2.04399</v>
      </c>
      <c r="AZ246">
        <v>2.0784400000000001</v>
      </c>
      <c r="BA246">
        <v>2.1051600000000001</v>
      </c>
      <c r="BB246">
        <v>2.1609400000000001</v>
      </c>
      <c r="BC246">
        <v>2.1997399999999998</v>
      </c>
      <c r="BD246">
        <v>2.2500399999999998</v>
      </c>
      <c r="BE246">
        <v>2.15177</v>
      </c>
      <c r="BF246">
        <v>2.3099500000000002</v>
      </c>
      <c r="BG246">
        <v>2.29318</v>
      </c>
      <c r="BH246">
        <v>2.2782200000000001</v>
      </c>
      <c r="BI246">
        <v>2.2661799999999999</v>
      </c>
      <c r="BJ246">
        <v>2.2637900000000002</v>
      </c>
      <c r="BK246">
        <v>2.2495799999999999</v>
      </c>
      <c r="BL246">
        <v>2.2462800000000001</v>
      </c>
      <c r="BM246">
        <v>2.2429700000000001</v>
      </c>
      <c r="BN246">
        <v>2.2452100000000002</v>
      </c>
      <c r="BO246">
        <v>2.17849</v>
      </c>
      <c r="BP246">
        <v>2.2389299999999999</v>
      </c>
      <c r="BQ246">
        <v>2.2389600000000001</v>
      </c>
      <c r="BR246">
        <v>2.2303000000000002</v>
      </c>
      <c r="BS246">
        <v>2.2303199999999999</v>
      </c>
      <c r="BT246">
        <v>2.22533</v>
      </c>
      <c r="BW246">
        <v>2.22038</v>
      </c>
      <c r="BX246">
        <v>2.2204000000000002</v>
      </c>
      <c r="BY246">
        <v>2.2204199999999998</v>
      </c>
      <c r="BZ246">
        <v>2.2154400000000001</v>
      </c>
      <c r="CA246">
        <v>2.2154600000000002</v>
      </c>
      <c r="CB246">
        <v>2.2154699999999998</v>
      </c>
      <c r="CC246">
        <v>2.2166000000000001</v>
      </c>
      <c r="CD246">
        <v>2.2191900000000002</v>
      </c>
      <c r="CE246">
        <v>2.2192099999999999</v>
      </c>
      <c r="CF246">
        <v>2.21922</v>
      </c>
      <c r="CG246">
        <v>2.1952099999999999</v>
      </c>
      <c r="CH246">
        <v>2.21312</v>
      </c>
      <c r="CI246">
        <v>2.21313</v>
      </c>
      <c r="CJ246">
        <v>2.2131500000000002</v>
      </c>
      <c r="CK246">
        <v>2.1902699999999999</v>
      </c>
      <c r="CL246">
        <v>2.19028</v>
      </c>
      <c r="CM246">
        <v>2.1902900000000001</v>
      </c>
      <c r="CN246">
        <v>2.1967500000000002</v>
      </c>
      <c r="CO246">
        <v>2.20065</v>
      </c>
      <c r="CP246">
        <v>2.2006600000000001</v>
      </c>
      <c r="CQ246">
        <v>2.2078700000000002</v>
      </c>
      <c r="CS246">
        <v>2.2029000000000001</v>
      </c>
      <c r="CT246">
        <v>2.1958299999999999</v>
      </c>
      <c r="CU246">
        <v>2.1979199999999999</v>
      </c>
      <c r="CV246">
        <v>2.1979299999999999</v>
      </c>
      <c r="CW246">
        <v>2.1888999999999998</v>
      </c>
      <c r="CX246">
        <v>2.1889099999999999</v>
      </c>
      <c r="CY246">
        <v>2.18892</v>
      </c>
      <c r="CZ246">
        <v>2.1839200000000001</v>
      </c>
      <c r="DA246">
        <v>2.1839300000000001</v>
      </c>
      <c r="DB246">
        <v>2.1839400000000002</v>
      </c>
      <c r="DC246">
        <v>2.06263</v>
      </c>
    </row>
    <row r="247" spans="1:107" x14ac:dyDescent="0.25">
      <c r="A247">
        <f t="shared" si="3"/>
        <v>4</v>
      </c>
      <c r="B247" s="2">
        <v>42361</v>
      </c>
      <c r="J247">
        <v>0.50717000000000001</v>
      </c>
      <c r="K247">
        <v>0.52139000000000002</v>
      </c>
      <c r="L247">
        <v>0.55954999999999999</v>
      </c>
      <c r="M247">
        <v>0.56867999999999996</v>
      </c>
      <c r="N247">
        <v>0.54576999999999998</v>
      </c>
      <c r="O247">
        <v>0.63221000000000005</v>
      </c>
      <c r="P247">
        <v>0.60736000000000001</v>
      </c>
      <c r="Q247">
        <v>0.58269000000000004</v>
      </c>
      <c r="R247">
        <v>0.61228000000000005</v>
      </c>
      <c r="S247">
        <v>0.67891000000000001</v>
      </c>
      <c r="T247">
        <v>0.70696000000000003</v>
      </c>
      <c r="U247">
        <v>0.68530000000000002</v>
      </c>
      <c r="V247">
        <v>0.64863999999999999</v>
      </c>
      <c r="W247">
        <v>0.69391000000000003</v>
      </c>
      <c r="X247">
        <v>0.75070000000000003</v>
      </c>
      <c r="Y247">
        <v>0.79835999999999996</v>
      </c>
      <c r="Z247">
        <v>0.72846</v>
      </c>
      <c r="AA247">
        <v>0.77805000000000002</v>
      </c>
      <c r="AB247">
        <v>0.80415000000000003</v>
      </c>
      <c r="AC247">
        <v>0.78900999999999999</v>
      </c>
      <c r="AD247">
        <v>0.79083999999999999</v>
      </c>
      <c r="AE247">
        <v>0.69693000000000005</v>
      </c>
      <c r="AF247">
        <v>0.87985999999999998</v>
      </c>
      <c r="AG247">
        <v>0.90620999999999996</v>
      </c>
      <c r="AH247">
        <v>0.98580000000000001</v>
      </c>
      <c r="AI247">
        <v>1.0111600000000001</v>
      </c>
      <c r="AJ247">
        <v>1.0449200000000001</v>
      </c>
      <c r="AK247">
        <v>0.88251000000000002</v>
      </c>
      <c r="AL247">
        <v>1.1292599999999999</v>
      </c>
      <c r="AM247">
        <v>1.2254700000000001</v>
      </c>
      <c r="AN247">
        <v>1.0706599999999999</v>
      </c>
      <c r="AO247">
        <v>1.30036</v>
      </c>
      <c r="AP247">
        <v>1.37825</v>
      </c>
      <c r="AQ247">
        <v>1.2050700000000001</v>
      </c>
      <c r="AR247">
        <v>1.43228</v>
      </c>
      <c r="AS247">
        <v>1.4807699999999999</v>
      </c>
      <c r="AT247">
        <v>1.5374399999999999</v>
      </c>
      <c r="AU247">
        <v>1.5197499999999999</v>
      </c>
      <c r="AV247">
        <v>1.4342299999999999</v>
      </c>
      <c r="AW247">
        <v>1.9998400000000001</v>
      </c>
      <c r="AX247">
        <v>1.9815100000000001</v>
      </c>
      <c r="AY247">
        <v>2.0510799999999998</v>
      </c>
      <c r="AZ247">
        <v>2.0867100000000001</v>
      </c>
      <c r="BA247">
        <v>2.1168800000000001</v>
      </c>
      <c r="BB247">
        <v>2.16812</v>
      </c>
      <c r="BC247">
        <v>2.19862</v>
      </c>
      <c r="BD247">
        <v>2.2795299999999998</v>
      </c>
      <c r="BE247">
        <v>2.1818900000000001</v>
      </c>
      <c r="BF247">
        <v>2.34266</v>
      </c>
      <c r="BG247">
        <v>2.32369</v>
      </c>
      <c r="BH247">
        <v>2.3087399999999998</v>
      </c>
      <c r="BI247">
        <v>2.2963100000000001</v>
      </c>
      <c r="BJ247">
        <v>2.2945899999999999</v>
      </c>
      <c r="BK247">
        <v>2.2797100000000001</v>
      </c>
      <c r="BL247">
        <v>2.2764099999999998</v>
      </c>
      <c r="BM247">
        <v>2.2730999999999999</v>
      </c>
      <c r="BN247">
        <v>2.2759200000000002</v>
      </c>
      <c r="BO247">
        <v>2.2089799999999999</v>
      </c>
      <c r="BP247">
        <v>2.2664900000000001</v>
      </c>
      <c r="BQ247">
        <v>2.2665099999999998</v>
      </c>
      <c r="BR247">
        <v>2.2610000000000001</v>
      </c>
      <c r="BS247">
        <v>2.2610199999999998</v>
      </c>
      <c r="BT247">
        <v>2.2560500000000001</v>
      </c>
      <c r="BW247">
        <v>2.25109</v>
      </c>
      <c r="BX247">
        <v>2.2511100000000002</v>
      </c>
      <c r="BY247">
        <v>2.2511299999999999</v>
      </c>
      <c r="BZ247">
        <v>2.2599200000000002</v>
      </c>
      <c r="CA247">
        <v>2.25495</v>
      </c>
      <c r="CB247">
        <v>2.2549700000000001</v>
      </c>
      <c r="CC247">
        <v>2.2467299999999999</v>
      </c>
      <c r="CD247">
        <v>2.25</v>
      </c>
      <c r="CE247">
        <v>2.2500200000000001</v>
      </c>
      <c r="CF247">
        <v>2.2500300000000002</v>
      </c>
      <c r="CG247">
        <v>2.24003</v>
      </c>
      <c r="CH247">
        <v>2.2431299999999998</v>
      </c>
      <c r="CI247">
        <v>2.2431399999999999</v>
      </c>
      <c r="CJ247">
        <v>2.24315</v>
      </c>
      <c r="CK247">
        <v>2.2361800000000001</v>
      </c>
      <c r="CL247">
        <v>2.2361900000000001</v>
      </c>
      <c r="CM247">
        <v>2.2362000000000002</v>
      </c>
      <c r="CN247">
        <v>2.2312400000000001</v>
      </c>
      <c r="CO247">
        <v>2.23569</v>
      </c>
      <c r="CP247">
        <v>2.2357100000000001</v>
      </c>
      <c r="CQ247">
        <v>2.2383899999999999</v>
      </c>
      <c r="CS247">
        <v>2.2334200000000002</v>
      </c>
      <c r="CT247">
        <v>2.2224699999999999</v>
      </c>
      <c r="CU247">
        <v>2.22248</v>
      </c>
      <c r="CV247">
        <v>2.2224900000000001</v>
      </c>
      <c r="CW247">
        <v>2.2174999999999998</v>
      </c>
      <c r="CX247">
        <v>2.2175099999999999</v>
      </c>
      <c r="CY247">
        <v>2.2175199999999999</v>
      </c>
      <c r="CZ247">
        <v>2.21252</v>
      </c>
      <c r="DA247">
        <v>2.2125300000000001</v>
      </c>
      <c r="DB247">
        <v>2.2125400000000002</v>
      </c>
      <c r="DC247">
        <v>2.0925799999999999</v>
      </c>
    </row>
    <row r="248" spans="1:107" x14ac:dyDescent="0.25">
      <c r="A248">
        <f t="shared" si="3"/>
        <v>5</v>
      </c>
      <c r="B248" s="2">
        <v>42362</v>
      </c>
      <c r="J248">
        <v>0.50632999999999995</v>
      </c>
      <c r="K248">
        <v>0.51736000000000004</v>
      </c>
      <c r="L248">
        <v>0.55722000000000005</v>
      </c>
      <c r="M248">
        <v>0.56860999999999995</v>
      </c>
      <c r="N248">
        <v>0.54568000000000005</v>
      </c>
      <c r="O248">
        <v>0.60816000000000003</v>
      </c>
      <c r="P248">
        <v>0.60174000000000005</v>
      </c>
      <c r="Q248">
        <v>0.56891999999999998</v>
      </c>
      <c r="R248">
        <v>0.59806000000000004</v>
      </c>
      <c r="S248">
        <v>0.66264999999999996</v>
      </c>
      <c r="T248">
        <v>0.69033</v>
      </c>
      <c r="U248">
        <v>0.66807000000000005</v>
      </c>
      <c r="V248">
        <v>0.63454999999999995</v>
      </c>
      <c r="W248">
        <v>0.67940999999999996</v>
      </c>
      <c r="X248">
        <v>0.73616000000000004</v>
      </c>
      <c r="Y248">
        <v>0.74761999999999995</v>
      </c>
      <c r="Z248">
        <v>0.71294999999999997</v>
      </c>
      <c r="AA248">
        <v>0.76305000000000001</v>
      </c>
      <c r="AB248">
        <v>0.78903000000000001</v>
      </c>
      <c r="AC248">
        <v>0.78510000000000002</v>
      </c>
      <c r="AD248">
        <v>0.76873999999999998</v>
      </c>
      <c r="AE248">
        <v>0.67152999999999996</v>
      </c>
      <c r="AF248">
        <v>0.87073999999999996</v>
      </c>
      <c r="AG248">
        <v>0.88827</v>
      </c>
      <c r="AH248">
        <v>0.98067000000000004</v>
      </c>
      <c r="AI248">
        <v>0.98402999999999996</v>
      </c>
      <c r="AJ248">
        <v>1.0267900000000001</v>
      </c>
      <c r="AK248">
        <v>0.85324</v>
      </c>
      <c r="AL248">
        <v>1.1130100000000001</v>
      </c>
      <c r="AM248">
        <v>1.19747</v>
      </c>
      <c r="AN248">
        <v>1.0403899999999999</v>
      </c>
      <c r="AO248">
        <v>1.26966</v>
      </c>
      <c r="AP248">
        <v>1.3471900000000001</v>
      </c>
      <c r="AQ248">
        <v>1.16445</v>
      </c>
      <c r="AR248">
        <v>1.3976200000000001</v>
      </c>
      <c r="AS248">
        <v>1.4398</v>
      </c>
      <c r="AT248">
        <v>1.5006200000000001</v>
      </c>
      <c r="AU248">
        <v>1.50396</v>
      </c>
      <c r="AV248">
        <v>1.39252</v>
      </c>
      <c r="AW248">
        <v>1.9636400000000001</v>
      </c>
      <c r="AX248">
        <v>1.94763</v>
      </c>
      <c r="AY248">
        <v>2.0228999999999999</v>
      </c>
      <c r="AZ248">
        <v>2.0546600000000002</v>
      </c>
      <c r="BA248">
        <v>2.0748099999999998</v>
      </c>
      <c r="BB248">
        <v>2.13524</v>
      </c>
      <c r="BC248">
        <v>2.1562000000000001</v>
      </c>
      <c r="BD248">
        <v>2.2446100000000002</v>
      </c>
      <c r="BE248">
        <v>2.1522000000000001</v>
      </c>
      <c r="BF248">
        <v>2.3122099999999999</v>
      </c>
      <c r="BG248">
        <v>2.2990900000000001</v>
      </c>
      <c r="BH248">
        <v>2.2827899999999999</v>
      </c>
      <c r="BI248">
        <v>2.2680199999999999</v>
      </c>
      <c r="BJ248">
        <v>2.2666300000000001</v>
      </c>
      <c r="BK248">
        <v>2.25143</v>
      </c>
      <c r="BL248">
        <v>2.2481200000000001</v>
      </c>
      <c r="BM248">
        <v>2.2448100000000002</v>
      </c>
      <c r="BN248">
        <v>2.2469800000000002</v>
      </c>
      <c r="BO248">
        <v>2.1817000000000002</v>
      </c>
      <c r="BP248">
        <v>2.2417699999999998</v>
      </c>
      <c r="BQ248">
        <v>2.2418</v>
      </c>
      <c r="BR248">
        <v>2.2320600000000002</v>
      </c>
      <c r="BS248">
        <v>2.2320799999999998</v>
      </c>
      <c r="BT248">
        <v>2.2271000000000001</v>
      </c>
      <c r="BW248">
        <v>2.2221500000000001</v>
      </c>
      <c r="BX248">
        <v>2.2221700000000002</v>
      </c>
      <c r="BY248">
        <v>2.2221799999999998</v>
      </c>
      <c r="BZ248">
        <v>2.2319499999999999</v>
      </c>
      <c r="CA248">
        <v>2.2269800000000002</v>
      </c>
      <c r="CB248">
        <v>2.2269999999999999</v>
      </c>
      <c r="CC248">
        <v>2.2184400000000002</v>
      </c>
      <c r="CD248">
        <v>2.2220300000000002</v>
      </c>
      <c r="CE248">
        <v>2.2220499999999999</v>
      </c>
      <c r="CF248">
        <v>2.2220599999999999</v>
      </c>
      <c r="CG248">
        <v>2.2120600000000001</v>
      </c>
      <c r="CH248">
        <v>2.2164999999999999</v>
      </c>
      <c r="CI248">
        <v>2.21651</v>
      </c>
      <c r="CJ248">
        <v>2.21652</v>
      </c>
      <c r="CK248">
        <v>2.20797</v>
      </c>
      <c r="CL248">
        <v>2.2079800000000001</v>
      </c>
      <c r="CM248">
        <v>2.1912099999999999</v>
      </c>
      <c r="CN248">
        <v>2.2030400000000001</v>
      </c>
      <c r="CO248">
        <v>2.2070799999999999</v>
      </c>
      <c r="CP248">
        <v>2.20709</v>
      </c>
      <c r="CQ248">
        <v>2.1989800000000002</v>
      </c>
      <c r="CS248">
        <v>2.2049699999999999</v>
      </c>
      <c r="CT248">
        <v>2.1971599999999998</v>
      </c>
      <c r="CU248">
        <v>2.1940400000000002</v>
      </c>
      <c r="CV248">
        <v>2.1940499999999998</v>
      </c>
      <c r="CW248">
        <v>2.18906</v>
      </c>
      <c r="CX248">
        <v>2.1890700000000001</v>
      </c>
      <c r="CY248">
        <v>2.1890800000000001</v>
      </c>
      <c r="CZ248">
        <v>2.1840799999999998</v>
      </c>
      <c r="DA248">
        <v>2.1840899999999999</v>
      </c>
      <c r="DB248">
        <v>2.1840999999999999</v>
      </c>
      <c r="DC248">
        <v>2.0626199999999999</v>
      </c>
    </row>
    <row r="249" spans="1:107" x14ac:dyDescent="0.25">
      <c r="A249">
        <f t="shared" si="3"/>
        <v>3</v>
      </c>
      <c r="B249" s="2">
        <v>42367</v>
      </c>
      <c r="J249">
        <v>0.51885000000000003</v>
      </c>
      <c r="K249">
        <v>0.53552</v>
      </c>
      <c r="L249">
        <v>0.56571000000000005</v>
      </c>
      <c r="M249">
        <v>0.57457000000000003</v>
      </c>
      <c r="N249">
        <v>0.55301999999999996</v>
      </c>
      <c r="O249">
        <v>0.60133999999999999</v>
      </c>
      <c r="P249">
        <v>0.61155999999999999</v>
      </c>
      <c r="Q249">
        <v>0.55581000000000003</v>
      </c>
      <c r="R249">
        <v>0.60631000000000002</v>
      </c>
      <c r="S249">
        <v>0.67112000000000005</v>
      </c>
      <c r="T249">
        <v>0.66464999999999996</v>
      </c>
      <c r="U249">
        <v>0.69001000000000001</v>
      </c>
      <c r="V249">
        <v>0.64090000000000003</v>
      </c>
      <c r="W249">
        <v>0.68535999999999997</v>
      </c>
      <c r="X249">
        <v>0.74184000000000005</v>
      </c>
      <c r="Y249">
        <v>0.77171000000000001</v>
      </c>
      <c r="Z249">
        <v>0.72243000000000002</v>
      </c>
      <c r="AA249">
        <v>0.77227000000000001</v>
      </c>
      <c r="AB249">
        <v>0.80210000000000004</v>
      </c>
      <c r="AC249">
        <v>0.78395000000000004</v>
      </c>
      <c r="AD249">
        <v>0.78129999999999999</v>
      </c>
      <c r="AE249">
        <v>0.68852999999999998</v>
      </c>
      <c r="AF249">
        <v>0.89112999999999998</v>
      </c>
      <c r="AG249">
        <v>0.90715000000000001</v>
      </c>
      <c r="AH249">
        <v>1.0063</v>
      </c>
      <c r="AI249">
        <v>1.0201</v>
      </c>
      <c r="AJ249">
        <v>1.04813</v>
      </c>
      <c r="AK249">
        <v>0.89490999999999998</v>
      </c>
      <c r="AL249">
        <v>1.1248100000000001</v>
      </c>
      <c r="AM249">
        <v>1.2261500000000001</v>
      </c>
      <c r="AN249">
        <v>1.07542</v>
      </c>
      <c r="AO249">
        <v>1.2912999999999999</v>
      </c>
      <c r="AP249">
        <v>1.36263</v>
      </c>
      <c r="AQ249">
        <v>1.19052</v>
      </c>
      <c r="AR249">
        <v>1.40239</v>
      </c>
      <c r="AS249">
        <v>1.4698899999999999</v>
      </c>
      <c r="AT249">
        <v>1.53305</v>
      </c>
      <c r="AU249">
        <v>1.50627</v>
      </c>
      <c r="AV249">
        <v>1.4236200000000001</v>
      </c>
      <c r="AW249">
        <v>1.9864299999999999</v>
      </c>
      <c r="AX249">
        <v>1.97434</v>
      </c>
      <c r="AY249">
        <v>2.0493299999999999</v>
      </c>
      <c r="AZ249">
        <v>2.0874199999999998</v>
      </c>
      <c r="BA249">
        <v>2.11246</v>
      </c>
      <c r="BB249">
        <v>2.1686800000000002</v>
      </c>
      <c r="BC249">
        <v>2.18981</v>
      </c>
      <c r="BD249">
        <v>2.26336</v>
      </c>
      <c r="BE249">
        <v>2.1884600000000001</v>
      </c>
      <c r="BF249">
        <v>2.3370000000000002</v>
      </c>
      <c r="BG249">
        <v>2.3234599999999999</v>
      </c>
      <c r="BH249">
        <v>2.3089900000000001</v>
      </c>
      <c r="BI249">
        <v>2.30423</v>
      </c>
      <c r="BJ249">
        <v>2.29284</v>
      </c>
      <c r="BK249">
        <v>2.28328</v>
      </c>
      <c r="BL249">
        <v>2.2831899999999998</v>
      </c>
      <c r="BM249">
        <v>2.2704499999999999</v>
      </c>
      <c r="BN249">
        <v>2.2672400000000001</v>
      </c>
      <c r="BO249">
        <v>2.2171699999999999</v>
      </c>
      <c r="BP249">
        <v>2.2741899999999999</v>
      </c>
      <c r="BQ249">
        <v>2.2742100000000001</v>
      </c>
      <c r="BR249">
        <v>2.2637299999999998</v>
      </c>
      <c r="BS249">
        <v>2.2637499999999999</v>
      </c>
      <c r="BT249">
        <v>2.2723100000000001</v>
      </c>
      <c r="BW249">
        <v>2.2642899999999999</v>
      </c>
      <c r="BX249">
        <v>2.2538200000000002</v>
      </c>
      <c r="BY249">
        <v>2.2538399999999998</v>
      </c>
      <c r="BZ249">
        <v>2.2643399999999998</v>
      </c>
      <c r="CA249">
        <v>2.2593700000000001</v>
      </c>
      <c r="CB249">
        <v>2.2593800000000002</v>
      </c>
      <c r="CC249">
        <v>2.2544</v>
      </c>
      <c r="CD249">
        <v>2.2544200000000001</v>
      </c>
      <c r="CE249">
        <v>2.2544300000000002</v>
      </c>
      <c r="CF249">
        <v>2.2544400000000002</v>
      </c>
      <c r="CG249">
        <v>2.24444</v>
      </c>
      <c r="CH249">
        <v>2.2444500000000001</v>
      </c>
      <c r="CI249">
        <v>2.2444600000000001</v>
      </c>
      <c r="CJ249">
        <v>2.2444700000000002</v>
      </c>
      <c r="CK249">
        <v>2.2418399999999998</v>
      </c>
      <c r="CL249">
        <v>2.2394699999999998</v>
      </c>
      <c r="CM249">
        <v>2.2225999999999999</v>
      </c>
      <c r="CN249">
        <v>2.22262</v>
      </c>
      <c r="CO249">
        <v>2.22871</v>
      </c>
      <c r="CP249">
        <v>2.2334999999999998</v>
      </c>
      <c r="CQ249">
        <v>2.2450899999999998</v>
      </c>
      <c r="CS249">
        <v>2.2363499999999998</v>
      </c>
      <c r="CT249">
        <v>2.2303700000000002</v>
      </c>
      <c r="CU249">
        <v>2.2326199999999998</v>
      </c>
      <c r="CV249">
        <v>2.2238199999999999</v>
      </c>
      <c r="CW249">
        <v>2.2219600000000002</v>
      </c>
      <c r="CX249">
        <v>2.2200899999999999</v>
      </c>
      <c r="CY249">
        <v>2.2182300000000001</v>
      </c>
      <c r="CZ249">
        <v>2.2163599999999999</v>
      </c>
      <c r="DA249">
        <v>2.21448</v>
      </c>
      <c r="DB249">
        <v>2.2126000000000001</v>
      </c>
      <c r="DC249">
        <v>2.1017000000000001</v>
      </c>
    </row>
    <row r="250" spans="1:107" x14ac:dyDescent="0.25">
      <c r="A250">
        <f t="shared" si="3"/>
        <v>4</v>
      </c>
      <c r="B250" s="2">
        <v>42368</v>
      </c>
      <c r="J250">
        <v>0.51887000000000005</v>
      </c>
      <c r="K250">
        <v>0.52812000000000003</v>
      </c>
      <c r="L250">
        <v>0.55776999999999999</v>
      </c>
      <c r="M250">
        <v>0.57450999999999997</v>
      </c>
      <c r="N250">
        <v>0.54905999999999999</v>
      </c>
      <c r="O250">
        <v>0.63790999999999998</v>
      </c>
      <c r="P250">
        <v>0.60718000000000005</v>
      </c>
      <c r="Q250">
        <v>0.53147999999999995</v>
      </c>
      <c r="R250">
        <v>0.60563</v>
      </c>
      <c r="S250">
        <v>0.66078999999999999</v>
      </c>
      <c r="T250">
        <v>0.65344000000000002</v>
      </c>
      <c r="U250">
        <v>0.67630999999999997</v>
      </c>
      <c r="V250">
        <v>0.63173000000000001</v>
      </c>
      <c r="W250">
        <v>0.67561000000000004</v>
      </c>
      <c r="X250">
        <v>0.73223000000000005</v>
      </c>
      <c r="Y250">
        <v>0.78339000000000003</v>
      </c>
      <c r="Z250">
        <v>0.71218999999999999</v>
      </c>
      <c r="AA250">
        <v>0.76215999999999995</v>
      </c>
      <c r="AB250">
        <v>0.79307000000000005</v>
      </c>
      <c r="AC250">
        <v>0.78168000000000004</v>
      </c>
      <c r="AD250">
        <v>0.77951999999999999</v>
      </c>
      <c r="AE250">
        <v>0.68137999999999999</v>
      </c>
      <c r="AF250">
        <v>0.88834000000000002</v>
      </c>
      <c r="AG250">
        <v>0.90546000000000004</v>
      </c>
      <c r="AH250">
        <v>0.98463999999999996</v>
      </c>
      <c r="AI250">
        <v>1.0100899999999999</v>
      </c>
      <c r="AJ250">
        <v>1.0419799999999999</v>
      </c>
      <c r="AK250">
        <v>0.87875000000000003</v>
      </c>
      <c r="AL250">
        <v>1.1254</v>
      </c>
      <c r="AM250">
        <v>1.22319</v>
      </c>
      <c r="AN250">
        <v>1.0685100000000001</v>
      </c>
      <c r="AO250">
        <v>1.2883899999999999</v>
      </c>
      <c r="AP250">
        <v>1.3682700000000001</v>
      </c>
      <c r="AQ250">
        <v>1.19347</v>
      </c>
      <c r="AR250">
        <v>1.4171100000000001</v>
      </c>
      <c r="AS250">
        <v>1.46889</v>
      </c>
      <c r="AT250">
        <v>1.52214</v>
      </c>
      <c r="AU250">
        <v>1.52153</v>
      </c>
      <c r="AV250">
        <v>1.4275599999999999</v>
      </c>
      <c r="AW250">
        <v>1.9950399999999999</v>
      </c>
      <c r="AX250">
        <v>1.98139</v>
      </c>
      <c r="AY250">
        <v>2.04515</v>
      </c>
      <c r="AZ250">
        <v>2.0808200000000001</v>
      </c>
      <c r="BA250">
        <v>2.1075400000000002</v>
      </c>
      <c r="BB250">
        <v>2.16499</v>
      </c>
      <c r="BC250">
        <v>2.1968399999999999</v>
      </c>
      <c r="BD250">
        <v>2.2747099999999998</v>
      </c>
      <c r="BE250">
        <v>2.1855899999999999</v>
      </c>
      <c r="BF250">
        <v>2.3329200000000001</v>
      </c>
      <c r="BG250">
        <v>2.31569</v>
      </c>
      <c r="BH250">
        <v>2.3016899999999998</v>
      </c>
      <c r="BI250">
        <v>2.2961299999999998</v>
      </c>
      <c r="BJ250">
        <v>2.2841800000000001</v>
      </c>
      <c r="BK250">
        <v>2.2757499999999999</v>
      </c>
      <c r="BL250">
        <v>2.2747600000000001</v>
      </c>
      <c r="BM250">
        <v>2.2657799999999999</v>
      </c>
      <c r="BN250">
        <v>2.2708499999999998</v>
      </c>
      <c r="BO250">
        <v>2.21062</v>
      </c>
      <c r="BP250">
        <v>2.2658200000000002</v>
      </c>
      <c r="BQ250">
        <v>2.2658399999999999</v>
      </c>
      <c r="BR250">
        <v>2.2559200000000001</v>
      </c>
      <c r="BS250">
        <v>2.2559399999999998</v>
      </c>
      <c r="BT250">
        <v>2.2658800000000001</v>
      </c>
      <c r="BW250">
        <v>2.246</v>
      </c>
      <c r="BX250">
        <v>2.2460200000000001</v>
      </c>
      <c r="BY250">
        <v>2.2460300000000002</v>
      </c>
      <c r="BZ250">
        <v>2.25597</v>
      </c>
      <c r="CA250">
        <v>2.2509999999999999</v>
      </c>
      <c r="CB250">
        <v>2.25102</v>
      </c>
      <c r="CC250">
        <v>2.2460399999999998</v>
      </c>
      <c r="CD250">
        <v>2.2460499999999999</v>
      </c>
      <c r="CE250">
        <v>2.2460599999999999</v>
      </c>
      <c r="CF250">
        <v>2.2460800000000001</v>
      </c>
      <c r="CG250">
        <v>2.2360699999999998</v>
      </c>
      <c r="CH250">
        <v>2.2360899999999999</v>
      </c>
      <c r="CI250">
        <v>2.2361</v>
      </c>
      <c r="CJ250">
        <v>2.23611</v>
      </c>
      <c r="CK250">
        <v>2.2161499999999998</v>
      </c>
      <c r="CL250">
        <v>2.2161599999999999</v>
      </c>
      <c r="CM250">
        <v>2.2322199999999999</v>
      </c>
      <c r="CN250">
        <v>2.2228500000000002</v>
      </c>
      <c r="CO250">
        <v>2.2262200000000001</v>
      </c>
      <c r="CP250">
        <v>2.2305899999999999</v>
      </c>
      <c r="CQ250">
        <v>2.2293599999999998</v>
      </c>
      <c r="CS250">
        <v>2.2235499999999999</v>
      </c>
      <c r="CT250">
        <v>2.2223099999999998</v>
      </c>
      <c r="CU250">
        <v>2.2184699999999999</v>
      </c>
      <c r="CV250">
        <v>2.2166000000000001</v>
      </c>
      <c r="CW250">
        <v>2.2147399999999999</v>
      </c>
      <c r="CX250">
        <v>2.2128700000000001</v>
      </c>
      <c r="CY250">
        <v>2.2109999999999999</v>
      </c>
      <c r="CZ250">
        <v>2.20913</v>
      </c>
      <c r="DA250">
        <v>2.2072500000000002</v>
      </c>
      <c r="DB250">
        <v>2.2053699999999998</v>
      </c>
      <c r="DC250">
        <v>2.0939000000000001</v>
      </c>
    </row>
    <row r="251" spans="1:107" x14ac:dyDescent="0.25">
      <c r="A251">
        <f t="shared" si="3"/>
        <v>5</v>
      </c>
      <c r="B251" s="2">
        <v>42369</v>
      </c>
      <c r="J251">
        <v>0.51795000000000002</v>
      </c>
      <c r="K251">
        <v>0.52410000000000001</v>
      </c>
      <c r="L251">
        <v>0.54891999999999996</v>
      </c>
      <c r="M251">
        <v>0.57543</v>
      </c>
      <c r="N251">
        <v>0.54949000000000003</v>
      </c>
      <c r="O251">
        <v>0.61504000000000003</v>
      </c>
      <c r="P251">
        <v>0.60540000000000005</v>
      </c>
      <c r="Q251">
        <v>0.52366000000000001</v>
      </c>
      <c r="R251">
        <v>0.59780999999999995</v>
      </c>
      <c r="S251">
        <v>0.65134999999999998</v>
      </c>
      <c r="T251">
        <v>0.64407000000000003</v>
      </c>
      <c r="U251">
        <v>0.66761999999999999</v>
      </c>
      <c r="V251">
        <v>0.62234</v>
      </c>
      <c r="W251">
        <v>0.66703000000000001</v>
      </c>
      <c r="X251">
        <v>0.72369000000000006</v>
      </c>
      <c r="Y251">
        <v>0.77217000000000002</v>
      </c>
      <c r="Z251">
        <v>0.69606000000000001</v>
      </c>
      <c r="AA251">
        <v>0.75121000000000004</v>
      </c>
      <c r="AB251">
        <v>0.78080000000000005</v>
      </c>
      <c r="AC251">
        <v>0.76895000000000002</v>
      </c>
      <c r="AD251">
        <v>0.76795999999999998</v>
      </c>
      <c r="AE251">
        <v>0.66910999999999998</v>
      </c>
      <c r="AF251">
        <v>0.87644999999999995</v>
      </c>
      <c r="AG251">
        <v>0.89412999999999998</v>
      </c>
      <c r="AH251">
        <v>0.99363000000000001</v>
      </c>
      <c r="AI251">
        <v>1.0095700000000001</v>
      </c>
      <c r="AJ251">
        <v>1.0257499999999999</v>
      </c>
      <c r="AK251">
        <v>0.86853000000000002</v>
      </c>
      <c r="AL251">
        <v>1.11537</v>
      </c>
      <c r="AM251">
        <v>1.2129799999999999</v>
      </c>
      <c r="AN251">
        <v>1.05749</v>
      </c>
      <c r="AO251">
        <v>1.27328</v>
      </c>
      <c r="AP251">
        <v>1.3562000000000001</v>
      </c>
      <c r="AQ251">
        <v>1.17954</v>
      </c>
      <c r="AR251">
        <v>1.4056200000000001</v>
      </c>
      <c r="AS251">
        <v>1.4585999999999999</v>
      </c>
      <c r="AT251">
        <v>1.5118400000000001</v>
      </c>
      <c r="AU251">
        <v>1.5049300000000001</v>
      </c>
      <c r="AV251">
        <v>1.4188700000000001</v>
      </c>
      <c r="AW251">
        <v>1.9815499999999999</v>
      </c>
      <c r="AX251">
        <v>1.96841</v>
      </c>
      <c r="AY251">
        <v>2.03295</v>
      </c>
      <c r="AZ251">
        <v>2.0704600000000002</v>
      </c>
      <c r="BA251">
        <v>2.0971700000000002</v>
      </c>
      <c r="BB251">
        <v>2.1520199999999998</v>
      </c>
      <c r="BC251">
        <v>2.1749399999999999</v>
      </c>
      <c r="BD251">
        <v>2.25739</v>
      </c>
      <c r="BE251">
        <v>2.1816800000000001</v>
      </c>
      <c r="BF251">
        <v>2.3170199999999999</v>
      </c>
      <c r="BG251">
        <v>2.30626</v>
      </c>
      <c r="BH251">
        <v>2.2877000000000001</v>
      </c>
      <c r="BI251">
        <v>2.2867799999999998</v>
      </c>
      <c r="BJ251">
        <v>2.2757100000000001</v>
      </c>
      <c r="BK251">
        <v>2.2636799999999999</v>
      </c>
      <c r="BL251">
        <v>2.26552</v>
      </c>
      <c r="BM251">
        <v>2.2534700000000001</v>
      </c>
      <c r="BN251">
        <v>2.2485300000000001</v>
      </c>
      <c r="BO251">
        <v>2.1974499999999999</v>
      </c>
      <c r="BP251">
        <v>2.2545099999999998</v>
      </c>
      <c r="BQ251">
        <v>2.2545299999999999</v>
      </c>
      <c r="BR251">
        <v>2.2433200000000002</v>
      </c>
      <c r="BS251">
        <v>2.2433399999999999</v>
      </c>
      <c r="BT251">
        <v>2.2536</v>
      </c>
      <c r="BW251">
        <v>2.2446000000000002</v>
      </c>
      <c r="BX251">
        <v>2.2446199999999998</v>
      </c>
      <c r="BY251">
        <v>2.24464</v>
      </c>
      <c r="BZ251">
        <v>2.24465</v>
      </c>
      <c r="CA251">
        <v>2.2396799999999999</v>
      </c>
      <c r="CB251">
        <v>2.2397</v>
      </c>
      <c r="CC251">
        <v>2.2347199999999998</v>
      </c>
      <c r="CD251">
        <v>2.2347299999999999</v>
      </c>
      <c r="CE251">
        <v>2.23475</v>
      </c>
      <c r="CF251">
        <v>2.2347600000000001</v>
      </c>
      <c r="CG251">
        <v>2.2247599999999998</v>
      </c>
      <c r="CH251">
        <v>2.2247699999999999</v>
      </c>
      <c r="CI251">
        <v>2.22478</v>
      </c>
      <c r="CJ251">
        <v>2.22479</v>
      </c>
      <c r="CK251">
        <v>2.2197800000000001</v>
      </c>
      <c r="CL251">
        <v>2.2197900000000002</v>
      </c>
      <c r="CM251">
        <v>2.2198000000000002</v>
      </c>
      <c r="CN251">
        <v>2.2039</v>
      </c>
      <c r="CO251">
        <v>2.2014100000000001</v>
      </c>
      <c r="CP251">
        <v>2.2014200000000002</v>
      </c>
      <c r="CQ251">
        <v>2.2273499999999999</v>
      </c>
      <c r="CS251">
        <v>2.2185800000000002</v>
      </c>
      <c r="CT251">
        <v>2.2120299999999999</v>
      </c>
      <c r="CU251">
        <v>2.2148300000000001</v>
      </c>
      <c r="CV251">
        <v>2.2129400000000001</v>
      </c>
      <c r="CW251">
        <v>2.2051099999999999</v>
      </c>
      <c r="CX251">
        <v>2.20322</v>
      </c>
      <c r="CY251">
        <v>2.2013500000000001</v>
      </c>
      <c r="CZ251">
        <v>2.1994600000000002</v>
      </c>
      <c r="DA251">
        <v>2.1975699999999998</v>
      </c>
      <c r="DB251">
        <v>2.1956799999999999</v>
      </c>
      <c r="DC251">
        <v>2.0757300000000001</v>
      </c>
    </row>
  </sheetData>
  <autoFilter ref="A1:DC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251"/>
  <sheetViews>
    <sheetView zoomScale="115" zoomScaleNormal="115" workbookViewId="0">
      <pane xSplit="2" ySplit="1" topLeftCell="C35" activePane="bottomRight" state="frozen"/>
      <selection activeCell="B16" sqref="B16"/>
      <selection pane="topRight" activeCell="B16" sqref="B16"/>
      <selection pane="bottomLeft" activeCell="B16" sqref="B16"/>
      <selection pane="bottomRight" activeCell="B16" sqref="B16"/>
    </sheetView>
  </sheetViews>
  <sheetFormatPr defaultColWidth="8.85546875" defaultRowHeight="15" x14ac:dyDescent="0.25"/>
  <cols>
    <col min="1" max="1" width="11.7109375" bestFit="1" customWidth="1"/>
    <col min="2" max="2" width="11.85546875" bestFit="1" customWidth="1"/>
    <col min="3" max="3" width="14.42578125" customWidth="1"/>
    <col min="4" max="31" width="10.7109375" customWidth="1"/>
    <col min="32" max="32" width="10.7109375" style="4" customWidth="1"/>
    <col min="33" max="107" width="10.7109375" customWidth="1"/>
  </cols>
  <sheetData>
    <row r="1" spans="1:107" s="5" customFormat="1" x14ac:dyDescent="0.25">
      <c r="A1" s="5" t="s">
        <v>1</v>
      </c>
      <c r="B1" s="5" t="str">
        <f>yields_BRUTE!B1</f>
        <v xml:space="preserve">Date </v>
      </c>
      <c r="C1" s="6">
        <f>yields_BRUTE!C1</f>
        <v>42064</v>
      </c>
      <c r="D1" s="6">
        <f>yields_BRUTE!D1</f>
        <v>42078</v>
      </c>
      <c r="E1" s="6">
        <f>yields_BRUTE!E1</f>
        <v>42156</v>
      </c>
      <c r="F1" s="6">
        <f>yields_BRUTE!F1</f>
        <v>42248</v>
      </c>
      <c r="G1" s="6">
        <f>yields_BRUTE!G1</f>
        <v>42262</v>
      </c>
      <c r="H1" s="6">
        <f>yields_BRUTE!H1</f>
        <v>42339</v>
      </c>
      <c r="I1" s="6">
        <f>yields_BRUTE!I1</f>
        <v>42339</v>
      </c>
      <c r="J1" s="6">
        <f>yields_BRUTE!J1</f>
        <v>42430</v>
      </c>
      <c r="K1" s="6">
        <f>yields_BRUTE!K1</f>
        <v>42444</v>
      </c>
      <c r="L1" s="6">
        <f>yields_BRUTE!L1</f>
        <v>42522</v>
      </c>
      <c r="M1" s="6">
        <f>yields_BRUTE!M1</f>
        <v>42614</v>
      </c>
      <c r="N1" s="6">
        <f>yields_BRUTE!N1</f>
        <v>42614</v>
      </c>
      <c r="O1" s="6">
        <f>yields_BRUTE!O1</f>
        <v>42628</v>
      </c>
      <c r="P1" s="6">
        <f>yields_BRUTE!P1</f>
        <v>42705</v>
      </c>
      <c r="Q1" s="6">
        <f>yields_BRUTE!Q1</f>
        <v>42809</v>
      </c>
      <c r="R1" s="6">
        <f>yields_BRUTE!R1</f>
        <v>42887</v>
      </c>
      <c r="S1" s="6">
        <f>yields_BRUTE!S1</f>
        <v>42993</v>
      </c>
      <c r="T1" s="6">
        <f>yields_BRUTE!T1</f>
        <v>43070</v>
      </c>
      <c r="U1" s="6">
        <f>yields_BRUTE!U1</f>
        <v>43174</v>
      </c>
      <c r="V1" s="6">
        <f>yields_BRUTE!V1</f>
        <v>43252</v>
      </c>
      <c r="W1" s="6">
        <f>yields_BRUTE!W1</f>
        <v>43358</v>
      </c>
      <c r="X1" s="6">
        <f>yields_BRUTE!X1</f>
        <v>43435</v>
      </c>
      <c r="Y1" s="6">
        <f>yields_BRUTE!Y1</f>
        <v>43539</v>
      </c>
      <c r="Z1" s="6">
        <f>yields_BRUTE!Z1</f>
        <v>43617</v>
      </c>
      <c r="AA1" s="6">
        <f>yields_BRUTE!AA1</f>
        <v>43723</v>
      </c>
      <c r="AB1" s="6">
        <f>yields_BRUTE!AB1</f>
        <v>43800</v>
      </c>
      <c r="AC1" s="6">
        <f>yields_BRUTE!AC1</f>
        <v>43905</v>
      </c>
      <c r="AD1" s="6">
        <f>yields_BRUTE!AD1</f>
        <v>43983</v>
      </c>
      <c r="AE1" s="6">
        <f>yields_BRUTE!AE1</f>
        <v>43983</v>
      </c>
      <c r="AF1" s="7">
        <f>yields_BRUTE!AF1</f>
        <v>44089</v>
      </c>
      <c r="AG1" s="6">
        <f>yields_BRUTE!AG1</f>
        <v>44166</v>
      </c>
      <c r="AH1" s="6">
        <f>yields_BRUTE!AH1</f>
        <v>44270</v>
      </c>
      <c r="AI1" s="6">
        <f>yields_BRUTE!AI1</f>
        <v>44270</v>
      </c>
      <c r="AJ1" s="6">
        <f>yields_BRUTE!AJ1</f>
        <v>44348</v>
      </c>
      <c r="AK1" s="6">
        <f>yields_BRUTE!AK1</f>
        <v>44348</v>
      </c>
      <c r="AL1" s="6">
        <f>yields_BRUTE!AL1</f>
        <v>44531</v>
      </c>
      <c r="AM1" s="6">
        <f>yields_BRUTE!AM1</f>
        <v>44713</v>
      </c>
      <c r="AN1" s="6">
        <f>yields_BRUTE!AN1</f>
        <v>44713</v>
      </c>
      <c r="AO1" s="6">
        <f>yields_BRUTE!AO1</f>
        <v>44896</v>
      </c>
      <c r="AP1" s="6">
        <f>yields_BRUTE!AP1</f>
        <v>45078</v>
      </c>
      <c r="AQ1" s="6">
        <f>yields_BRUTE!AQ1</f>
        <v>45078</v>
      </c>
      <c r="AR1" s="6">
        <f>yields_BRUTE!AR1</f>
        <v>45261</v>
      </c>
      <c r="AS1" s="6">
        <f>yields_BRUTE!AS1</f>
        <v>45444</v>
      </c>
      <c r="AT1" s="6">
        <f>yields_BRUTE!AT1</f>
        <v>45627</v>
      </c>
      <c r="AU1" s="6">
        <f>yields_BRUTE!AU1</f>
        <v>45809</v>
      </c>
      <c r="AV1" s="6">
        <f>yields_BRUTE!AV1</f>
        <v>45809</v>
      </c>
      <c r="AW1" s="6">
        <f>yields_BRUTE!AW1</f>
        <v>47453</v>
      </c>
      <c r="AX1" s="6">
        <f>yields_BRUTE!AX1</f>
        <v>47635</v>
      </c>
      <c r="AY1" s="6">
        <f>yields_BRUTE!AY1</f>
        <v>47818</v>
      </c>
      <c r="AZ1" s="6">
        <f>yields_BRUTE!AZ1</f>
        <v>48000</v>
      </c>
      <c r="BA1" s="6">
        <f>yields_BRUTE!BA1</f>
        <v>48183</v>
      </c>
      <c r="BB1" s="6">
        <f>yields_BRUTE!BB1</f>
        <v>48366</v>
      </c>
      <c r="BC1" s="6">
        <f>yields_BRUTE!BC1</f>
        <v>48549</v>
      </c>
      <c r="BD1" s="6">
        <f>yields_BRUTE!BD1</f>
        <v>48731</v>
      </c>
      <c r="BE1" s="6">
        <f>yields_BRUTE!BE1</f>
        <v>48731</v>
      </c>
      <c r="BF1" s="6">
        <f>yields_BRUTE!BF1</f>
        <v>51836</v>
      </c>
      <c r="BG1" s="6">
        <f>yields_BRUTE!BG1</f>
        <v>52018</v>
      </c>
      <c r="BH1" s="6">
        <f>yields_BRUTE!BH1</f>
        <v>52201</v>
      </c>
      <c r="BI1" s="6">
        <f>yields_BRUTE!BI1</f>
        <v>52383</v>
      </c>
      <c r="BJ1" s="6">
        <f>yields_BRUTE!BJ1</f>
        <v>52566</v>
      </c>
      <c r="BK1" s="6">
        <f>yields_BRUTE!BK1</f>
        <v>52749</v>
      </c>
      <c r="BL1" s="6">
        <f>yields_BRUTE!BL1</f>
        <v>52932</v>
      </c>
      <c r="BM1" s="6">
        <f>yields_BRUTE!BM1</f>
        <v>53114</v>
      </c>
      <c r="BN1" s="6">
        <f>yields_BRUTE!BN1</f>
        <v>53297</v>
      </c>
      <c r="BO1" s="6">
        <f>yields_BRUTE!BO1</f>
        <v>53297</v>
      </c>
      <c r="BP1" s="6">
        <f>yields_BRUTE!BP1</f>
        <v>53479</v>
      </c>
      <c r="BQ1" s="6">
        <f>yields_BRUTE!BQ1</f>
        <v>53662</v>
      </c>
      <c r="BR1" s="6">
        <f>yields_BRUTE!BR1</f>
        <v>53844</v>
      </c>
      <c r="BS1" s="6">
        <f>yields_BRUTE!BS1</f>
        <v>54027</v>
      </c>
      <c r="BT1" s="6">
        <f>yields_BRUTE!BT1</f>
        <v>54210</v>
      </c>
      <c r="BU1" s="6">
        <f>yields_BRUTE!BU1</f>
        <v>54393</v>
      </c>
      <c r="BV1" s="6">
        <f>yields_BRUTE!BV1</f>
        <v>54393</v>
      </c>
      <c r="BW1" s="6">
        <f>yields_BRUTE!BW1</f>
        <v>54575</v>
      </c>
      <c r="BX1" s="6">
        <f>yields_BRUTE!BX1</f>
        <v>54758</v>
      </c>
      <c r="BY1" s="6">
        <f>yields_BRUTE!BY1</f>
        <v>54940</v>
      </c>
      <c r="BZ1" s="6">
        <f>yields_BRUTE!BZ1</f>
        <v>55123</v>
      </c>
      <c r="CA1" s="6">
        <f>yields_BRUTE!CA1</f>
        <v>55305</v>
      </c>
      <c r="CB1" s="6">
        <f>yields_BRUTE!CB1</f>
        <v>55488</v>
      </c>
      <c r="CC1" s="6">
        <f>yields_BRUTE!CC1</f>
        <v>55671</v>
      </c>
      <c r="CD1" s="6">
        <f>yields_BRUTE!CD1</f>
        <v>55854</v>
      </c>
      <c r="CE1" s="6">
        <f>yields_BRUTE!CE1</f>
        <v>56036</v>
      </c>
      <c r="CF1" s="6">
        <f>yields_BRUTE!CF1</f>
        <v>56219</v>
      </c>
      <c r="CG1" s="6">
        <f>yields_BRUTE!CG1</f>
        <v>56401</v>
      </c>
      <c r="CH1" s="6">
        <f>yields_BRUTE!CH1</f>
        <v>56584</v>
      </c>
      <c r="CI1" s="6">
        <f>yields_BRUTE!CI1</f>
        <v>56766</v>
      </c>
      <c r="CJ1" s="6">
        <f>yields_BRUTE!CJ1</f>
        <v>56949</v>
      </c>
      <c r="CK1" s="6">
        <f>yields_BRUTE!CK1</f>
        <v>57132</v>
      </c>
      <c r="CL1" s="6">
        <f>yields_BRUTE!CL1</f>
        <v>57315</v>
      </c>
      <c r="CM1" s="6">
        <f>yields_BRUTE!CM1</f>
        <v>57497</v>
      </c>
      <c r="CN1" s="6">
        <f>yields_BRUTE!CN1</f>
        <v>57680</v>
      </c>
      <c r="CO1" s="6">
        <f>yields_BRUTE!CO1</f>
        <v>57862</v>
      </c>
      <c r="CP1" s="6">
        <f>yields_BRUTE!CP1</f>
        <v>58045</v>
      </c>
      <c r="CQ1" s="6">
        <f>yields_BRUTE!CQ1</f>
        <v>58227</v>
      </c>
      <c r="CR1" s="6">
        <f>yields_BRUTE!CR1</f>
        <v>58410</v>
      </c>
      <c r="CS1" s="6">
        <f>yields_BRUTE!CS1</f>
        <v>58593</v>
      </c>
      <c r="CT1" s="6">
        <f>yields_BRUTE!CT1</f>
        <v>58776</v>
      </c>
      <c r="CU1" s="6">
        <f>yields_BRUTE!CU1</f>
        <v>58958</v>
      </c>
      <c r="CV1" s="6">
        <f>yields_BRUTE!CV1</f>
        <v>59141</v>
      </c>
      <c r="CW1" s="6">
        <f>yields_BRUTE!CW1</f>
        <v>59323</v>
      </c>
      <c r="CX1" s="6">
        <f>yields_BRUTE!CX1</f>
        <v>59506</v>
      </c>
      <c r="CY1" s="6">
        <f>yields_BRUTE!CY1</f>
        <v>59688</v>
      </c>
      <c r="CZ1" s="6">
        <f>yields_BRUTE!CZ1</f>
        <v>59871</v>
      </c>
      <c r="DA1" s="6">
        <f>yields_BRUTE!DA1</f>
        <v>60054</v>
      </c>
      <c r="DB1" s="6">
        <f>yields_BRUTE!DB1</f>
        <v>60237</v>
      </c>
      <c r="DC1" s="6">
        <f>yields_BRUTE!DC1</f>
        <v>60237</v>
      </c>
    </row>
    <row r="2" spans="1:107" x14ac:dyDescent="0.25">
      <c r="A2">
        <f>WEEKDAY(B2)</f>
        <v>6</v>
      </c>
      <c r="B2" s="2">
        <f>yields_BRUTE!B2</f>
        <v>42006</v>
      </c>
      <c r="C2" s="1">
        <f>(C$1-$B2)/360</f>
        <v>0.16111111111111112</v>
      </c>
      <c r="D2" s="1">
        <f t="shared" ref="D2:S17" si="0">(D$1-$B2)/360</f>
        <v>0.2</v>
      </c>
      <c r="E2" s="1">
        <f t="shared" si="0"/>
        <v>0.41666666666666669</v>
      </c>
      <c r="F2" s="1">
        <f t="shared" si="0"/>
        <v>0.67222222222222228</v>
      </c>
      <c r="G2" s="1">
        <f t="shared" si="0"/>
        <v>0.71111111111111114</v>
      </c>
      <c r="H2" s="1">
        <f t="shared" si="0"/>
        <v>0.92500000000000004</v>
      </c>
      <c r="I2" s="1">
        <f t="shared" si="0"/>
        <v>0.92500000000000004</v>
      </c>
      <c r="J2" s="1">
        <f t="shared" si="0"/>
        <v>1.1777777777777778</v>
      </c>
      <c r="K2" s="1">
        <f t="shared" si="0"/>
        <v>1.2166666666666666</v>
      </c>
      <c r="L2" s="1">
        <f t="shared" si="0"/>
        <v>1.4333333333333333</v>
      </c>
      <c r="M2" s="1">
        <f t="shared" si="0"/>
        <v>1.6888888888888889</v>
      </c>
      <c r="N2" s="1">
        <f t="shared" si="0"/>
        <v>1.6888888888888889</v>
      </c>
      <c r="O2" s="1">
        <f t="shared" si="0"/>
        <v>1.7277777777777779</v>
      </c>
      <c r="P2" s="1">
        <f t="shared" si="0"/>
        <v>1.9416666666666667</v>
      </c>
      <c r="Q2" s="1">
        <f t="shared" si="0"/>
        <v>2.2305555555555556</v>
      </c>
      <c r="R2" s="1">
        <f t="shared" si="0"/>
        <v>2.4472222222222224</v>
      </c>
      <c r="S2" s="1">
        <f t="shared" si="0"/>
        <v>2.7416666666666667</v>
      </c>
      <c r="T2" s="1">
        <f t="shared" ref="T2:AI17" si="1">(T$1-$B2)/360</f>
        <v>2.9555555555555557</v>
      </c>
      <c r="U2" s="1">
        <f t="shared" si="1"/>
        <v>3.2444444444444445</v>
      </c>
      <c r="V2" s="1">
        <f t="shared" si="1"/>
        <v>3.4611111111111112</v>
      </c>
      <c r="W2" s="1">
        <f t="shared" si="1"/>
        <v>3.7555555555555555</v>
      </c>
      <c r="X2" s="1">
        <f t="shared" si="1"/>
        <v>3.9694444444444446</v>
      </c>
      <c r="Y2" s="1">
        <f t="shared" si="1"/>
        <v>4.2583333333333337</v>
      </c>
      <c r="Z2" s="1">
        <f t="shared" si="1"/>
        <v>4.4749999999999996</v>
      </c>
      <c r="AA2" s="1">
        <f t="shared" si="1"/>
        <v>4.7694444444444448</v>
      </c>
      <c r="AB2" s="1">
        <f t="shared" si="1"/>
        <v>4.9833333333333334</v>
      </c>
      <c r="AC2" s="1">
        <f t="shared" si="1"/>
        <v>5.2750000000000004</v>
      </c>
      <c r="AD2" s="1">
        <f t="shared" si="1"/>
        <v>5.4916666666666663</v>
      </c>
      <c r="AE2" s="1">
        <f t="shared" si="1"/>
        <v>5.4916666666666663</v>
      </c>
      <c r="AF2" s="3">
        <f t="shared" si="1"/>
        <v>5.7861111111111114</v>
      </c>
      <c r="AG2" s="1">
        <f t="shared" si="1"/>
        <v>6</v>
      </c>
      <c r="AH2" s="1">
        <f t="shared" si="1"/>
        <v>6.2888888888888888</v>
      </c>
      <c r="AI2" s="1">
        <f t="shared" si="1"/>
        <v>6.2888888888888888</v>
      </c>
      <c r="AJ2" s="1">
        <f t="shared" ref="AJ2:AY17" si="2">(AJ$1-$B2)/360</f>
        <v>6.5055555555555555</v>
      </c>
      <c r="AK2" s="1">
        <f t="shared" si="2"/>
        <v>6.5055555555555555</v>
      </c>
      <c r="AL2" s="1">
        <f t="shared" si="2"/>
        <v>7.0138888888888893</v>
      </c>
      <c r="AM2" s="1">
        <f t="shared" si="2"/>
        <v>7.5194444444444448</v>
      </c>
      <c r="AN2" s="1">
        <f t="shared" si="2"/>
        <v>7.5194444444444448</v>
      </c>
      <c r="AO2" s="1">
        <f t="shared" si="2"/>
        <v>8.0277777777777786</v>
      </c>
      <c r="AP2" s="1">
        <f t="shared" si="2"/>
        <v>8.5333333333333332</v>
      </c>
      <c r="AQ2" s="1">
        <f t="shared" si="2"/>
        <v>8.5333333333333332</v>
      </c>
      <c r="AR2" s="1">
        <f t="shared" si="2"/>
        <v>9.0416666666666661</v>
      </c>
      <c r="AS2" s="1">
        <f t="shared" si="2"/>
        <v>9.5500000000000007</v>
      </c>
      <c r="AT2" s="1">
        <f t="shared" si="2"/>
        <v>10.058333333333334</v>
      </c>
      <c r="AU2" s="1">
        <f t="shared" si="2"/>
        <v>10.563888888888888</v>
      </c>
      <c r="AV2" s="1">
        <f t="shared" si="2"/>
        <v>10.563888888888888</v>
      </c>
      <c r="AW2" s="1">
        <f t="shared" si="2"/>
        <v>15.130555555555556</v>
      </c>
      <c r="AX2" s="1">
        <f t="shared" si="2"/>
        <v>15.636111111111111</v>
      </c>
      <c r="AY2" s="1">
        <f t="shared" si="2"/>
        <v>16.144444444444446</v>
      </c>
      <c r="AZ2" s="1">
        <f t="shared" ref="AZ2:BO17" si="3">(AZ$1-$B2)/360</f>
        <v>16.649999999999999</v>
      </c>
      <c r="BA2" s="1">
        <f t="shared" si="3"/>
        <v>17.158333333333335</v>
      </c>
      <c r="BB2" s="1">
        <f t="shared" si="3"/>
        <v>17.666666666666668</v>
      </c>
      <c r="BC2" s="1">
        <f t="shared" si="3"/>
        <v>18.175000000000001</v>
      </c>
      <c r="BD2" s="1">
        <f t="shared" si="3"/>
        <v>18.680555555555557</v>
      </c>
      <c r="BE2" s="1">
        <f t="shared" si="3"/>
        <v>18.680555555555557</v>
      </c>
      <c r="BF2" s="1">
        <f t="shared" si="3"/>
        <v>27.305555555555557</v>
      </c>
      <c r="BG2" s="1">
        <f t="shared" si="3"/>
        <v>27.81111111111111</v>
      </c>
      <c r="BH2" s="1">
        <f t="shared" si="3"/>
        <v>28.319444444444443</v>
      </c>
      <c r="BI2" s="1">
        <f t="shared" si="3"/>
        <v>28.824999999999999</v>
      </c>
      <c r="BJ2" s="1">
        <f t="shared" si="3"/>
        <v>29.333333333333332</v>
      </c>
      <c r="BK2" s="1">
        <f t="shared" si="3"/>
        <v>29.841666666666665</v>
      </c>
      <c r="BL2" s="1">
        <f t="shared" si="3"/>
        <v>30.35</v>
      </c>
      <c r="BM2" s="1">
        <f t="shared" si="3"/>
        <v>30.855555555555554</v>
      </c>
      <c r="BN2" s="1">
        <f t="shared" si="3"/>
        <v>31.363888888888887</v>
      </c>
      <c r="BO2" s="1">
        <f t="shared" si="3"/>
        <v>31.363888888888887</v>
      </c>
      <c r="BP2" s="1">
        <f t="shared" ref="BP2:CE17" si="4">(BP$1-$B2)/360</f>
        <v>31.869444444444444</v>
      </c>
      <c r="BQ2" s="1">
        <f t="shared" si="4"/>
        <v>32.37777777777778</v>
      </c>
      <c r="BR2" s="1">
        <f t="shared" si="4"/>
        <v>32.883333333333333</v>
      </c>
      <c r="BS2" s="1">
        <f t="shared" si="4"/>
        <v>33.391666666666666</v>
      </c>
      <c r="BT2" s="1">
        <f t="shared" si="4"/>
        <v>33.9</v>
      </c>
      <c r="BU2" s="1">
        <f t="shared" si="4"/>
        <v>34.408333333333331</v>
      </c>
      <c r="BV2" s="1">
        <f t="shared" si="4"/>
        <v>34.408333333333331</v>
      </c>
      <c r="BW2" s="1">
        <f t="shared" si="4"/>
        <v>34.913888888888891</v>
      </c>
      <c r="BX2" s="1">
        <f t="shared" si="4"/>
        <v>35.422222222222224</v>
      </c>
      <c r="BY2" s="1">
        <f t="shared" si="4"/>
        <v>35.927777777777777</v>
      </c>
      <c r="BZ2" s="1">
        <f t="shared" si="4"/>
        <v>36.43611111111111</v>
      </c>
      <c r="CA2" s="1">
        <f t="shared" si="4"/>
        <v>36.94166666666667</v>
      </c>
      <c r="CB2" s="1">
        <f t="shared" si="4"/>
        <v>37.450000000000003</v>
      </c>
      <c r="CC2" s="1">
        <f t="shared" si="4"/>
        <v>37.958333333333336</v>
      </c>
      <c r="CD2" s="1">
        <f t="shared" si="4"/>
        <v>38.466666666666669</v>
      </c>
      <c r="CE2" s="1">
        <f t="shared" si="4"/>
        <v>38.972222222222221</v>
      </c>
      <c r="CF2" s="1">
        <f t="shared" ref="CF2:CU17" si="5">(CF$1-$B2)/360</f>
        <v>39.480555555555554</v>
      </c>
      <c r="CG2" s="1">
        <f t="shared" si="5"/>
        <v>39.986111111111114</v>
      </c>
      <c r="CH2" s="1">
        <f t="shared" si="5"/>
        <v>40.494444444444447</v>
      </c>
      <c r="CI2" s="1">
        <f t="shared" si="5"/>
        <v>41</v>
      </c>
      <c r="CJ2" s="1">
        <f t="shared" si="5"/>
        <v>41.508333333333333</v>
      </c>
      <c r="CK2" s="1">
        <f t="shared" si="5"/>
        <v>42.016666666666666</v>
      </c>
      <c r="CL2" s="1">
        <f t="shared" si="5"/>
        <v>42.524999999999999</v>
      </c>
      <c r="CM2" s="1">
        <f t="shared" si="5"/>
        <v>43.030555555555559</v>
      </c>
      <c r="CN2" s="1">
        <f t="shared" si="5"/>
        <v>43.538888888888891</v>
      </c>
      <c r="CO2" s="1">
        <f t="shared" si="5"/>
        <v>44.044444444444444</v>
      </c>
      <c r="CP2" s="1">
        <f t="shared" si="5"/>
        <v>44.552777777777777</v>
      </c>
      <c r="CQ2" s="1">
        <f t="shared" si="5"/>
        <v>45.05833333333333</v>
      </c>
      <c r="CR2" s="1">
        <f t="shared" si="5"/>
        <v>45.56666666666667</v>
      </c>
      <c r="CS2" s="1">
        <f t="shared" si="5"/>
        <v>46.075000000000003</v>
      </c>
      <c r="CT2" s="1">
        <f t="shared" si="5"/>
        <v>46.583333333333336</v>
      </c>
      <c r="CU2" s="1">
        <f t="shared" si="5"/>
        <v>47.088888888888889</v>
      </c>
      <c r="CV2" s="1">
        <f t="shared" ref="CV2:DC17" si="6">(CV$1-$B2)/360</f>
        <v>47.597222222222221</v>
      </c>
      <c r="CW2" s="1">
        <f t="shared" si="6"/>
        <v>48.102777777777774</v>
      </c>
      <c r="CX2" s="1">
        <f t="shared" si="6"/>
        <v>48.611111111111114</v>
      </c>
      <c r="CY2" s="1">
        <f t="shared" si="6"/>
        <v>49.116666666666667</v>
      </c>
      <c r="CZ2" s="1">
        <f t="shared" si="6"/>
        <v>49.625</v>
      </c>
      <c r="DA2" s="1">
        <f t="shared" si="6"/>
        <v>50.133333333333333</v>
      </c>
      <c r="DB2" s="1">
        <f t="shared" si="6"/>
        <v>50.641666666666666</v>
      </c>
      <c r="DC2" s="1">
        <f t="shared" si="6"/>
        <v>50.641666666666666</v>
      </c>
    </row>
    <row r="3" spans="1:107" x14ac:dyDescent="0.25">
      <c r="A3">
        <f t="shared" ref="A3:A66" si="7">WEEKDAY(B3)</f>
        <v>2</v>
      </c>
      <c r="B3" s="2">
        <f>yields_BRUTE!B3</f>
        <v>42009</v>
      </c>
      <c r="C3" s="1">
        <f t="shared" ref="C3:R18" si="8">(C$1-$B3)/360</f>
        <v>0.15277777777777779</v>
      </c>
      <c r="D3" s="1">
        <f t="shared" si="0"/>
        <v>0.19166666666666668</v>
      </c>
      <c r="E3" s="1">
        <f t="shared" si="0"/>
        <v>0.40833333333333333</v>
      </c>
      <c r="F3" s="1">
        <f t="shared" si="0"/>
        <v>0.66388888888888886</v>
      </c>
      <c r="G3" s="1">
        <f t="shared" si="0"/>
        <v>0.70277777777777772</v>
      </c>
      <c r="H3" s="1">
        <f t="shared" si="0"/>
        <v>0.91666666666666663</v>
      </c>
      <c r="I3" s="1">
        <f t="shared" si="0"/>
        <v>0.91666666666666663</v>
      </c>
      <c r="J3" s="1">
        <f t="shared" si="0"/>
        <v>1.1694444444444445</v>
      </c>
      <c r="K3" s="1">
        <f t="shared" si="0"/>
        <v>1.2083333333333333</v>
      </c>
      <c r="L3" s="1">
        <f t="shared" si="0"/>
        <v>1.425</v>
      </c>
      <c r="M3" s="1">
        <f t="shared" si="0"/>
        <v>1.6805555555555556</v>
      </c>
      <c r="N3" s="1">
        <f t="shared" si="0"/>
        <v>1.6805555555555556</v>
      </c>
      <c r="O3" s="1">
        <f t="shared" si="0"/>
        <v>1.7194444444444446</v>
      </c>
      <c r="P3" s="1">
        <f t="shared" si="0"/>
        <v>1.9333333333333333</v>
      </c>
      <c r="Q3" s="1">
        <f t="shared" si="0"/>
        <v>2.2222222222222223</v>
      </c>
      <c r="R3" s="1">
        <f t="shared" si="0"/>
        <v>2.4388888888888891</v>
      </c>
      <c r="S3" s="1">
        <f t="shared" si="0"/>
        <v>2.7333333333333334</v>
      </c>
      <c r="T3" s="1">
        <f t="shared" si="1"/>
        <v>2.9472222222222224</v>
      </c>
      <c r="U3" s="1">
        <f t="shared" si="1"/>
        <v>3.2361111111111112</v>
      </c>
      <c r="V3" s="1">
        <f t="shared" si="1"/>
        <v>3.4527777777777779</v>
      </c>
      <c r="W3" s="1">
        <f t="shared" si="1"/>
        <v>3.7472222222222222</v>
      </c>
      <c r="X3" s="1">
        <f t="shared" si="1"/>
        <v>3.9611111111111112</v>
      </c>
      <c r="Y3" s="1">
        <f t="shared" si="1"/>
        <v>4.25</v>
      </c>
      <c r="Z3" s="1">
        <f t="shared" si="1"/>
        <v>4.4666666666666668</v>
      </c>
      <c r="AA3" s="1">
        <f t="shared" si="1"/>
        <v>4.7611111111111111</v>
      </c>
      <c r="AB3" s="1">
        <f t="shared" si="1"/>
        <v>4.9749999999999996</v>
      </c>
      <c r="AC3" s="1">
        <f t="shared" si="1"/>
        <v>5.2666666666666666</v>
      </c>
      <c r="AD3" s="1">
        <f t="shared" si="1"/>
        <v>5.4833333333333334</v>
      </c>
      <c r="AE3" s="1">
        <f t="shared" si="1"/>
        <v>5.4833333333333334</v>
      </c>
      <c r="AF3" s="3">
        <f t="shared" si="1"/>
        <v>5.7777777777777777</v>
      </c>
      <c r="AG3" s="1">
        <f t="shared" si="1"/>
        <v>5.9916666666666663</v>
      </c>
      <c r="AH3" s="1">
        <f t="shared" si="1"/>
        <v>6.2805555555555559</v>
      </c>
      <c r="AI3" s="1">
        <f t="shared" si="1"/>
        <v>6.2805555555555559</v>
      </c>
      <c r="AJ3" s="1">
        <f t="shared" si="2"/>
        <v>6.4972222222222218</v>
      </c>
      <c r="AK3" s="1">
        <f t="shared" si="2"/>
        <v>6.4972222222222218</v>
      </c>
      <c r="AL3" s="1">
        <f t="shared" si="2"/>
        <v>7.0055555555555555</v>
      </c>
      <c r="AM3" s="1">
        <f t="shared" si="2"/>
        <v>7.5111111111111111</v>
      </c>
      <c r="AN3" s="1">
        <f t="shared" si="2"/>
        <v>7.5111111111111111</v>
      </c>
      <c r="AO3" s="1">
        <f t="shared" si="2"/>
        <v>8.0194444444444439</v>
      </c>
      <c r="AP3" s="1">
        <f t="shared" si="2"/>
        <v>8.5250000000000004</v>
      </c>
      <c r="AQ3" s="1">
        <f t="shared" si="2"/>
        <v>8.5250000000000004</v>
      </c>
      <c r="AR3" s="1">
        <f t="shared" si="2"/>
        <v>9.0333333333333332</v>
      </c>
      <c r="AS3" s="1">
        <f t="shared" si="2"/>
        <v>9.5416666666666661</v>
      </c>
      <c r="AT3" s="1">
        <f t="shared" si="2"/>
        <v>10.050000000000001</v>
      </c>
      <c r="AU3" s="1">
        <f t="shared" si="2"/>
        <v>10.555555555555555</v>
      </c>
      <c r="AV3" s="1">
        <f t="shared" si="2"/>
        <v>10.555555555555555</v>
      </c>
      <c r="AW3" s="1">
        <f t="shared" si="2"/>
        <v>15.122222222222222</v>
      </c>
      <c r="AX3" s="1">
        <f t="shared" si="2"/>
        <v>15.627777777777778</v>
      </c>
      <c r="AY3" s="1">
        <f t="shared" si="2"/>
        <v>16.136111111111113</v>
      </c>
      <c r="AZ3" s="1">
        <f t="shared" si="3"/>
        <v>16.641666666666666</v>
      </c>
      <c r="BA3" s="1">
        <f t="shared" si="3"/>
        <v>17.149999999999999</v>
      </c>
      <c r="BB3" s="1">
        <f t="shared" si="3"/>
        <v>17.658333333333335</v>
      </c>
      <c r="BC3" s="1">
        <f t="shared" si="3"/>
        <v>18.166666666666668</v>
      </c>
      <c r="BD3" s="1">
        <f t="shared" si="3"/>
        <v>18.672222222222221</v>
      </c>
      <c r="BE3" s="1">
        <f t="shared" si="3"/>
        <v>18.672222222222221</v>
      </c>
      <c r="BF3" s="1">
        <f t="shared" si="3"/>
        <v>27.297222222222221</v>
      </c>
      <c r="BG3" s="1">
        <f t="shared" si="3"/>
        <v>27.802777777777777</v>
      </c>
      <c r="BH3" s="1">
        <f t="shared" si="3"/>
        <v>28.31111111111111</v>
      </c>
      <c r="BI3" s="1">
        <f t="shared" si="3"/>
        <v>28.816666666666666</v>
      </c>
      <c r="BJ3" s="1">
        <f t="shared" si="3"/>
        <v>29.324999999999999</v>
      </c>
      <c r="BK3" s="1">
        <f t="shared" si="3"/>
        <v>29.833333333333332</v>
      </c>
      <c r="BL3" s="1">
        <f t="shared" si="3"/>
        <v>30.341666666666665</v>
      </c>
      <c r="BM3" s="1">
        <f t="shared" si="3"/>
        <v>30.847222222222221</v>
      </c>
      <c r="BN3" s="1">
        <f t="shared" si="3"/>
        <v>31.355555555555554</v>
      </c>
      <c r="BO3" s="1">
        <f t="shared" si="3"/>
        <v>31.355555555555554</v>
      </c>
      <c r="BP3" s="1">
        <f t="shared" si="4"/>
        <v>31.861111111111111</v>
      </c>
      <c r="BQ3" s="1">
        <f t="shared" si="4"/>
        <v>32.369444444444447</v>
      </c>
      <c r="BR3" s="1">
        <f t="shared" si="4"/>
        <v>32.875</v>
      </c>
      <c r="BS3" s="1">
        <f t="shared" si="4"/>
        <v>33.383333333333333</v>
      </c>
      <c r="BT3" s="1">
        <f t="shared" si="4"/>
        <v>33.891666666666666</v>
      </c>
      <c r="BU3" s="1">
        <f t="shared" si="4"/>
        <v>34.4</v>
      </c>
      <c r="BV3" s="1">
        <f t="shared" si="4"/>
        <v>34.4</v>
      </c>
      <c r="BW3" s="1">
        <f t="shared" si="4"/>
        <v>34.905555555555559</v>
      </c>
      <c r="BX3" s="1">
        <f t="shared" si="4"/>
        <v>35.413888888888891</v>
      </c>
      <c r="BY3" s="1">
        <f t="shared" si="4"/>
        <v>35.919444444444444</v>
      </c>
      <c r="BZ3" s="1">
        <f t="shared" si="4"/>
        <v>36.427777777777777</v>
      </c>
      <c r="CA3" s="1">
        <f t="shared" si="4"/>
        <v>36.93333333333333</v>
      </c>
      <c r="CB3" s="1">
        <f t="shared" si="4"/>
        <v>37.44166666666667</v>
      </c>
      <c r="CC3" s="1">
        <f t="shared" si="4"/>
        <v>37.950000000000003</v>
      </c>
      <c r="CD3" s="1">
        <f t="shared" si="4"/>
        <v>38.458333333333336</v>
      </c>
      <c r="CE3" s="1">
        <f t="shared" si="4"/>
        <v>38.963888888888889</v>
      </c>
      <c r="CF3" s="1">
        <f t="shared" si="5"/>
        <v>39.472222222222221</v>
      </c>
      <c r="CG3" s="1">
        <f t="shared" si="5"/>
        <v>39.977777777777774</v>
      </c>
      <c r="CH3" s="1">
        <f t="shared" si="5"/>
        <v>40.486111111111114</v>
      </c>
      <c r="CI3" s="1">
        <f t="shared" si="5"/>
        <v>40.991666666666667</v>
      </c>
      <c r="CJ3" s="1">
        <f t="shared" si="5"/>
        <v>41.5</v>
      </c>
      <c r="CK3" s="1">
        <f t="shared" si="5"/>
        <v>42.008333333333333</v>
      </c>
      <c r="CL3" s="1">
        <f t="shared" si="5"/>
        <v>42.516666666666666</v>
      </c>
      <c r="CM3" s="1">
        <f t="shared" si="5"/>
        <v>43.022222222222226</v>
      </c>
      <c r="CN3" s="1">
        <f t="shared" si="5"/>
        <v>43.530555555555559</v>
      </c>
      <c r="CO3" s="1">
        <f t="shared" si="5"/>
        <v>44.036111111111111</v>
      </c>
      <c r="CP3" s="1">
        <f t="shared" si="5"/>
        <v>44.544444444444444</v>
      </c>
      <c r="CQ3" s="1">
        <f t="shared" si="5"/>
        <v>45.05</v>
      </c>
      <c r="CR3" s="1">
        <f t="shared" si="5"/>
        <v>45.55833333333333</v>
      </c>
      <c r="CS3" s="1">
        <f t="shared" si="5"/>
        <v>46.06666666666667</v>
      </c>
      <c r="CT3" s="1">
        <f t="shared" si="5"/>
        <v>46.575000000000003</v>
      </c>
      <c r="CU3" s="1">
        <f t="shared" si="5"/>
        <v>47.080555555555556</v>
      </c>
      <c r="CV3" s="1">
        <f t="shared" si="6"/>
        <v>47.588888888888889</v>
      </c>
      <c r="CW3" s="1">
        <f t="shared" si="6"/>
        <v>48.094444444444441</v>
      </c>
      <c r="CX3" s="1">
        <f t="shared" si="6"/>
        <v>48.602777777777774</v>
      </c>
      <c r="CY3" s="1">
        <f t="shared" si="6"/>
        <v>49.108333333333334</v>
      </c>
      <c r="CZ3" s="1">
        <f t="shared" si="6"/>
        <v>49.616666666666667</v>
      </c>
      <c r="DA3" s="1">
        <f t="shared" si="6"/>
        <v>50.125</v>
      </c>
      <c r="DB3" s="1">
        <f t="shared" si="6"/>
        <v>50.633333333333333</v>
      </c>
      <c r="DC3" s="1">
        <f t="shared" si="6"/>
        <v>50.633333333333333</v>
      </c>
    </row>
    <row r="4" spans="1:107" x14ac:dyDescent="0.25">
      <c r="A4">
        <f t="shared" si="7"/>
        <v>3</v>
      </c>
      <c r="B4" s="2">
        <f>yields_BRUTE!B4</f>
        <v>42010</v>
      </c>
      <c r="C4" s="1">
        <f t="shared" si="8"/>
        <v>0.15</v>
      </c>
      <c r="D4" s="1">
        <f t="shared" si="0"/>
        <v>0.18888888888888888</v>
      </c>
      <c r="E4" s="1">
        <f t="shared" si="0"/>
        <v>0.40555555555555556</v>
      </c>
      <c r="F4" s="1">
        <f t="shared" si="0"/>
        <v>0.66111111111111109</v>
      </c>
      <c r="G4" s="1">
        <f t="shared" si="0"/>
        <v>0.7</v>
      </c>
      <c r="H4" s="1">
        <f t="shared" si="0"/>
        <v>0.91388888888888886</v>
      </c>
      <c r="I4" s="1">
        <f t="shared" si="0"/>
        <v>0.91388888888888886</v>
      </c>
      <c r="J4" s="1">
        <f t="shared" si="0"/>
        <v>1.1666666666666667</v>
      </c>
      <c r="K4" s="1">
        <f t="shared" si="0"/>
        <v>1.2055555555555555</v>
      </c>
      <c r="L4" s="1">
        <f t="shared" si="0"/>
        <v>1.4222222222222223</v>
      </c>
      <c r="M4" s="1">
        <f t="shared" si="0"/>
        <v>1.6777777777777778</v>
      </c>
      <c r="N4" s="1">
        <f t="shared" si="0"/>
        <v>1.6777777777777778</v>
      </c>
      <c r="O4" s="1">
        <f t="shared" si="0"/>
        <v>1.7166666666666666</v>
      </c>
      <c r="P4" s="1">
        <f t="shared" si="0"/>
        <v>1.9305555555555556</v>
      </c>
      <c r="Q4" s="1">
        <f t="shared" si="0"/>
        <v>2.2194444444444446</v>
      </c>
      <c r="R4" s="1">
        <f t="shared" si="0"/>
        <v>2.4361111111111109</v>
      </c>
      <c r="S4" s="1">
        <f t="shared" si="0"/>
        <v>2.7305555555555556</v>
      </c>
      <c r="T4" s="1">
        <f t="shared" si="1"/>
        <v>2.9444444444444446</v>
      </c>
      <c r="U4" s="1">
        <f t="shared" si="1"/>
        <v>3.2333333333333334</v>
      </c>
      <c r="V4" s="1">
        <f t="shared" si="1"/>
        <v>3.45</v>
      </c>
      <c r="W4" s="1">
        <f t="shared" si="1"/>
        <v>3.7444444444444445</v>
      </c>
      <c r="X4" s="1">
        <f t="shared" si="1"/>
        <v>3.9583333333333335</v>
      </c>
      <c r="Y4" s="1">
        <f t="shared" si="1"/>
        <v>4.2472222222222218</v>
      </c>
      <c r="Z4" s="1">
        <f t="shared" si="1"/>
        <v>4.4638888888888886</v>
      </c>
      <c r="AA4" s="1">
        <f t="shared" si="1"/>
        <v>4.7583333333333337</v>
      </c>
      <c r="AB4" s="1">
        <f t="shared" si="1"/>
        <v>4.9722222222222223</v>
      </c>
      <c r="AC4" s="1">
        <f t="shared" si="1"/>
        <v>5.2638888888888893</v>
      </c>
      <c r="AD4" s="1">
        <f t="shared" si="1"/>
        <v>5.4805555555555552</v>
      </c>
      <c r="AE4" s="1">
        <f t="shared" si="1"/>
        <v>5.4805555555555552</v>
      </c>
      <c r="AF4" s="3">
        <f t="shared" si="1"/>
        <v>5.7750000000000004</v>
      </c>
      <c r="AG4" s="1">
        <f t="shared" si="1"/>
        <v>5.9888888888888889</v>
      </c>
      <c r="AH4" s="1">
        <f t="shared" si="1"/>
        <v>6.2777777777777777</v>
      </c>
      <c r="AI4" s="1">
        <f t="shared" si="1"/>
        <v>6.2777777777777777</v>
      </c>
      <c r="AJ4" s="1">
        <f t="shared" si="2"/>
        <v>6.4944444444444445</v>
      </c>
      <c r="AK4" s="1">
        <f t="shared" si="2"/>
        <v>6.4944444444444445</v>
      </c>
      <c r="AL4" s="1">
        <f t="shared" si="2"/>
        <v>7.0027777777777782</v>
      </c>
      <c r="AM4" s="1">
        <f t="shared" si="2"/>
        <v>7.5083333333333337</v>
      </c>
      <c r="AN4" s="1">
        <f t="shared" si="2"/>
        <v>7.5083333333333337</v>
      </c>
      <c r="AO4" s="1">
        <f t="shared" si="2"/>
        <v>8.0166666666666675</v>
      </c>
      <c r="AP4" s="1">
        <f t="shared" si="2"/>
        <v>8.5222222222222221</v>
      </c>
      <c r="AQ4" s="1">
        <f t="shared" si="2"/>
        <v>8.5222222222222221</v>
      </c>
      <c r="AR4" s="1">
        <f t="shared" si="2"/>
        <v>9.030555555555555</v>
      </c>
      <c r="AS4" s="1">
        <f t="shared" si="2"/>
        <v>9.5388888888888896</v>
      </c>
      <c r="AT4" s="1">
        <f t="shared" si="2"/>
        <v>10.047222222222222</v>
      </c>
      <c r="AU4" s="1">
        <f t="shared" si="2"/>
        <v>10.552777777777777</v>
      </c>
      <c r="AV4" s="1">
        <f t="shared" si="2"/>
        <v>10.552777777777777</v>
      </c>
      <c r="AW4" s="1">
        <f t="shared" si="2"/>
        <v>15.119444444444444</v>
      </c>
      <c r="AX4" s="1">
        <f t="shared" si="2"/>
        <v>15.625</v>
      </c>
      <c r="AY4" s="1">
        <f t="shared" si="2"/>
        <v>16.133333333333333</v>
      </c>
      <c r="AZ4" s="1">
        <f t="shared" si="3"/>
        <v>16.638888888888889</v>
      </c>
      <c r="BA4" s="1">
        <f t="shared" si="3"/>
        <v>17.147222222222222</v>
      </c>
      <c r="BB4" s="1">
        <f t="shared" si="3"/>
        <v>17.655555555555555</v>
      </c>
      <c r="BC4" s="1">
        <f t="shared" si="3"/>
        <v>18.163888888888888</v>
      </c>
      <c r="BD4" s="1">
        <f t="shared" si="3"/>
        <v>18.669444444444444</v>
      </c>
      <c r="BE4" s="1">
        <f t="shared" si="3"/>
        <v>18.669444444444444</v>
      </c>
      <c r="BF4" s="1">
        <f t="shared" si="3"/>
        <v>27.294444444444444</v>
      </c>
      <c r="BG4" s="1">
        <f t="shared" si="3"/>
        <v>27.8</v>
      </c>
      <c r="BH4" s="1">
        <f t="shared" si="3"/>
        <v>28.308333333333334</v>
      </c>
      <c r="BI4" s="1">
        <f t="shared" si="3"/>
        <v>28.81388888888889</v>
      </c>
      <c r="BJ4" s="1">
        <f t="shared" si="3"/>
        <v>29.322222222222223</v>
      </c>
      <c r="BK4" s="1">
        <f t="shared" si="3"/>
        <v>29.830555555555556</v>
      </c>
      <c r="BL4" s="1">
        <f t="shared" si="3"/>
        <v>30.338888888888889</v>
      </c>
      <c r="BM4" s="1">
        <f t="shared" si="3"/>
        <v>30.844444444444445</v>
      </c>
      <c r="BN4" s="1">
        <f t="shared" si="3"/>
        <v>31.352777777777778</v>
      </c>
      <c r="BO4" s="1">
        <f t="shared" si="3"/>
        <v>31.352777777777778</v>
      </c>
      <c r="BP4" s="1">
        <f t="shared" si="4"/>
        <v>31.858333333333334</v>
      </c>
      <c r="BQ4" s="1">
        <f t="shared" si="4"/>
        <v>32.366666666666667</v>
      </c>
      <c r="BR4" s="1">
        <f t="shared" si="4"/>
        <v>32.87222222222222</v>
      </c>
      <c r="BS4" s="1">
        <f t="shared" si="4"/>
        <v>33.380555555555553</v>
      </c>
      <c r="BT4" s="1">
        <f t="shared" si="4"/>
        <v>33.888888888888886</v>
      </c>
      <c r="BU4" s="1">
        <f t="shared" si="4"/>
        <v>34.397222222222226</v>
      </c>
      <c r="BV4" s="1">
        <f t="shared" si="4"/>
        <v>34.397222222222226</v>
      </c>
      <c r="BW4" s="1">
        <f t="shared" si="4"/>
        <v>34.902777777777779</v>
      </c>
      <c r="BX4" s="1">
        <f t="shared" si="4"/>
        <v>35.411111111111111</v>
      </c>
      <c r="BY4" s="1">
        <f t="shared" si="4"/>
        <v>35.916666666666664</v>
      </c>
      <c r="BZ4" s="1">
        <f t="shared" si="4"/>
        <v>36.424999999999997</v>
      </c>
      <c r="CA4" s="1">
        <f t="shared" si="4"/>
        <v>36.930555555555557</v>
      </c>
      <c r="CB4" s="1">
        <f t="shared" si="4"/>
        <v>37.43888888888889</v>
      </c>
      <c r="CC4" s="1">
        <f t="shared" si="4"/>
        <v>37.947222222222223</v>
      </c>
      <c r="CD4" s="1">
        <f t="shared" si="4"/>
        <v>38.455555555555556</v>
      </c>
      <c r="CE4" s="1">
        <f t="shared" si="4"/>
        <v>38.961111111111109</v>
      </c>
      <c r="CF4" s="1">
        <f t="shared" si="5"/>
        <v>39.469444444444441</v>
      </c>
      <c r="CG4" s="1">
        <f t="shared" si="5"/>
        <v>39.975000000000001</v>
      </c>
      <c r="CH4" s="1">
        <f t="shared" si="5"/>
        <v>40.483333333333334</v>
      </c>
      <c r="CI4" s="1">
        <f t="shared" si="5"/>
        <v>40.988888888888887</v>
      </c>
      <c r="CJ4" s="1">
        <f t="shared" si="5"/>
        <v>41.49722222222222</v>
      </c>
      <c r="CK4" s="1">
        <f t="shared" si="5"/>
        <v>42.005555555555553</v>
      </c>
      <c r="CL4" s="1">
        <f t="shared" si="5"/>
        <v>42.513888888888886</v>
      </c>
      <c r="CM4" s="1">
        <f t="shared" si="5"/>
        <v>43.019444444444446</v>
      </c>
      <c r="CN4" s="1">
        <f t="shared" si="5"/>
        <v>43.527777777777779</v>
      </c>
      <c r="CO4" s="1">
        <f t="shared" si="5"/>
        <v>44.033333333333331</v>
      </c>
      <c r="CP4" s="1">
        <f t="shared" si="5"/>
        <v>44.541666666666664</v>
      </c>
      <c r="CQ4" s="1">
        <f t="shared" si="5"/>
        <v>45.047222222222224</v>
      </c>
      <c r="CR4" s="1">
        <f t="shared" si="5"/>
        <v>45.555555555555557</v>
      </c>
      <c r="CS4" s="1">
        <f t="shared" si="5"/>
        <v>46.06388888888889</v>
      </c>
      <c r="CT4" s="1">
        <f t="shared" si="5"/>
        <v>46.572222222222223</v>
      </c>
      <c r="CU4" s="1">
        <f t="shared" si="5"/>
        <v>47.077777777777776</v>
      </c>
      <c r="CV4" s="1">
        <f t="shared" si="6"/>
        <v>47.586111111111109</v>
      </c>
      <c r="CW4" s="1">
        <f t="shared" si="6"/>
        <v>48.091666666666669</v>
      </c>
      <c r="CX4" s="1">
        <f t="shared" si="6"/>
        <v>48.6</v>
      </c>
      <c r="CY4" s="1">
        <f t="shared" si="6"/>
        <v>49.105555555555554</v>
      </c>
      <c r="CZ4" s="1">
        <f t="shared" si="6"/>
        <v>49.613888888888887</v>
      </c>
      <c r="DA4" s="1">
        <f t="shared" si="6"/>
        <v>50.12222222222222</v>
      </c>
      <c r="DB4" s="1">
        <f t="shared" si="6"/>
        <v>50.630555555555553</v>
      </c>
      <c r="DC4" s="1">
        <f t="shared" si="6"/>
        <v>50.630555555555553</v>
      </c>
    </row>
    <row r="5" spans="1:107" x14ac:dyDescent="0.25">
      <c r="A5">
        <f t="shared" si="7"/>
        <v>4</v>
      </c>
      <c r="B5" s="2">
        <f>yields_BRUTE!B5</f>
        <v>42011</v>
      </c>
      <c r="C5" s="1">
        <f t="shared" si="8"/>
        <v>0.14722222222222223</v>
      </c>
      <c r="D5" s="1">
        <f t="shared" si="0"/>
        <v>0.18611111111111112</v>
      </c>
      <c r="E5" s="1">
        <f t="shared" si="0"/>
        <v>0.40277777777777779</v>
      </c>
      <c r="F5" s="1">
        <f t="shared" si="0"/>
        <v>0.65833333333333333</v>
      </c>
      <c r="G5" s="1">
        <f t="shared" si="0"/>
        <v>0.69722222222222219</v>
      </c>
      <c r="H5" s="1">
        <f t="shared" si="0"/>
        <v>0.91111111111111109</v>
      </c>
      <c r="I5" s="1">
        <f t="shared" si="0"/>
        <v>0.91111111111111109</v>
      </c>
      <c r="J5" s="1">
        <f t="shared" si="0"/>
        <v>1.163888888888889</v>
      </c>
      <c r="K5" s="1">
        <f t="shared" si="0"/>
        <v>1.2027777777777777</v>
      </c>
      <c r="L5" s="1">
        <f t="shared" si="0"/>
        <v>1.4194444444444445</v>
      </c>
      <c r="M5" s="1">
        <f t="shared" si="0"/>
        <v>1.675</v>
      </c>
      <c r="N5" s="1">
        <f t="shared" si="0"/>
        <v>1.675</v>
      </c>
      <c r="O5" s="1">
        <f t="shared" si="0"/>
        <v>1.7138888888888888</v>
      </c>
      <c r="P5" s="1">
        <f t="shared" si="0"/>
        <v>1.9277777777777778</v>
      </c>
      <c r="Q5" s="1">
        <f t="shared" si="0"/>
        <v>2.2166666666666668</v>
      </c>
      <c r="R5" s="1">
        <f t="shared" si="0"/>
        <v>2.4333333333333331</v>
      </c>
      <c r="S5" s="1">
        <f t="shared" si="0"/>
        <v>2.7277777777777779</v>
      </c>
      <c r="T5" s="1">
        <f t="shared" si="1"/>
        <v>2.9416666666666669</v>
      </c>
      <c r="U5" s="1">
        <f t="shared" si="1"/>
        <v>3.2305555555555556</v>
      </c>
      <c r="V5" s="1">
        <f t="shared" si="1"/>
        <v>3.4472222222222224</v>
      </c>
      <c r="W5" s="1">
        <f t="shared" si="1"/>
        <v>3.7416666666666667</v>
      </c>
      <c r="X5" s="1">
        <f t="shared" si="1"/>
        <v>3.9555555555555557</v>
      </c>
      <c r="Y5" s="1">
        <f t="shared" si="1"/>
        <v>4.2444444444444445</v>
      </c>
      <c r="Z5" s="1">
        <f t="shared" si="1"/>
        <v>4.4611111111111112</v>
      </c>
      <c r="AA5" s="1">
        <f t="shared" si="1"/>
        <v>4.7555555555555555</v>
      </c>
      <c r="AB5" s="1">
        <f t="shared" si="1"/>
        <v>4.9694444444444441</v>
      </c>
      <c r="AC5" s="1">
        <f t="shared" si="1"/>
        <v>5.2611111111111111</v>
      </c>
      <c r="AD5" s="1">
        <f t="shared" si="1"/>
        <v>5.4777777777777779</v>
      </c>
      <c r="AE5" s="1">
        <f t="shared" si="1"/>
        <v>5.4777777777777779</v>
      </c>
      <c r="AF5" s="3">
        <f t="shared" si="1"/>
        <v>5.7722222222222221</v>
      </c>
      <c r="AG5" s="1">
        <f t="shared" si="1"/>
        <v>5.9861111111111107</v>
      </c>
      <c r="AH5" s="1">
        <f t="shared" si="1"/>
        <v>6.2750000000000004</v>
      </c>
      <c r="AI5" s="1">
        <f t="shared" si="1"/>
        <v>6.2750000000000004</v>
      </c>
      <c r="AJ5" s="1">
        <f t="shared" si="2"/>
        <v>6.4916666666666663</v>
      </c>
      <c r="AK5" s="1">
        <f t="shared" si="2"/>
        <v>6.4916666666666663</v>
      </c>
      <c r="AL5" s="1">
        <f t="shared" si="2"/>
        <v>7</v>
      </c>
      <c r="AM5" s="1">
        <f t="shared" si="2"/>
        <v>7.5055555555555555</v>
      </c>
      <c r="AN5" s="1">
        <f t="shared" si="2"/>
        <v>7.5055555555555555</v>
      </c>
      <c r="AO5" s="1">
        <f t="shared" si="2"/>
        <v>8.0138888888888893</v>
      </c>
      <c r="AP5" s="1">
        <f t="shared" si="2"/>
        <v>8.5194444444444439</v>
      </c>
      <c r="AQ5" s="1">
        <f t="shared" si="2"/>
        <v>8.5194444444444439</v>
      </c>
      <c r="AR5" s="1">
        <f t="shared" si="2"/>
        <v>9.0277777777777786</v>
      </c>
      <c r="AS5" s="1">
        <f t="shared" si="2"/>
        <v>9.5361111111111114</v>
      </c>
      <c r="AT5" s="1">
        <f t="shared" si="2"/>
        <v>10.044444444444444</v>
      </c>
      <c r="AU5" s="1">
        <f t="shared" si="2"/>
        <v>10.55</v>
      </c>
      <c r="AV5" s="1">
        <f t="shared" si="2"/>
        <v>10.55</v>
      </c>
      <c r="AW5" s="1">
        <f t="shared" si="2"/>
        <v>15.116666666666667</v>
      </c>
      <c r="AX5" s="1">
        <f t="shared" si="2"/>
        <v>15.622222222222222</v>
      </c>
      <c r="AY5" s="1">
        <f t="shared" si="2"/>
        <v>16.130555555555556</v>
      </c>
      <c r="AZ5" s="1">
        <f t="shared" si="3"/>
        <v>16.636111111111113</v>
      </c>
      <c r="BA5" s="1">
        <f t="shared" si="3"/>
        <v>17.144444444444446</v>
      </c>
      <c r="BB5" s="1">
        <f t="shared" si="3"/>
        <v>17.652777777777779</v>
      </c>
      <c r="BC5" s="1">
        <f t="shared" si="3"/>
        <v>18.161111111111111</v>
      </c>
      <c r="BD5" s="1">
        <f t="shared" si="3"/>
        <v>18.666666666666668</v>
      </c>
      <c r="BE5" s="1">
        <f t="shared" si="3"/>
        <v>18.666666666666668</v>
      </c>
      <c r="BF5" s="1">
        <f t="shared" si="3"/>
        <v>27.291666666666668</v>
      </c>
      <c r="BG5" s="1">
        <f t="shared" si="3"/>
        <v>27.797222222222221</v>
      </c>
      <c r="BH5" s="1">
        <f t="shared" si="3"/>
        <v>28.305555555555557</v>
      </c>
      <c r="BI5" s="1">
        <f t="shared" si="3"/>
        <v>28.81111111111111</v>
      </c>
      <c r="BJ5" s="1">
        <f t="shared" si="3"/>
        <v>29.319444444444443</v>
      </c>
      <c r="BK5" s="1">
        <f t="shared" si="3"/>
        <v>29.827777777777779</v>
      </c>
      <c r="BL5" s="1">
        <f t="shared" si="3"/>
        <v>30.336111111111112</v>
      </c>
      <c r="BM5" s="1">
        <f t="shared" si="3"/>
        <v>30.841666666666665</v>
      </c>
      <c r="BN5" s="1">
        <f t="shared" si="3"/>
        <v>31.35</v>
      </c>
      <c r="BO5" s="1">
        <f t="shared" si="3"/>
        <v>31.35</v>
      </c>
      <c r="BP5" s="1">
        <f t="shared" si="4"/>
        <v>31.855555555555554</v>
      </c>
      <c r="BQ5" s="1">
        <f t="shared" si="4"/>
        <v>32.363888888888887</v>
      </c>
      <c r="BR5" s="1">
        <f t="shared" si="4"/>
        <v>32.869444444444447</v>
      </c>
      <c r="BS5" s="1">
        <f t="shared" si="4"/>
        <v>33.37777777777778</v>
      </c>
      <c r="BT5" s="1">
        <f t="shared" si="4"/>
        <v>33.886111111111113</v>
      </c>
      <c r="BU5" s="1">
        <f t="shared" si="4"/>
        <v>34.394444444444446</v>
      </c>
      <c r="BV5" s="1">
        <f t="shared" si="4"/>
        <v>34.394444444444446</v>
      </c>
      <c r="BW5" s="1">
        <f t="shared" si="4"/>
        <v>34.9</v>
      </c>
      <c r="BX5" s="1">
        <f t="shared" si="4"/>
        <v>35.408333333333331</v>
      </c>
      <c r="BY5" s="1">
        <f t="shared" si="4"/>
        <v>35.913888888888891</v>
      </c>
      <c r="BZ5" s="1">
        <f t="shared" si="4"/>
        <v>36.422222222222224</v>
      </c>
      <c r="CA5" s="1">
        <f t="shared" si="4"/>
        <v>36.927777777777777</v>
      </c>
      <c r="CB5" s="1">
        <f t="shared" si="4"/>
        <v>37.43611111111111</v>
      </c>
      <c r="CC5" s="1">
        <f t="shared" si="4"/>
        <v>37.944444444444443</v>
      </c>
      <c r="CD5" s="1">
        <f t="shared" si="4"/>
        <v>38.452777777777776</v>
      </c>
      <c r="CE5" s="1">
        <f t="shared" si="4"/>
        <v>38.958333333333336</v>
      </c>
      <c r="CF5" s="1">
        <f t="shared" si="5"/>
        <v>39.466666666666669</v>
      </c>
      <c r="CG5" s="1">
        <f t="shared" si="5"/>
        <v>39.972222222222221</v>
      </c>
      <c r="CH5" s="1">
        <f t="shared" si="5"/>
        <v>40.480555555555554</v>
      </c>
      <c r="CI5" s="1">
        <f t="shared" si="5"/>
        <v>40.986111111111114</v>
      </c>
      <c r="CJ5" s="1">
        <f t="shared" si="5"/>
        <v>41.494444444444447</v>
      </c>
      <c r="CK5" s="1">
        <f t="shared" si="5"/>
        <v>42.00277777777778</v>
      </c>
      <c r="CL5" s="1">
        <f t="shared" si="5"/>
        <v>42.511111111111113</v>
      </c>
      <c r="CM5" s="1">
        <f t="shared" si="5"/>
        <v>43.016666666666666</v>
      </c>
      <c r="CN5" s="1">
        <f t="shared" si="5"/>
        <v>43.524999999999999</v>
      </c>
      <c r="CO5" s="1">
        <f t="shared" si="5"/>
        <v>44.030555555555559</v>
      </c>
      <c r="CP5" s="1">
        <f t="shared" si="5"/>
        <v>44.538888888888891</v>
      </c>
      <c r="CQ5" s="1">
        <f t="shared" si="5"/>
        <v>45.044444444444444</v>
      </c>
      <c r="CR5" s="1">
        <f t="shared" si="5"/>
        <v>45.552777777777777</v>
      </c>
      <c r="CS5" s="1">
        <f t="shared" si="5"/>
        <v>46.06111111111111</v>
      </c>
      <c r="CT5" s="1">
        <f t="shared" si="5"/>
        <v>46.569444444444443</v>
      </c>
      <c r="CU5" s="1">
        <f t="shared" si="5"/>
        <v>47.075000000000003</v>
      </c>
      <c r="CV5" s="1">
        <f t="shared" si="6"/>
        <v>47.583333333333336</v>
      </c>
      <c r="CW5" s="1">
        <f t="shared" si="6"/>
        <v>48.088888888888889</v>
      </c>
      <c r="CX5" s="1">
        <f t="shared" si="6"/>
        <v>48.597222222222221</v>
      </c>
      <c r="CY5" s="1">
        <f t="shared" si="6"/>
        <v>49.102777777777774</v>
      </c>
      <c r="CZ5" s="1">
        <f t="shared" si="6"/>
        <v>49.611111111111114</v>
      </c>
      <c r="DA5" s="1">
        <f t="shared" si="6"/>
        <v>50.119444444444447</v>
      </c>
      <c r="DB5" s="1">
        <f t="shared" si="6"/>
        <v>50.62777777777778</v>
      </c>
      <c r="DC5" s="1">
        <f t="shared" si="6"/>
        <v>50.62777777777778</v>
      </c>
    </row>
    <row r="6" spans="1:107" x14ac:dyDescent="0.25">
      <c r="A6">
        <f t="shared" si="7"/>
        <v>5</v>
      </c>
      <c r="B6" s="2">
        <f>yields_BRUTE!B6</f>
        <v>42012</v>
      </c>
      <c r="C6" s="1">
        <f t="shared" si="8"/>
        <v>0.14444444444444443</v>
      </c>
      <c r="D6" s="1">
        <f t="shared" si="0"/>
        <v>0.18333333333333332</v>
      </c>
      <c r="E6" s="1">
        <f t="shared" si="0"/>
        <v>0.4</v>
      </c>
      <c r="F6" s="1">
        <f t="shared" si="0"/>
        <v>0.65555555555555556</v>
      </c>
      <c r="G6" s="1">
        <f t="shared" si="0"/>
        <v>0.69444444444444442</v>
      </c>
      <c r="H6" s="1">
        <f t="shared" si="0"/>
        <v>0.90833333333333333</v>
      </c>
      <c r="I6" s="1">
        <f t="shared" si="0"/>
        <v>0.90833333333333333</v>
      </c>
      <c r="J6" s="1">
        <f t="shared" si="0"/>
        <v>1.1611111111111112</v>
      </c>
      <c r="K6" s="1">
        <f t="shared" si="0"/>
        <v>1.2</v>
      </c>
      <c r="L6" s="1">
        <f t="shared" si="0"/>
        <v>1.4166666666666667</v>
      </c>
      <c r="M6" s="1">
        <f t="shared" si="0"/>
        <v>1.6722222222222223</v>
      </c>
      <c r="N6" s="1">
        <f t="shared" si="0"/>
        <v>1.6722222222222223</v>
      </c>
      <c r="O6" s="1">
        <f t="shared" si="0"/>
        <v>1.711111111111111</v>
      </c>
      <c r="P6" s="1">
        <f t="shared" si="0"/>
        <v>1.925</v>
      </c>
      <c r="Q6" s="1">
        <f t="shared" si="0"/>
        <v>2.213888888888889</v>
      </c>
      <c r="R6" s="1">
        <f t="shared" si="0"/>
        <v>2.4305555555555554</v>
      </c>
      <c r="S6" s="1">
        <f t="shared" si="0"/>
        <v>2.7250000000000001</v>
      </c>
      <c r="T6" s="1">
        <f t="shared" si="1"/>
        <v>2.9388888888888891</v>
      </c>
      <c r="U6" s="1">
        <f t="shared" si="1"/>
        <v>3.2277777777777779</v>
      </c>
      <c r="V6" s="1">
        <f t="shared" si="1"/>
        <v>3.4444444444444446</v>
      </c>
      <c r="W6" s="1">
        <f t="shared" si="1"/>
        <v>3.7388888888888889</v>
      </c>
      <c r="X6" s="1">
        <f t="shared" si="1"/>
        <v>3.9527777777777779</v>
      </c>
      <c r="Y6" s="1">
        <f t="shared" si="1"/>
        <v>4.2416666666666663</v>
      </c>
      <c r="Z6" s="1">
        <f t="shared" si="1"/>
        <v>4.458333333333333</v>
      </c>
      <c r="AA6" s="1">
        <f t="shared" si="1"/>
        <v>4.7527777777777782</v>
      </c>
      <c r="AB6" s="1">
        <f t="shared" si="1"/>
        <v>4.9666666666666668</v>
      </c>
      <c r="AC6" s="1">
        <f t="shared" si="1"/>
        <v>5.2583333333333337</v>
      </c>
      <c r="AD6" s="1">
        <f t="shared" si="1"/>
        <v>5.4749999999999996</v>
      </c>
      <c r="AE6" s="1">
        <f t="shared" si="1"/>
        <v>5.4749999999999996</v>
      </c>
      <c r="AF6" s="3">
        <f t="shared" si="1"/>
        <v>5.7694444444444448</v>
      </c>
      <c r="AG6" s="1">
        <f t="shared" si="1"/>
        <v>5.9833333333333334</v>
      </c>
      <c r="AH6" s="1">
        <f t="shared" si="1"/>
        <v>6.2722222222222221</v>
      </c>
      <c r="AI6" s="1">
        <f t="shared" si="1"/>
        <v>6.2722222222222221</v>
      </c>
      <c r="AJ6" s="1">
        <f t="shared" si="2"/>
        <v>6.4888888888888889</v>
      </c>
      <c r="AK6" s="1">
        <f t="shared" si="2"/>
        <v>6.4888888888888889</v>
      </c>
      <c r="AL6" s="1">
        <f t="shared" si="2"/>
        <v>6.9972222222222218</v>
      </c>
      <c r="AM6" s="1">
        <f t="shared" si="2"/>
        <v>7.5027777777777782</v>
      </c>
      <c r="AN6" s="1">
        <f t="shared" si="2"/>
        <v>7.5027777777777782</v>
      </c>
      <c r="AO6" s="1">
        <f t="shared" si="2"/>
        <v>8.0111111111111111</v>
      </c>
      <c r="AP6" s="1">
        <f t="shared" si="2"/>
        <v>8.5166666666666675</v>
      </c>
      <c r="AQ6" s="1">
        <f t="shared" si="2"/>
        <v>8.5166666666666675</v>
      </c>
      <c r="AR6" s="1">
        <f t="shared" si="2"/>
        <v>9.0250000000000004</v>
      </c>
      <c r="AS6" s="1">
        <f t="shared" si="2"/>
        <v>9.5333333333333332</v>
      </c>
      <c r="AT6" s="1">
        <f t="shared" si="2"/>
        <v>10.041666666666666</v>
      </c>
      <c r="AU6" s="1">
        <f t="shared" si="2"/>
        <v>10.547222222222222</v>
      </c>
      <c r="AV6" s="1">
        <f t="shared" si="2"/>
        <v>10.547222222222222</v>
      </c>
      <c r="AW6" s="1">
        <f t="shared" si="2"/>
        <v>15.113888888888889</v>
      </c>
      <c r="AX6" s="1">
        <f t="shared" si="2"/>
        <v>15.619444444444444</v>
      </c>
      <c r="AY6" s="1">
        <f t="shared" si="2"/>
        <v>16.127777777777776</v>
      </c>
      <c r="AZ6" s="1">
        <f t="shared" si="3"/>
        <v>16.633333333333333</v>
      </c>
      <c r="BA6" s="1">
        <f t="shared" si="3"/>
        <v>17.141666666666666</v>
      </c>
      <c r="BB6" s="1">
        <f t="shared" si="3"/>
        <v>17.649999999999999</v>
      </c>
      <c r="BC6" s="1">
        <f t="shared" si="3"/>
        <v>18.158333333333335</v>
      </c>
      <c r="BD6" s="1">
        <f t="shared" si="3"/>
        <v>18.663888888888888</v>
      </c>
      <c r="BE6" s="1">
        <f t="shared" si="3"/>
        <v>18.663888888888888</v>
      </c>
      <c r="BF6" s="1">
        <f t="shared" si="3"/>
        <v>27.288888888888888</v>
      </c>
      <c r="BG6" s="1">
        <f t="shared" si="3"/>
        <v>27.794444444444444</v>
      </c>
      <c r="BH6" s="1">
        <f t="shared" si="3"/>
        <v>28.302777777777777</v>
      </c>
      <c r="BI6" s="1">
        <f t="shared" si="3"/>
        <v>28.808333333333334</v>
      </c>
      <c r="BJ6" s="1">
        <f t="shared" si="3"/>
        <v>29.316666666666666</v>
      </c>
      <c r="BK6" s="1">
        <f t="shared" si="3"/>
        <v>29.824999999999999</v>
      </c>
      <c r="BL6" s="1">
        <f t="shared" si="3"/>
        <v>30.333333333333332</v>
      </c>
      <c r="BM6" s="1">
        <f t="shared" si="3"/>
        <v>30.838888888888889</v>
      </c>
      <c r="BN6" s="1">
        <f t="shared" si="3"/>
        <v>31.347222222222221</v>
      </c>
      <c r="BO6" s="1">
        <f t="shared" si="3"/>
        <v>31.347222222222221</v>
      </c>
      <c r="BP6" s="1">
        <f t="shared" si="4"/>
        <v>31.852777777777778</v>
      </c>
      <c r="BQ6" s="1">
        <f t="shared" si="4"/>
        <v>32.361111111111114</v>
      </c>
      <c r="BR6" s="1">
        <f t="shared" si="4"/>
        <v>32.866666666666667</v>
      </c>
      <c r="BS6" s="1">
        <f t="shared" si="4"/>
        <v>33.375</v>
      </c>
      <c r="BT6" s="1">
        <f t="shared" si="4"/>
        <v>33.883333333333333</v>
      </c>
      <c r="BU6" s="1">
        <f t="shared" si="4"/>
        <v>34.391666666666666</v>
      </c>
      <c r="BV6" s="1">
        <f t="shared" si="4"/>
        <v>34.391666666666666</v>
      </c>
      <c r="BW6" s="1">
        <f t="shared" si="4"/>
        <v>34.897222222222226</v>
      </c>
      <c r="BX6" s="1">
        <f t="shared" si="4"/>
        <v>35.405555555555559</v>
      </c>
      <c r="BY6" s="1">
        <f t="shared" si="4"/>
        <v>35.911111111111111</v>
      </c>
      <c r="BZ6" s="1">
        <f t="shared" si="4"/>
        <v>36.419444444444444</v>
      </c>
      <c r="CA6" s="1">
        <f t="shared" si="4"/>
        <v>36.924999999999997</v>
      </c>
      <c r="CB6" s="1">
        <f t="shared" si="4"/>
        <v>37.43333333333333</v>
      </c>
      <c r="CC6" s="1">
        <f t="shared" si="4"/>
        <v>37.94166666666667</v>
      </c>
      <c r="CD6" s="1">
        <f t="shared" si="4"/>
        <v>38.450000000000003</v>
      </c>
      <c r="CE6" s="1">
        <f t="shared" si="4"/>
        <v>38.955555555555556</v>
      </c>
      <c r="CF6" s="1">
        <f t="shared" si="5"/>
        <v>39.463888888888889</v>
      </c>
      <c r="CG6" s="1">
        <f t="shared" si="5"/>
        <v>39.969444444444441</v>
      </c>
      <c r="CH6" s="1">
        <f t="shared" si="5"/>
        <v>40.477777777777774</v>
      </c>
      <c r="CI6" s="1">
        <f t="shared" si="5"/>
        <v>40.983333333333334</v>
      </c>
      <c r="CJ6" s="1">
        <f t="shared" si="5"/>
        <v>41.491666666666667</v>
      </c>
      <c r="CK6" s="1">
        <f t="shared" si="5"/>
        <v>42</v>
      </c>
      <c r="CL6" s="1">
        <f t="shared" si="5"/>
        <v>42.508333333333333</v>
      </c>
      <c r="CM6" s="1">
        <f t="shared" si="5"/>
        <v>43.013888888888886</v>
      </c>
      <c r="CN6" s="1">
        <f t="shared" si="5"/>
        <v>43.522222222222226</v>
      </c>
      <c r="CO6" s="1">
        <f t="shared" si="5"/>
        <v>44.027777777777779</v>
      </c>
      <c r="CP6" s="1">
        <f t="shared" si="5"/>
        <v>44.536111111111111</v>
      </c>
      <c r="CQ6" s="1">
        <f t="shared" si="5"/>
        <v>45.041666666666664</v>
      </c>
      <c r="CR6" s="1">
        <f t="shared" si="5"/>
        <v>45.55</v>
      </c>
      <c r="CS6" s="1">
        <f t="shared" si="5"/>
        <v>46.05833333333333</v>
      </c>
      <c r="CT6" s="1">
        <f t="shared" si="5"/>
        <v>46.56666666666667</v>
      </c>
      <c r="CU6" s="1">
        <f t="shared" si="5"/>
        <v>47.072222222222223</v>
      </c>
      <c r="CV6" s="1">
        <f t="shared" si="6"/>
        <v>47.580555555555556</v>
      </c>
      <c r="CW6" s="1">
        <f t="shared" si="6"/>
        <v>48.086111111111109</v>
      </c>
      <c r="CX6" s="1">
        <f t="shared" si="6"/>
        <v>48.594444444444441</v>
      </c>
      <c r="CY6" s="1">
        <f t="shared" si="6"/>
        <v>49.1</v>
      </c>
      <c r="CZ6" s="1">
        <f t="shared" si="6"/>
        <v>49.608333333333334</v>
      </c>
      <c r="DA6" s="1">
        <f t="shared" si="6"/>
        <v>50.116666666666667</v>
      </c>
      <c r="DB6" s="1">
        <f t="shared" si="6"/>
        <v>50.625</v>
      </c>
      <c r="DC6" s="1">
        <f t="shared" si="6"/>
        <v>50.625</v>
      </c>
    </row>
    <row r="7" spans="1:107" x14ac:dyDescent="0.25">
      <c r="A7">
        <f t="shared" si="7"/>
        <v>6</v>
      </c>
      <c r="B7" s="2">
        <f>yields_BRUTE!B7</f>
        <v>42013</v>
      </c>
      <c r="C7" s="1">
        <f t="shared" si="8"/>
        <v>0.14166666666666666</v>
      </c>
      <c r="D7" s="1">
        <f t="shared" si="0"/>
        <v>0.18055555555555555</v>
      </c>
      <c r="E7" s="1">
        <f t="shared" si="0"/>
        <v>0.3972222222222222</v>
      </c>
      <c r="F7" s="1">
        <f t="shared" si="0"/>
        <v>0.65277777777777779</v>
      </c>
      <c r="G7" s="1">
        <f t="shared" si="0"/>
        <v>0.69166666666666665</v>
      </c>
      <c r="H7" s="1">
        <f t="shared" si="0"/>
        <v>0.90555555555555556</v>
      </c>
      <c r="I7" s="1">
        <f t="shared" si="0"/>
        <v>0.90555555555555556</v>
      </c>
      <c r="J7" s="1">
        <f t="shared" si="0"/>
        <v>1.1583333333333334</v>
      </c>
      <c r="K7" s="1">
        <f t="shared" si="0"/>
        <v>1.1972222222222222</v>
      </c>
      <c r="L7" s="1">
        <f t="shared" si="0"/>
        <v>1.413888888888889</v>
      </c>
      <c r="M7" s="1">
        <f t="shared" si="0"/>
        <v>1.6694444444444445</v>
      </c>
      <c r="N7" s="1">
        <f t="shared" si="0"/>
        <v>1.6694444444444445</v>
      </c>
      <c r="O7" s="1">
        <f t="shared" si="0"/>
        <v>1.7083333333333333</v>
      </c>
      <c r="P7" s="1">
        <f t="shared" si="0"/>
        <v>1.9222222222222223</v>
      </c>
      <c r="Q7" s="1">
        <f t="shared" si="0"/>
        <v>2.2111111111111112</v>
      </c>
      <c r="R7" s="1">
        <f t="shared" si="0"/>
        <v>2.4277777777777776</v>
      </c>
      <c r="S7" s="1">
        <f t="shared" si="0"/>
        <v>2.7222222222222223</v>
      </c>
      <c r="T7" s="1">
        <f t="shared" si="1"/>
        <v>2.9361111111111109</v>
      </c>
      <c r="U7" s="1">
        <f t="shared" si="1"/>
        <v>3.2250000000000001</v>
      </c>
      <c r="V7" s="1">
        <f t="shared" si="1"/>
        <v>3.4416666666666669</v>
      </c>
      <c r="W7" s="1">
        <f t="shared" si="1"/>
        <v>3.7361111111111112</v>
      </c>
      <c r="X7" s="1">
        <f t="shared" si="1"/>
        <v>3.95</v>
      </c>
      <c r="Y7" s="1">
        <f t="shared" si="1"/>
        <v>4.2388888888888889</v>
      </c>
      <c r="Z7" s="1">
        <f t="shared" si="1"/>
        <v>4.4555555555555557</v>
      </c>
      <c r="AA7" s="1">
        <f t="shared" si="1"/>
        <v>4.75</v>
      </c>
      <c r="AB7" s="1">
        <f t="shared" si="1"/>
        <v>4.9638888888888886</v>
      </c>
      <c r="AC7" s="1">
        <f t="shared" si="1"/>
        <v>5.2555555555555555</v>
      </c>
      <c r="AD7" s="1">
        <f t="shared" si="1"/>
        <v>5.4722222222222223</v>
      </c>
      <c r="AE7" s="1">
        <f t="shared" si="1"/>
        <v>5.4722222222222223</v>
      </c>
      <c r="AF7" s="3">
        <f t="shared" si="1"/>
        <v>5.7666666666666666</v>
      </c>
      <c r="AG7" s="1">
        <f t="shared" si="1"/>
        <v>5.9805555555555552</v>
      </c>
      <c r="AH7" s="1">
        <f t="shared" si="1"/>
        <v>6.2694444444444448</v>
      </c>
      <c r="AI7" s="1">
        <f t="shared" si="1"/>
        <v>6.2694444444444448</v>
      </c>
      <c r="AJ7" s="1">
        <f t="shared" si="2"/>
        <v>6.4861111111111107</v>
      </c>
      <c r="AK7" s="1">
        <f t="shared" si="2"/>
        <v>6.4861111111111107</v>
      </c>
      <c r="AL7" s="1">
        <f t="shared" si="2"/>
        <v>6.9944444444444445</v>
      </c>
      <c r="AM7" s="1">
        <f t="shared" si="2"/>
        <v>7.5</v>
      </c>
      <c r="AN7" s="1">
        <f t="shared" si="2"/>
        <v>7.5</v>
      </c>
      <c r="AO7" s="1">
        <f t="shared" si="2"/>
        <v>8.0083333333333329</v>
      </c>
      <c r="AP7" s="1">
        <f t="shared" si="2"/>
        <v>8.5138888888888893</v>
      </c>
      <c r="AQ7" s="1">
        <f t="shared" si="2"/>
        <v>8.5138888888888893</v>
      </c>
      <c r="AR7" s="1">
        <f t="shared" si="2"/>
        <v>9.0222222222222221</v>
      </c>
      <c r="AS7" s="1">
        <f t="shared" si="2"/>
        <v>9.530555555555555</v>
      </c>
      <c r="AT7" s="1">
        <f t="shared" si="2"/>
        <v>10.03888888888889</v>
      </c>
      <c r="AU7" s="1">
        <f t="shared" si="2"/>
        <v>10.544444444444444</v>
      </c>
      <c r="AV7" s="1">
        <f t="shared" si="2"/>
        <v>10.544444444444444</v>
      </c>
      <c r="AW7" s="1">
        <f t="shared" si="2"/>
        <v>15.111111111111111</v>
      </c>
      <c r="AX7" s="1">
        <f t="shared" si="2"/>
        <v>15.616666666666667</v>
      </c>
      <c r="AY7" s="1">
        <f t="shared" si="2"/>
        <v>16.125</v>
      </c>
      <c r="AZ7" s="1">
        <f t="shared" si="3"/>
        <v>16.630555555555556</v>
      </c>
      <c r="BA7" s="1">
        <f t="shared" si="3"/>
        <v>17.138888888888889</v>
      </c>
      <c r="BB7" s="1">
        <f t="shared" si="3"/>
        <v>17.647222222222222</v>
      </c>
      <c r="BC7" s="1">
        <f t="shared" si="3"/>
        <v>18.155555555555555</v>
      </c>
      <c r="BD7" s="1">
        <f t="shared" si="3"/>
        <v>18.661111111111111</v>
      </c>
      <c r="BE7" s="1">
        <f t="shared" si="3"/>
        <v>18.661111111111111</v>
      </c>
      <c r="BF7" s="1">
        <f t="shared" si="3"/>
        <v>27.286111111111111</v>
      </c>
      <c r="BG7" s="1">
        <f t="shared" si="3"/>
        <v>27.791666666666668</v>
      </c>
      <c r="BH7" s="1">
        <f t="shared" si="3"/>
        <v>28.3</v>
      </c>
      <c r="BI7" s="1">
        <f t="shared" si="3"/>
        <v>28.805555555555557</v>
      </c>
      <c r="BJ7" s="1">
        <f t="shared" si="3"/>
        <v>29.31388888888889</v>
      </c>
      <c r="BK7" s="1">
        <f t="shared" si="3"/>
        <v>29.822222222222223</v>
      </c>
      <c r="BL7" s="1">
        <f t="shared" si="3"/>
        <v>30.330555555555556</v>
      </c>
      <c r="BM7" s="1">
        <f t="shared" si="3"/>
        <v>30.836111111111112</v>
      </c>
      <c r="BN7" s="1">
        <f t="shared" si="3"/>
        <v>31.344444444444445</v>
      </c>
      <c r="BO7" s="1">
        <f t="shared" si="3"/>
        <v>31.344444444444445</v>
      </c>
      <c r="BP7" s="1">
        <f t="shared" si="4"/>
        <v>31.85</v>
      </c>
      <c r="BQ7" s="1">
        <f t="shared" si="4"/>
        <v>32.358333333333334</v>
      </c>
      <c r="BR7" s="1">
        <f t="shared" si="4"/>
        <v>32.863888888888887</v>
      </c>
      <c r="BS7" s="1">
        <f t="shared" si="4"/>
        <v>33.37222222222222</v>
      </c>
      <c r="BT7" s="1">
        <f t="shared" si="4"/>
        <v>33.880555555555553</v>
      </c>
      <c r="BU7" s="1">
        <f t="shared" si="4"/>
        <v>34.388888888888886</v>
      </c>
      <c r="BV7" s="1">
        <f t="shared" si="4"/>
        <v>34.388888888888886</v>
      </c>
      <c r="BW7" s="1">
        <f t="shared" si="4"/>
        <v>34.894444444444446</v>
      </c>
      <c r="BX7" s="1">
        <f t="shared" si="4"/>
        <v>35.402777777777779</v>
      </c>
      <c r="BY7" s="1">
        <f t="shared" si="4"/>
        <v>35.908333333333331</v>
      </c>
      <c r="BZ7" s="1">
        <f t="shared" si="4"/>
        <v>36.416666666666664</v>
      </c>
      <c r="CA7" s="1">
        <f t="shared" si="4"/>
        <v>36.922222222222224</v>
      </c>
      <c r="CB7" s="1">
        <f t="shared" si="4"/>
        <v>37.430555555555557</v>
      </c>
      <c r="CC7" s="1">
        <f t="shared" si="4"/>
        <v>37.93888888888889</v>
      </c>
      <c r="CD7" s="1">
        <f t="shared" si="4"/>
        <v>38.447222222222223</v>
      </c>
      <c r="CE7" s="1">
        <f t="shared" si="4"/>
        <v>38.952777777777776</v>
      </c>
      <c r="CF7" s="1">
        <f t="shared" si="5"/>
        <v>39.461111111111109</v>
      </c>
      <c r="CG7" s="1">
        <f t="shared" si="5"/>
        <v>39.966666666666669</v>
      </c>
      <c r="CH7" s="1">
        <f t="shared" si="5"/>
        <v>40.475000000000001</v>
      </c>
      <c r="CI7" s="1">
        <f t="shared" si="5"/>
        <v>40.980555555555554</v>
      </c>
      <c r="CJ7" s="1">
        <f t="shared" si="5"/>
        <v>41.488888888888887</v>
      </c>
      <c r="CK7" s="1">
        <f t="shared" si="5"/>
        <v>41.99722222222222</v>
      </c>
      <c r="CL7" s="1">
        <f t="shared" si="5"/>
        <v>42.505555555555553</v>
      </c>
      <c r="CM7" s="1">
        <f t="shared" si="5"/>
        <v>43.011111111111113</v>
      </c>
      <c r="CN7" s="1">
        <f t="shared" si="5"/>
        <v>43.519444444444446</v>
      </c>
      <c r="CO7" s="1">
        <f t="shared" si="5"/>
        <v>44.024999999999999</v>
      </c>
      <c r="CP7" s="1">
        <f t="shared" si="5"/>
        <v>44.533333333333331</v>
      </c>
      <c r="CQ7" s="1">
        <f t="shared" si="5"/>
        <v>45.038888888888891</v>
      </c>
      <c r="CR7" s="1">
        <f t="shared" si="5"/>
        <v>45.547222222222224</v>
      </c>
      <c r="CS7" s="1">
        <f t="shared" si="5"/>
        <v>46.055555555555557</v>
      </c>
      <c r="CT7" s="1">
        <f t="shared" si="5"/>
        <v>46.56388888888889</v>
      </c>
      <c r="CU7" s="1">
        <f t="shared" si="5"/>
        <v>47.069444444444443</v>
      </c>
      <c r="CV7" s="1">
        <f t="shared" si="6"/>
        <v>47.577777777777776</v>
      </c>
      <c r="CW7" s="1">
        <f t="shared" si="6"/>
        <v>48.083333333333336</v>
      </c>
      <c r="CX7" s="1">
        <f t="shared" si="6"/>
        <v>48.591666666666669</v>
      </c>
      <c r="CY7" s="1">
        <f t="shared" si="6"/>
        <v>49.097222222222221</v>
      </c>
      <c r="CZ7" s="1">
        <f t="shared" si="6"/>
        <v>49.605555555555554</v>
      </c>
      <c r="DA7" s="1">
        <f t="shared" si="6"/>
        <v>50.113888888888887</v>
      </c>
      <c r="DB7" s="1">
        <f t="shared" si="6"/>
        <v>50.62222222222222</v>
      </c>
      <c r="DC7" s="1">
        <f t="shared" si="6"/>
        <v>50.62222222222222</v>
      </c>
    </row>
    <row r="8" spans="1:107" x14ac:dyDescent="0.25">
      <c r="A8">
        <f t="shared" si="7"/>
        <v>2</v>
      </c>
      <c r="B8" s="2">
        <f>yields_BRUTE!B8</f>
        <v>42016</v>
      </c>
      <c r="C8" s="1">
        <f t="shared" si="8"/>
        <v>0.13333333333333333</v>
      </c>
      <c r="D8" s="1">
        <f t="shared" si="0"/>
        <v>0.17222222222222222</v>
      </c>
      <c r="E8" s="1">
        <f t="shared" si="0"/>
        <v>0.3888888888888889</v>
      </c>
      <c r="F8" s="1">
        <f t="shared" si="0"/>
        <v>0.64444444444444449</v>
      </c>
      <c r="G8" s="1">
        <f t="shared" si="0"/>
        <v>0.68333333333333335</v>
      </c>
      <c r="H8" s="1">
        <f t="shared" si="0"/>
        <v>0.89722222222222225</v>
      </c>
      <c r="I8" s="1">
        <f t="shared" si="0"/>
        <v>0.89722222222222225</v>
      </c>
      <c r="J8" s="1">
        <f t="shared" si="0"/>
        <v>1.1499999999999999</v>
      </c>
      <c r="K8" s="1">
        <f t="shared" si="0"/>
        <v>1.1888888888888889</v>
      </c>
      <c r="L8" s="1">
        <f t="shared" si="0"/>
        <v>1.4055555555555554</v>
      </c>
      <c r="M8" s="1">
        <f t="shared" si="0"/>
        <v>1.6611111111111112</v>
      </c>
      <c r="N8" s="1">
        <f t="shared" si="0"/>
        <v>1.6611111111111112</v>
      </c>
      <c r="O8" s="1">
        <f t="shared" si="0"/>
        <v>1.7</v>
      </c>
      <c r="P8" s="1">
        <f t="shared" si="0"/>
        <v>1.913888888888889</v>
      </c>
      <c r="Q8" s="1">
        <f t="shared" si="0"/>
        <v>2.2027777777777779</v>
      </c>
      <c r="R8" s="1">
        <f t="shared" si="0"/>
        <v>2.4194444444444443</v>
      </c>
      <c r="S8" s="1">
        <f t="shared" si="0"/>
        <v>2.713888888888889</v>
      </c>
      <c r="T8" s="1">
        <f t="shared" si="1"/>
        <v>2.9277777777777776</v>
      </c>
      <c r="U8" s="1">
        <f t="shared" si="1"/>
        <v>3.2166666666666668</v>
      </c>
      <c r="V8" s="1">
        <f t="shared" si="1"/>
        <v>3.4333333333333331</v>
      </c>
      <c r="W8" s="1">
        <f t="shared" si="1"/>
        <v>3.7277777777777779</v>
      </c>
      <c r="X8" s="1">
        <f t="shared" si="1"/>
        <v>3.9416666666666669</v>
      </c>
      <c r="Y8" s="1">
        <f t="shared" si="1"/>
        <v>4.2305555555555552</v>
      </c>
      <c r="Z8" s="1">
        <f t="shared" si="1"/>
        <v>4.447222222222222</v>
      </c>
      <c r="AA8" s="1">
        <f t="shared" si="1"/>
        <v>4.7416666666666663</v>
      </c>
      <c r="AB8" s="1">
        <f t="shared" si="1"/>
        <v>4.9555555555555557</v>
      </c>
      <c r="AC8" s="1">
        <f t="shared" si="1"/>
        <v>5.2472222222222218</v>
      </c>
      <c r="AD8" s="1">
        <f t="shared" si="1"/>
        <v>5.4638888888888886</v>
      </c>
      <c r="AE8" s="1">
        <f t="shared" si="1"/>
        <v>5.4638888888888886</v>
      </c>
      <c r="AF8" s="3">
        <f t="shared" si="1"/>
        <v>5.7583333333333337</v>
      </c>
      <c r="AG8" s="1">
        <f t="shared" si="1"/>
        <v>5.9722222222222223</v>
      </c>
      <c r="AH8" s="1">
        <f t="shared" si="1"/>
        <v>6.2611111111111111</v>
      </c>
      <c r="AI8" s="1">
        <f t="shared" si="1"/>
        <v>6.2611111111111111</v>
      </c>
      <c r="AJ8" s="1">
        <f t="shared" si="2"/>
        <v>6.4777777777777779</v>
      </c>
      <c r="AK8" s="1">
        <f t="shared" si="2"/>
        <v>6.4777777777777779</v>
      </c>
      <c r="AL8" s="1">
        <f t="shared" si="2"/>
        <v>6.9861111111111107</v>
      </c>
      <c r="AM8" s="1">
        <f t="shared" si="2"/>
        <v>7.4916666666666663</v>
      </c>
      <c r="AN8" s="1">
        <f t="shared" si="2"/>
        <v>7.4916666666666663</v>
      </c>
      <c r="AO8" s="1">
        <f t="shared" si="2"/>
        <v>8</v>
      </c>
      <c r="AP8" s="1">
        <f t="shared" si="2"/>
        <v>8.5055555555555564</v>
      </c>
      <c r="AQ8" s="1">
        <f t="shared" si="2"/>
        <v>8.5055555555555564</v>
      </c>
      <c r="AR8" s="1">
        <f t="shared" si="2"/>
        <v>9.0138888888888893</v>
      </c>
      <c r="AS8" s="1">
        <f t="shared" si="2"/>
        <v>9.5222222222222221</v>
      </c>
      <c r="AT8" s="1">
        <f t="shared" si="2"/>
        <v>10.030555555555555</v>
      </c>
      <c r="AU8" s="1">
        <f t="shared" si="2"/>
        <v>10.536111111111111</v>
      </c>
      <c r="AV8" s="1">
        <f t="shared" si="2"/>
        <v>10.536111111111111</v>
      </c>
      <c r="AW8" s="1">
        <f t="shared" si="2"/>
        <v>15.102777777777778</v>
      </c>
      <c r="AX8" s="1">
        <f t="shared" si="2"/>
        <v>15.608333333333333</v>
      </c>
      <c r="AY8" s="1">
        <f t="shared" si="2"/>
        <v>16.116666666666667</v>
      </c>
      <c r="AZ8" s="1">
        <f t="shared" si="3"/>
        <v>16.622222222222224</v>
      </c>
      <c r="BA8" s="1">
        <f t="shared" si="3"/>
        <v>17.130555555555556</v>
      </c>
      <c r="BB8" s="1">
        <f t="shared" si="3"/>
        <v>17.638888888888889</v>
      </c>
      <c r="BC8" s="1">
        <f t="shared" si="3"/>
        <v>18.147222222222222</v>
      </c>
      <c r="BD8" s="1">
        <f t="shared" si="3"/>
        <v>18.652777777777779</v>
      </c>
      <c r="BE8" s="1">
        <f t="shared" si="3"/>
        <v>18.652777777777779</v>
      </c>
      <c r="BF8" s="1">
        <f t="shared" si="3"/>
        <v>27.277777777777779</v>
      </c>
      <c r="BG8" s="1">
        <f t="shared" si="3"/>
        <v>27.783333333333335</v>
      </c>
      <c r="BH8" s="1">
        <f t="shared" si="3"/>
        <v>28.291666666666668</v>
      </c>
      <c r="BI8" s="1">
        <f t="shared" si="3"/>
        <v>28.797222222222221</v>
      </c>
      <c r="BJ8" s="1">
        <f t="shared" si="3"/>
        <v>29.305555555555557</v>
      </c>
      <c r="BK8" s="1">
        <f t="shared" si="3"/>
        <v>29.81388888888889</v>
      </c>
      <c r="BL8" s="1">
        <f t="shared" si="3"/>
        <v>30.322222222222223</v>
      </c>
      <c r="BM8" s="1">
        <f t="shared" si="3"/>
        <v>30.827777777777779</v>
      </c>
      <c r="BN8" s="1">
        <f t="shared" si="3"/>
        <v>31.336111111111112</v>
      </c>
      <c r="BO8" s="1">
        <f t="shared" si="3"/>
        <v>31.336111111111112</v>
      </c>
      <c r="BP8" s="1">
        <f t="shared" si="4"/>
        <v>31.841666666666665</v>
      </c>
      <c r="BQ8" s="1">
        <f t="shared" si="4"/>
        <v>32.35</v>
      </c>
      <c r="BR8" s="1">
        <f t="shared" si="4"/>
        <v>32.855555555555554</v>
      </c>
      <c r="BS8" s="1">
        <f t="shared" si="4"/>
        <v>33.363888888888887</v>
      </c>
      <c r="BT8" s="1">
        <f t="shared" si="4"/>
        <v>33.87222222222222</v>
      </c>
      <c r="BU8" s="1">
        <f t="shared" si="4"/>
        <v>34.380555555555553</v>
      </c>
      <c r="BV8" s="1">
        <f t="shared" si="4"/>
        <v>34.380555555555553</v>
      </c>
      <c r="BW8" s="1">
        <f t="shared" si="4"/>
        <v>34.886111111111113</v>
      </c>
      <c r="BX8" s="1">
        <f t="shared" si="4"/>
        <v>35.394444444444446</v>
      </c>
      <c r="BY8" s="1">
        <f t="shared" si="4"/>
        <v>35.9</v>
      </c>
      <c r="BZ8" s="1">
        <f t="shared" si="4"/>
        <v>36.408333333333331</v>
      </c>
      <c r="CA8" s="1">
        <f t="shared" si="4"/>
        <v>36.913888888888891</v>
      </c>
      <c r="CB8" s="1">
        <f t="shared" si="4"/>
        <v>37.422222222222224</v>
      </c>
      <c r="CC8" s="1">
        <f t="shared" si="4"/>
        <v>37.930555555555557</v>
      </c>
      <c r="CD8" s="1">
        <f t="shared" si="4"/>
        <v>38.43888888888889</v>
      </c>
      <c r="CE8" s="1">
        <f t="shared" si="4"/>
        <v>38.944444444444443</v>
      </c>
      <c r="CF8" s="1">
        <f t="shared" si="5"/>
        <v>39.452777777777776</v>
      </c>
      <c r="CG8" s="1">
        <f t="shared" si="5"/>
        <v>39.958333333333336</v>
      </c>
      <c r="CH8" s="1">
        <f t="shared" si="5"/>
        <v>40.466666666666669</v>
      </c>
      <c r="CI8" s="1">
        <f t="shared" si="5"/>
        <v>40.972222222222221</v>
      </c>
      <c r="CJ8" s="1">
        <f t="shared" si="5"/>
        <v>41.480555555555554</v>
      </c>
      <c r="CK8" s="1">
        <f t="shared" si="5"/>
        <v>41.988888888888887</v>
      </c>
      <c r="CL8" s="1">
        <f t="shared" si="5"/>
        <v>42.49722222222222</v>
      </c>
      <c r="CM8" s="1">
        <f t="shared" si="5"/>
        <v>43.00277777777778</v>
      </c>
      <c r="CN8" s="1">
        <f t="shared" si="5"/>
        <v>43.511111111111113</v>
      </c>
      <c r="CO8" s="1">
        <f t="shared" si="5"/>
        <v>44.016666666666666</v>
      </c>
      <c r="CP8" s="1">
        <f t="shared" si="5"/>
        <v>44.524999999999999</v>
      </c>
      <c r="CQ8" s="1">
        <f t="shared" si="5"/>
        <v>45.030555555555559</v>
      </c>
      <c r="CR8" s="1">
        <f t="shared" si="5"/>
        <v>45.538888888888891</v>
      </c>
      <c r="CS8" s="1">
        <f t="shared" si="5"/>
        <v>46.047222222222224</v>
      </c>
      <c r="CT8" s="1">
        <f t="shared" si="5"/>
        <v>46.555555555555557</v>
      </c>
      <c r="CU8" s="1">
        <f t="shared" si="5"/>
        <v>47.06111111111111</v>
      </c>
      <c r="CV8" s="1">
        <f t="shared" si="6"/>
        <v>47.569444444444443</v>
      </c>
      <c r="CW8" s="1">
        <f t="shared" si="6"/>
        <v>48.075000000000003</v>
      </c>
      <c r="CX8" s="1">
        <f t="shared" si="6"/>
        <v>48.583333333333336</v>
      </c>
      <c r="CY8" s="1">
        <f t="shared" si="6"/>
        <v>49.088888888888889</v>
      </c>
      <c r="CZ8" s="1">
        <f t="shared" si="6"/>
        <v>49.597222222222221</v>
      </c>
      <c r="DA8" s="1">
        <f t="shared" si="6"/>
        <v>50.105555555555554</v>
      </c>
      <c r="DB8" s="1">
        <f t="shared" si="6"/>
        <v>50.613888888888887</v>
      </c>
      <c r="DC8" s="1">
        <f t="shared" si="6"/>
        <v>50.613888888888887</v>
      </c>
    </row>
    <row r="9" spans="1:107" x14ac:dyDescent="0.25">
      <c r="A9">
        <f t="shared" si="7"/>
        <v>3</v>
      </c>
      <c r="B9" s="2">
        <f>yields_BRUTE!B9</f>
        <v>42017</v>
      </c>
      <c r="C9" s="1">
        <f t="shared" si="8"/>
        <v>0.13055555555555556</v>
      </c>
      <c r="D9" s="1">
        <f t="shared" si="0"/>
        <v>0.16944444444444445</v>
      </c>
      <c r="E9" s="1">
        <f t="shared" si="0"/>
        <v>0.38611111111111113</v>
      </c>
      <c r="F9" s="1">
        <f t="shared" si="0"/>
        <v>0.64166666666666672</v>
      </c>
      <c r="G9" s="1">
        <f t="shared" si="0"/>
        <v>0.68055555555555558</v>
      </c>
      <c r="H9" s="1">
        <f t="shared" si="0"/>
        <v>0.89444444444444449</v>
      </c>
      <c r="I9" s="1">
        <f t="shared" si="0"/>
        <v>0.89444444444444449</v>
      </c>
      <c r="J9" s="1">
        <f t="shared" si="0"/>
        <v>1.1472222222222221</v>
      </c>
      <c r="K9" s="1">
        <f t="shared" si="0"/>
        <v>1.1861111111111111</v>
      </c>
      <c r="L9" s="1">
        <f t="shared" si="0"/>
        <v>1.4027777777777777</v>
      </c>
      <c r="M9" s="1">
        <f t="shared" si="0"/>
        <v>1.6583333333333334</v>
      </c>
      <c r="N9" s="1">
        <f t="shared" si="0"/>
        <v>1.6583333333333334</v>
      </c>
      <c r="O9" s="1">
        <f t="shared" si="0"/>
        <v>1.6972222222222222</v>
      </c>
      <c r="P9" s="1">
        <f t="shared" si="0"/>
        <v>1.9111111111111112</v>
      </c>
      <c r="Q9" s="1">
        <f t="shared" si="0"/>
        <v>2.2000000000000002</v>
      </c>
      <c r="R9" s="1">
        <f t="shared" si="0"/>
        <v>2.4166666666666665</v>
      </c>
      <c r="S9" s="1">
        <f t="shared" si="0"/>
        <v>2.7111111111111112</v>
      </c>
      <c r="T9" s="1">
        <f t="shared" si="1"/>
        <v>2.9249999999999998</v>
      </c>
      <c r="U9" s="1">
        <f t="shared" si="1"/>
        <v>3.213888888888889</v>
      </c>
      <c r="V9" s="1">
        <f t="shared" si="1"/>
        <v>3.4305555555555554</v>
      </c>
      <c r="W9" s="1">
        <f t="shared" si="1"/>
        <v>3.7250000000000001</v>
      </c>
      <c r="X9" s="1">
        <f t="shared" si="1"/>
        <v>3.9388888888888891</v>
      </c>
      <c r="Y9" s="1">
        <f t="shared" si="1"/>
        <v>4.2277777777777779</v>
      </c>
      <c r="Z9" s="1">
        <f t="shared" si="1"/>
        <v>4.4444444444444446</v>
      </c>
      <c r="AA9" s="1">
        <f t="shared" si="1"/>
        <v>4.7388888888888889</v>
      </c>
      <c r="AB9" s="1">
        <f t="shared" si="1"/>
        <v>4.9527777777777775</v>
      </c>
      <c r="AC9" s="1">
        <f t="shared" si="1"/>
        <v>5.2444444444444445</v>
      </c>
      <c r="AD9" s="1">
        <f t="shared" si="1"/>
        <v>5.4611111111111112</v>
      </c>
      <c r="AE9" s="1">
        <f t="shared" si="1"/>
        <v>5.4611111111111112</v>
      </c>
      <c r="AF9" s="3">
        <f t="shared" si="1"/>
        <v>5.7555555555555555</v>
      </c>
      <c r="AG9" s="1">
        <f t="shared" si="1"/>
        <v>5.9694444444444441</v>
      </c>
      <c r="AH9" s="1">
        <f t="shared" si="1"/>
        <v>6.2583333333333337</v>
      </c>
      <c r="AI9" s="1">
        <f t="shared" si="1"/>
        <v>6.2583333333333337</v>
      </c>
      <c r="AJ9" s="1">
        <f t="shared" si="2"/>
        <v>6.4749999999999996</v>
      </c>
      <c r="AK9" s="1">
        <f t="shared" si="2"/>
        <v>6.4749999999999996</v>
      </c>
      <c r="AL9" s="1">
        <f t="shared" si="2"/>
        <v>6.9833333333333334</v>
      </c>
      <c r="AM9" s="1">
        <f t="shared" si="2"/>
        <v>7.4888888888888889</v>
      </c>
      <c r="AN9" s="1">
        <f t="shared" si="2"/>
        <v>7.4888888888888889</v>
      </c>
      <c r="AO9" s="1">
        <f t="shared" si="2"/>
        <v>7.9972222222222218</v>
      </c>
      <c r="AP9" s="1">
        <f t="shared" si="2"/>
        <v>8.5027777777777782</v>
      </c>
      <c r="AQ9" s="1">
        <f t="shared" si="2"/>
        <v>8.5027777777777782</v>
      </c>
      <c r="AR9" s="1">
        <f t="shared" si="2"/>
        <v>9.0111111111111111</v>
      </c>
      <c r="AS9" s="1">
        <f t="shared" si="2"/>
        <v>9.5194444444444439</v>
      </c>
      <c r="AT9" s="1">
        <f t="shared" si="2"/>
        <v>10.027777777777779</v>
      </c>
      <c r="AU9" s="1">
        <f t="shared" si="2"/>
        <v>10.533333333333333</v>
      </c>
      <c r="AV9" s="1">
        <f t="shared" si="2"/>
        <v>10.533333333333333</v>
      </c>
      <c r="AW9" s="1">
        <f t="shared" si="2"/>
        <v>15.1</v>
      </c>
      <c r="AX9" s="1">
        <f t="shared" si="2"/>
        <v>15.605555555555556</v>
      </c>
      <c r="AY9" s="1">
        <f t="shared" si="2"/>
        <v>16.113888888888887</v>
      </c>
      <c r="AZ9" s="1">
        <f t="shared" si="3"/>
        <v>16.619444444444444</v>
      </c>
      <c r="BA9" s="1">
        <f t="shared" si="3"/>
        <v>17.127777777777776</v>
      </c>
      <c r="BB9" s="1">
        <f t="shared" si="3"/>
        <v>17.636111111111113</v>
      </c>
      <c r="BC9" s="1">
        <f t="shared" si="3"/>
        <v>18.144444444444446</v>
      </c>
      <c r="BD9" s="1">
        <f t="shared" si="3"/>
        <v>18.649999999999999</v>
      </c>
      <c r="BE9" s="1">
        <f t="shared" si="3"/>
        <v>18.649999999999999</v>
      </c>
      <c r="BF9" s="1">
        <f t="shared" si="3"/>
        <v>27.274999999999999</v>
      </c>
      <c r="BG9" s="1">
        <f t="shared" si="3"/>
        <v>27.780555555555555</v>
      </c>
      <c r="BH9" s="1">
        <f t="shared" si="3"/>
        <v>28.288888888888888</v>
      </c>
      <c r="BI9" s="1">
        <f t="shared" si="3"/>
        <v>28.794444444444444</v>
      </c>
      <c r="BJ9" s="1">
        <f t="shared" si="3"/>
        <v>29.302777777777777</v>
      </c>
      <c r="BK9" s="1">
        <f t="shared" si="3"/>
        <v>29.81111111111111</v>
      </c>
      <c r="BL9" s="1">
        <f t="shared" si="3"/>
        <v>30.319444444444443</v>
      </c>
      <c r="BM9" s="1">
        <f t="shared" si="3"/>
        <v>30.824999999999999</v>
      </c>
      <c r="BN9" s="1">
        <f t="shared" si="3"/>
        <v>31.333333333333332</v>
      </c>
      <c r="BO9" s="1">
        <f t="shared" si="3"/>
        <v>31.333333333333332</v>
      </c>
      <c r="BP9" s="1">
        <f t="shared" si="4"/>
        <v>31.838888888888889</v>
      </c>
      <c r="BQ9" s="1">
        <f t="shared" si="4"/>
        <v>32.347222222222221</v>
      </c>
      <c r="BR9" s="1">
        <f t="shared" si="4"/>
        <v>32.852777777777774</v>
      </c>
      <c r="BS9" s="1">
        <f t="shared" si="4"/>
        <v>33.361111111111114</v>
      </c>
      <c r="BT9" s="1">
        <f t="shared" si="4"/>
        <v>33.869444444444447</v>
      </c>
      <c r="BU9" s="1">
        <f t="shared" si="4"/>
        <v>34.37777777777778</v>
      </c>
      <c r="BV9" s="1">
        <f t="shared" si="4"/>
        <v>34.37777777777778</v>
      </c>
      <c r="BW9" s="1">
        <f t="shared" si="4"/>
        <v>34.883333333333333</v>
      </c>
      <c r="BX9" s="1">
        <f t="shared" si="4"/>
        <v>35.391666666666666</v>
      </c>
      <c r="BY9" s="1">
        <f t="shared" si="4"/>
        <v>35.897222222222226</v>
      </c>
      <c r="BZ9" s="1">
        <f t="shared" si="4"/>
        <v>36.405555555555559</v>
      </c>
      <c r="CA9" s="1">
        <f t="shared" si="4"/>
        <v>36.911111111111111</v>
      </c>
      <c r="CB9" s="1">
        <f t="shared" si="4"/>
        <v>37.419444444444444</v>
      </c>
      <c r="CC9" s="1">
        <f t="shared" si="4"/>
        <v>37.927777777777777</v>
      </c>
      <c r="CD9" s="1">
        <f t="shared" si="4"/>
        <v>38.43611111111111</v>
      </c>
      <c r="CE9" s="1">
        <f t="shared" si="4"/>
        <v>38.94166666666667</v>
      </c>
      <c r="CF9" s="1">
        <f t="shared" si="5"/>
        <v>39.450000000000003</v>
      </c>
      <c r="CG9" s="1">
        <f t="shared" si="5"/>
        <v>39.955555555555556</v>
      </c>
      <c r="CH9" s="1">
        <f t="shared" si="5"/>
        <v>40.463888888888889</v>
      </c>
      <c r="CI9" s="1">
        <f t="shared" si="5"/>
        <v>40.969444444444441</v>
      </c>
      <c r="CJ9" s="1">
        <f t="shared" si="5"/>
        <v>41.477777777777774</v>
      </c>
      <c r="CK9" s="1">
        <f t="shared" si="5"/>
        <v>41.986111111111114</v>
      </c>
      <c r="CL9" s="1">
        <f t="shared" si="5"/>
        <v>42.494444444444447</v>
      </c>
      <c r="CM9" s="1">
        <f t="shared" si="5"/>
        <v>43</v>
      </c>
      <c r="CN9" s="1">
        <f t="shared" si="5"/>
        <v>43.508333333333333</v>
      </c>
      <c r="CO9" s="1">
        <f t="shared" si="5"/>
        <v>44.013888888888886</v>
      </c>
      <c r="CP9" s="1">
        <f t="shared" si="5"/>
        <v>44.522222222222226</v>
      </c>
      <c r="CQ9" s="1">
        <f t="shared" si="5"/>
        <v>45.027777777777779</v>
      </c>
      <c r="CR9" s="1">
        <f t="shared" si="5"/>
        <v>45.536111111111111</v>
      </c>
      <c r="CS9" s="1">
        <f t="shared" si="5"/>
        <v>46.044444444444444</v>
      </c>
      <c r="CT9" s="1">
        <f t="shared" si="5"/>
        <v>46.552777777777777</v>
      </c>
      <c r="CU9" s="1">
        <f t="shared" si="5"/>
        <v>47.05833333333333</v>
      </c>
      <c r="CV9" s="1">
        <f t="shared" si="6"/>
        <v>47.56666666666667</v>
      </c>
      <c r="CW9" s="1">
        <f t="shared" si="6"/>
        <v>48.072222222222223</v>
      </c>
      <c r="CX9" s="1">
        <f t="shared" si="6"/>
        <v>48.580555555555556</v>
      </c>
      <c r="CY9" s="1">
        <f t="shared" si="6"/>
        <v>49.086111111111109</v>
      </c>
      <c r="CZ9" s="1">
        <f t="shared" si="6"/>
        <v>49.594444444444441</v>
      </c>
      <c r="DA9" s="1">
        <f t="shared" si="6"/>
        <v>50.102777777777774</v>
      </c>
      <c r="DB9" s="1">
        <f t="shared" si="6"/>
        <v>50.611111111111114</v>
      </c>
      <c r="DC9" s="1">
        <f t="shared" si="6"/>
        <v>50.611111111111114</v>
      </c>
    </row>
    <row r="10" spans="1:107" x14ac:dyDescent="0.25">
      <c r="A10">
        <f t="shared" si="7"/>
        <v>4</v>
      </c>
      <c r="B10" s="2">
        <f>yields_BRUTE!B10</f>
        <v>42018</v>
      </c>
      <c r="C10" s="1">
        <f t="shared" si="8"/>
        <v>0.12777777777777777</v>
      </c>
      <c r="D10" s="1">
        <f t="shared" si="0"/>
        <v>0.16666666666666666</v>
      </c>
      <c r="E10" s="1">
        <f t="shared" si="0"/>
        <v>0.38333333333333336</v>
      </c>
      <c r="F10" s="1">
        <f t="shared" si="0"/>
        <v>0.63888888888888884</v>
      </c>
      <c r="G10" s="1">
        <f t="shared" si="0"/>
        <v>0.67777777777777781</v>
      </c>
      <c r="H10" s="1">
        <f t="shared" si="0"/>
        <v>0.89166666666666672</v>
      </c>
      <c r="I10" s="1">
        <f t="shared" si="0"/>
        <v>0.89166666666666672</v>
      </c>
      <c r="J10" s="1">
        <f t="shared" si="0"/>
        <v>1.1444444444444444</v>
      </c>
      <c r="K10" s="1">
        <f t="shared" si="0"/>
        <v>1.1833333333333333</v>
      </c>
      <c r="L10" s="1">
        <f t="shared" si="0"/>
        <v>1.4</v>
      </c>
      <c r="M10" s="1">
        <f t="shared" si="0"/>
        <v>1.6555555555555554</v>
      </c>
      <c r="N10" s="1">
        <f t="shared" si="0"/>
        <v>1.6555555555555554</v>
      </c>
      <c r="O10" s="1">
        <f t="shared" si="0"/>
        <v>1.6944444444444444</v>
      </c>
      <c r="P10" s="1">
        <f t="shared" si="0"/>
        <v>1.9083333333333334</v>
      </c>
      <c r="Q10" s="1">
        <f t="shared" si="0"/>
        <v>2.1972222222222224</v>
      </c>
      <c r="R10" s="1">
        <f t="shared" si="0"/>
        <v>2.4138888888888888</v>
      </c>
      <c r="S10" s="1">
        <f t="shared" si="0"/>
        <v>2.7083333333333335</v>
      </c>
      <c r="T10" s="1">
        <f t="shared" si="1"/>
        <v>2.9222222222222221</v>
      </c>
      <c r="U10" s="1">
        <f t="shared" si="1"/>
        <v>3.2111111111111112</v>
      </c>
      <c r="V10" s="1">
        <f t="shared" si="1"/>
        <v>3.4277777777777776</v>
      </c>
      <c r="W10" s="1">
        <f t="shared" si="1"/>
        <v>3.7222222222222223</v>
      </c>
      <c r="X10" s="1">
        <f t="shared" si="1"/>
        <v>3.9361111111111109</v>
      </c>
      <c r="Y10" s="1">
        <f t="shared" si="1"/>
        <v>4.2249999999999996</v>
      </c>
      <c r="Z10" s="1">
        <f t="shared" si="1"/>
        <v>4.4416666666666664</v>
      </c>
      <c r="AA10" s="1">
        <f t="shared" si="1"/>
        <v>4.7361111111111107</v>
      </c>
      <c r="AB10" s="1">
        <f t="shared" si="1"/>
        <v>4.95</v>
      </c>
      <c r="AC10" s="1">
        <f t="shared" si="1"/>
        <v>5.2416666666666663</v>
      </c>
      <c r="AD10" s="1">
        <f t="shared" si="1"/>
        <v>5.458333333333333</v>
      </c>
      <c r="AE10" s="1">
        <f t="shared" si="1"/>
        <v>5.458333333333333</v>
      </c>
      <c r="AF10" s="3">
        <f t="shared" si="1"/>
        <v>5.7527777777777782</v>
      </c>
      <c r="AG10" s="1">
        <f t="shared" si="1"/>
        <v>5.9666666666666668</v>
      </c>
      <c r="AH10" s="1">
        <f t="shared" si="1"/>
        <v>6.2555555555555555</v>
      </c>
      <c r="AI10" s="1">
        <f t="shared" si="1"/>
        <v>6.2555555555555555</v>
      </c>
      <c r="AJ10" s="1">
        <f t="shared" si="2"/>
        <v>6.4722222222222223</v>
      </c>
      <c r="AK10" s="1">
        <f t="shared" si="2"/>
        <v>6.4722222222222223</v>
      </c>
      <c r="AL10" s="1">
        <f t="shared" si="2"/>
        <v>6.9805555555555552</v>
      </c>
      <c r="AM10" s="1">
        <f t="shared" si="2"/>
        <v>7.4861111111111107</v>
      </c>
      <c r="AN10" s="1">
        <f t="shared" si="2"/>
        <v>7.4861111111111107</v>
      </c>
      <c r="AO10" s="1">
        <f t="shared" si="2"/>
        <v>7.9944444444444445</v>
      </c>
      <c r="AP10" s="1">
        <f t="shared" si="2"/>
        <v>8.5</v>
      </c>
      <c r="AQ10" s="1">
        <f t="shared" si="2"/>
        <v>8.5</v>
      </c>
      <c r="AR10" s="1">
        <f t="shared" si="2"/>
        <v>9.0083333333333329</v>
      </c>
      <c r="AS10" s="1">
        <f t="shared" si="2"/>
        <v>9.5166666666666675</v>
      </c>
      <c r="AT10" s="1">
        <f t="shared" si="2"/>
        <v>10.025</v>
      </c>
      <c r="AU10" s="1">
        <f t="shared" si="2"/>
        <v>10.530555555555555</v>
      </c>
      <c r="AV10" s="1">
        <f t="shared" si="2"/>
        <v>10.530555555555555</v>
      </c>
      <c r="AW10" s="1">
        <f t="shared" si="2"/>
        <v>15.097222222222221</v>
      </c>
      <c r="AX10" s="1">
        <f t="shared" si="2"/>
        <v>15.602777777777778</v>
      </c>
      <c r="AY10" s="1">
        <f t="shared" si="2"/>
        <v>16.111111111111111</v>
      </c>
      <c r="AZ10" s="1">
        <f t="shared" si="3"/>
        <v>16.616666666666667</v>
      </c>
      <c r="BA10" s="1">
        <f t="shared" si="3"/>
        <v>17.125</v>
      </c>
      <c r="BB10" s="1">
        <f t="shared" si="3"/>
        <v>17.633333333333333</v>
      </c>
      <c r="BC10" s="1">
        <f t="shared" si="3"/>
        <v>18.141666666666666</v>
      </c>
      <c r="BD10" s="1">
        <f t="shared" si="3"/>
        <v>18.647222222222222</v>
      </c>
      <c r="BE10" s="1">
        <f t="shared" si="3"/>
        <v>18.647222222222222</v>
      </c>
      <c r="BF10" s="1">
        <f t="shared" si="3"/>
        <v>27.272222222222222</v>
      </c>
      <c r="BG10" s="1">
        <f t="shared" si="3"/>
        <v>27.777777777777779</v>
      </c>
      <c r="BH10" s="1">
        <f t="shared" si="3"/>
        <v>28.286111111111111</v>
      </c>
      <c r="BI10" s="1">
        <f t="shared" si="3"/>
        <v>28.791666666666668</v>
      </c>
      <c r="BJ10" s="1">
        <f t="shared" si="3"/>
        <v>29.3</v>
      </c>
      <c r="BK10" s="1">
        <f t="shared" si="3"/>
        <v>29.808333333333334</v>
      </c>
      <c r="BL10" s="1">
        <f t="shared" si="3"/>
        <v>30.316666666666666</v>
      </c>
      <c r="BM10" s="1">
        <f t="shared" si="3"/>
        <v>30.822222222222223</v>
      </c>
      <c r="BN10" s="1">
        <f t="shared" si="3"/>
        <v>31.330555555555556</v>
      </c>
      <c r="BO10" s="1">
        <f t="shared" si="3"/>
        <v>31.330555555555556</v>
      </c>
      <c r="BP10" s="1">
        <f t="shared" si="4"/>
        <v>31.836111111111112</v>
      </c>
      <c r="BQ10" s="1">
        <f t="shared" si="4"/>
        <v>32.344444444444441</v>
      </c>
      <c r="BR10" s="1">
        <f t="shared" si="4"/>
        <v>32.85</v>
      </c>
      <c r="BS10" s="1">
        <f t="shared" si="4"/>
        <v>33.358333333333334</v>
      </c>
      <c r="BT10" s="1">
        <f t="shared" si="4"/>
        <v>33.866666666666667</v>
      </c>
      <c r="BU10" s="1">
        <f t="shared" si="4"/>
        <v>34.375</v>
      </c>
      <c r="BV10" s="1">
        <f t="shared" si="4"/>
        <v>34.375</v>
      </c>
      <c r="BW10" s="1">
        <f t="shared" si="4"/>
        <v>34.880555555555553</v>
      </c>
      <c r="BX10" s="1">
        <f t="shared" si="4"/>
        <v>35.388888888888886</v>
      </c>
      <c r="BY10" s="1">
        <f t="shared" si="4"/>
        <v>35.894444444444446</v>
      </c>
      <c r="BZ10" s="1">
        <f t="shared" si="4"/>
        <v>36.402777777777779</v>
      </c>
      <c r="CA10" s="1">
        <f t="shared" si="4"/>
        <v>36.908333333333331</v>
      </c>
      <c r="CB10" s="1">
        <f t="shared" si="4"/>
        <v>37.416666666666664</v>
      </c>
      <c r="CC10" s="1">
        <f t="shared" si="4"/>
        <v>37.924999999999997</v>
      </c>
      <c r="CD10" s="1">
        <f t="shared" si="4"/>
        <v>38.43333333333333</v>
      </c>
      <c r="CE10" s="1">
        <f t="shared" si="4"/>
        <v>38.93888888888889</v>
      </c>
      <c r="CF10" s="1">
        <f t="shared" si="5"/>
        <v>39.447222222222223</v>
      </c>
      <c r="CG10" s="1">
        <f t="shared" si="5"/>
        <v>39.952777777777776</v>
      </c>
      <c r="CH10" s="1">
        <f t="shared" si="5"/>
        <v>40.461111111111109</v>
      </c>
      <c r="CI10" s="1">
        <f t="shared" si="5"/>
        <v>40.966666666666669</v>
      </c>
      <c r="CJ10" s="1">
        <f t="shared" si="5"/>
        <v>41.475000000000001</v>
      </c>
      <c r="CK10" s="1">
        <f t="shared" si="5"/>
        <v>41.983333333333334</v>
      </c>
      <c r="CL10" s="1">
        <f t="shared" si="5"/>
        <v>42.491666666666667</v>
      </c>
      <c r="CM10" s="1">
        <f t="shared" si="5"/>
        <v>42.99722222222222</v>
      </c>
      <c r="CN10" s="1">
        <f t="shared" si="5"/>
        <v>43.505555555555553</v>
      </c>
      <c r="CO10" s="1">
        <f t="shared" si="5"/>
        <v>44.011111111111113</v>
      </c>
      <c r="CP10" s="1">
        <f t="shared" si="5"/>
        <v>44.519444444444446</v>
      </c>
      <c r="CQ10" s="1">
        <f t="shared" si="5"/>
        <v>45.024999999999999</v>
      </c>
      <c r="CR10" s="1">
        <f t="shared" si="5"/>
        <v>45.533333333333331</v>
      </c>
      <c r="CS10" s="1">
        <f t="shared" si="5"/>
        <v>46.041666666666664</v>
      </c>
      <c r="CT10" s="1">
        <f t="shared" si="5"/>
        <v>46.55</v>
      </c>
      <c r="CU10" s="1">
        <f t="shared" si="5"/>
        <v>47.055555555555557</v>
      </c>
      <c r="CV10" s="1">
        <f t="shared" si="6"/>
        <v>47.56388888888889</v>
      </c>
      <c r="CW10" s="1">
        <f t="shared" si="6"/>
        <v>48.069444444444443</v>
      </c>
      <c r="CX10" s="1">
        <f t="shared" si="6"/>
        <v>48.577777777777776</v>
      </c>
      <c r="CY10" s="1">
        <f t="shared" si="6"/>
        <v>49.083333333333336</v>
      </c>
      <c r="CZ10" s="1">
        <f t="shared" si="6"/>
        <v>49.591666666666669</v>
      </c>
      <c r="DA10" s="1">
        <f t="shared" si="6"/>
        <v>50.1</v>
      </c>
      <c r="DB10" s="1">
        <f t="shared" si="6"/>
        <v>50.608333333333334</v>
      </c>
      <c r="DC10" s="1">
        <f t="shared" si="6"/>
        <v>50.608333333333334</v>
      </c>
    </row>
    <row r="11" spans="1:107" x14ac:dyDescent="0.25">
      <c r="A11">
        <f t="shared" si="7"/>
        <v>5</v>
      </c>
      <c r="B11" s="2">
        <f>yields_BRUTE!B11</f>
        <v>42019</v>
      </c>
      <c r="C11" s="1">
        <f t="shared" si="8"/>
        <v>0.125</v>
      </c>
      <c r="D11" s="1">
        <f t="shared" si="0"/>
        <v>0.16388888888888889</v>
      </c>
      <c r="E11" s="1">
        <f t="shared" si="0"/>
        <v>0.38055555555555554</v>
      </c>
      <c r="F11" s="1">
        <f t="shared" si="0"/>
        <v>0.63611111111111107</v>
      </c>
      <c r="G11" s="1">
        <f t="shared" si="0"/>
        <v>0.67500000000000004</v>
      </c>
      <c r="H11" s="1">
        <f t="shared" si="0"/>
        <v>0.88888888888888884</v>
      </c>
      <c r="I11" s="1">
        <f t="shared" si="0"/>
        <v>0.88888888888888884</v>
      </c>
      <c r="J11" s="1">
        <f t="shared" si="0"/>
        <v>1.1416666666666666</v>
      </c>
      <c r="K11" s="1">
        <f t="shared" si="0"/>
        <v>1.1805555555555556</v>
      </c>
      <c r="L11" s="1">
        <f t="shared" si="0"/>
        <v>1.3972222222222221</v>
      </c>
      <c r="M11" s="1">
        <f t="shared" si="0"/>
        <v>1.6527777777777777</v>
      </c>
      <c r="N11" s="1">
        <f t="shared" si="0"/>
        <v>1.6527777777777777</v>
      </c>
      <c r="O11" s="1">
        <f t="shared" si="0"/>
        <v>1.6916666666666667</v>
      </c>
      <c r="P11" s="1">
        <f t="shared" si="0"/>
        <v>1.9055555555555554</v>
      </c>
      <c r="Q11" s="1">
        <f t="shared" si="0"/>
        <v>2.1944444444444446</v>
      </c>
      <c r="R11" s="1">
        <f t="shared" si="0"/>
        <v>2.411111111111111</v>
      </c>
      <c r="S11" s="1">
        <f t="shared" si="0"/>
        <v>2.7055555555555557</v>
      </c>
      <c r="T11" s="1">
        <f t="shared" si="1"/>
        <v>2.9194444444444443</v>
      </c>
      <c r="U11" s="1">
        <f t="shared" si="1"/>
        <v>3.2083333333333335</v>
      </c>
      <c r="V11" s="1">
        <f t="shared" si="1"/>
        <v>3.4249999999999998</v>
      </c>
      <c r="W11" s="1">
        <f t="shared" si="1"/>
        <v>3.7194444444444446</v>
      </c>
      <c r="X11" s="1">
        <f t="shared" si="1"/>
        <v>3.9333333333333331</v>
      </c>
      <c r="Y11" s="1">
        <f t="shared" si="1"/>
        <v>4.2222222222222223</v>
      </c>
      <c r="Z11" s="1">
        <f t="shared" si="1"/>
        <v>4.4388888888888891</v>
      </c>
      <c r="AA11" s="1">
        <f t="shared" si="1"/>
        <v>4.7333333333333334</v>
      </c>
      <c r="AB11" s="1">
        <f t="shared" si="1"/>
        <v>4.947222222222222</v>
      </c>
      <c r="AC11" s="1">
        <f t="shared" si="1"/>
        <v>5.2388888888888889</v>
      </c>
      <c r="AD11" s="1">
        <f t="shared" si="1"/>
        <v>5.4555555555555557</v>
      </c>
      <c r="AE11" s="1">
        <f t="shared" si="1"/>
        <v>5.4555555555555557</v>
      </c>
      <c r="AF11" s="3">
        <f t="shared" si="1"/>
        <v>5.75</v>
      </c>
      <c r="AG11" s="1">
        <f t="shared" si="1"/>
        <v>5.9638888888888886</v>
      </c>
      <c r="AH11" s="1">
        <f t="shared" si="1"/>
        <v>6.2527777777777782</v>
      </c>
      <c r="AI11" s="1">
        <f t="shared" si="1"/>
        <v>6.2527777777777782</v>
      </c>
      <c r="AJ11" s="1">
        <f t="shared" si="2"/>
        <v>6.4694444444444441</v>
      </c>
      <c r="AK11" s="1">
        <f t="shared" si="2"/>
        <v>6.4694444444444441</v>
      </c>
      <c r="AL11" s="1">
        <f t="shared" si="2"/>
        <v>6.9777777777777779</v>
      </c>
      <c r="AM11" s="1">
        <f t="shared" si="2"/>
        <v>7.4833333333333334</v>
      </c>
      <c r="AN11" s="1">
        <f t="shared" si="2"/>
        <v>7.4833333333333334</v>
      </c>
      <c r="AO11" s="1">
        <f t="shared" si="2"/>
        <v>7.9916666666666663</v>
      </c>
      <c r="AP11" s="1">
        <f t="shared" si="2"/>
        <v>8.4972222222222218</v>
      </c>
      <c r="AQ11" s="1">
        <f t="shared" si="2"/>
        <v>8.4972222222222218</v>
      </c>
      <c r="AR11" s="1">
        <f t="shared" si="2"/>
        <v>9.0055555555555564</v>
      </c>
      <c r="AS11" s="1">
        <f t="shared" si="2"/>
        <v>9.5138888888888893</v>
      </c>
      <c r="AT11" s="1">
        <f t="shared" si="2"/>
        <v>10.022222222222222</v>
      </c>
      <c r="AU11" s="1">
        <f t="shared" si="2"/>
        <v>10.527777777777779</v>
      </c>
      <c r="AV11" s="1">
        <f t="shared" si="2"/>
        <v>10.527777777777779</v>
      </c>
      <c r="AW11" s="1">
        <f t="shared" si="2"/>
        <v>15.094444444444445</v>
      </c>
      <c r="AX11" s="1">
        <f t="shared" si="2"/>
        <v>15.6</v>
      </c>
      <c r="AY11" s="1">
        <f t="shared" si="2"/>
        <v>16.108333333333334</v>
      </c>
      <c r="AZ11" s="1">
        <f t="shared" si="3"/>
        <v>16.613888888888887</v>
      </c>
      <c r="BA11" s="1">
        <f t="shared" si="3"/>
        <v>17.122222222222224</v>
      </c>
      <c r="BB11" s="1">
        <f t="shared" si="3"/>
        <v>17.630555555555556</v>
      </c>
      <c r="BC11" s="1">
        <f t="shared" si="3"/>
        <v>18.138888888888889</v>
      </c>
      <c r="BD11" s="1">
        <f t="shared" si="3"/>
        <v>18.644444444444446</v>
      </c>
      <c r="BE11" s="1">
        <f t="shared" si="3"/>
        <v>18.644444444444446</v>
      </c>
      <c r="BF11" s="1">
        <f t="shared" si="3"/>
        <v>27.269444444444446</v>
      </c>
      <c r="BG11" s="1">
        <f t="shared" si="3"/>
        <v>27.774999999999999</v>
      </c>
      <c r="BH11" s="1">
        <f t="shared" si="3"/>
        <v>28.283333333333335</v>
      </c>
      <c r="BI11" s="1">
        <f t="shared" si="3"/>
        <v>28.788888888888888</v>
      </c>
      <c r="BJ11" s="1">
        <f t="shared" si="3"/>
        <v>29.297222222222221</v>
      </c>
      <c r="BK11" s="1">
        <f t="shared" si="3"/>
        <v>29.805555555555557</v>
      </c>
      <c r="BL11" s="1">
        <f t="shared" si="3"/>
        <v>30.31388888888889</v>
      </c>
      <c r="BM11" s="1">
        <f t="shared" si="3"/>
        <v>30.819444444444443</v>
      </c>
      <c r="BN11" s="1">
        <f t="shared" si="3"/>
        <v>31.327777777777779</v>
      </c>
      <c r="BO11" s="1">
        <f t="shared" si="3"/>
        <v>31.327777777777779</v>
      </c>
      <c r="BP11" s="1">
        <f t="shared" si="4"/>
        <v>31.833333333333332</v>
      </c>
      <c r="BQ11" s="1">
        <f t="shared" si="4"/>
        <v>32.341666666666669</v>
      </c>
      <c r="BR11" s="1">
        <f t="shared" si="4"/>
        <v>32.847222222222221</v>
      </c>
      <c r="BS11" s="1">
        <f t="shared" si="4"/>
        <v>33.355555555555554</v>
      </c>
      <c r="BT11" s="1">
        <f t="shared" si="4"/>
        <v>33.863888888888887</v>
      </c>
      <c r="BU11" s="1">
        <f t="shared" si="4"/>
        <v>34.37222222222222</v>
      </c>
      <c r="BV11" s="1">
        <f t="shared" si="4"/>
        <v>34.37222222222222</v>
      </c>
      <c r="BW11" s="1">
        <f t="shared" si="4"/>
        <v>34.87777777777778</v>
      </c>
      <c r="BX11" s="1">
        <f t="shared" si="4"/>
        <v>35.386111111111113</v>
      </c>
      <c r="BY11" s="1">
        <f t="shared" si="4"/>
        <v>35.891666666666666</v>
      </c>
      <c r="BZ11" s="1">
        <f t="shared" si="4"/>
        <v>36.4</v>
      </c>
      <c r="CA11" s="1">
        <f t="shared" si="4"/>
        <v>36.905555555555559</v>
      </c>
      <c r="CB11" s="1">
        <f t="shared" si="4"/>
        <v>37.413888888888891</v>
      </c>
      <c r="CC11" s="1">
        <f t="shared" si="4"/>
        <v>37.922222222222224</v>
      </c>
      <c r="CD11" s="1">
        <f t="shared" si="4"/>
        <v>38.430555555555557</v>
      </c>
      <c r="CE11" s="1">
        <f t="shared" si="4"/>
        <v>38.93611111111111</v>
      </c>
      <c r="CF11" s="1">
        <f t="shared" si="5"/>
        <v>39.444444444444443</v>
      </c>
      <c r="CG11" s="1">
        <f t="shared" si="5"/>
        <v>39.950000000000003</v>
      </c>
      <c r="CH11" s="1">
        <f t="shared" si="5"/>
        <v>40.458333333333336</v>
      </c>
      <c r="CI11" s="1">
        <f t="shared" si="5"/>
        <v>40.963888888888889</v>
      </c>
      <c r="CJ11" s="1">
        <f t="shared" si="5"/>
        <v>41.472222222222221</v>
      </c>
      <c r="CK11" s="1">
        <f t="shared" si="5"/>
        <v>41.980555555555554</v>
      </c>
      <c r="CL11" s="1">
        <f t="shared" si="5"/>
        <v>42.488888888888887</v>
      </c>
      <c r="CM11" s="1">
        <f t="shared" si="5"/>
        <v>42.994444444444447</v>
      </c>
      <c r="CN11" s="1">
        <f t="shared" si="5"/>
        <v>43.50277777777778</v>
      </c>
      <c r="CO11" s="1">
        <f t="shared" si="5"/>
        <v>44.008333333333333</v>
      </c>
      <c r="CP11" s="1">
        <f t="shared" si="5"/>
        <v>44.516666666666666</v>
      </c>
      <c r="CQ11" s="1">
        <f t="shared" si="5"/>
        <v>45.022222222222226</v>
      </c>
      <c r="CR11" s="1">
        <f t="shared" si="5"/>
        <v>45.530555555555559</v>
      </c>
      <c r="CS11" s="1">
        <f t="shared" si="5"/>
        <v>46.038888888888891</v>
      </c>
      <c r="CT11" s="1">
        <f t="shared" si="5"/>
        <v>46.547222222222224</v>
      </c>
      <c r="CU11" s="1">
        <f t="shared" si="5"/>
        <v>47.052777777777777</v>
      </c>
      <c r="CV11" s="1">
        <f t="shared" si="6"/>
        <v>47.56111111111111</v>
      </c>
      <c r="CW11" s="1">
        <f t="shared" si="6"/>
        <v>48.06666666666667</v>
      </c>
      <c r="CX11" s="1">
        <f t="shared" si="6"/>
        <v>48.575000000000003</v>
      </c>
      <c r="CY11" s="1">
        <f t="shared" si="6"/>
        <v>49.080555555555556</v>
      </c>
      <c r="CZ11" s="1">
        <f t="shared" si="6"/>
        <v>49.588888888888889</v>
      </c>
      <c r="DA11" s="1">
        <f t="shared" si="6"/>
        <v>50.097222222222221</v>
      </c>
      <c r="DB11" s="1">
        <f t="shared" si="6"/>
        <v>50.605555555555554</v>
      </c>
      <c r="DC11" s="1">
        <f t="shared" si="6"/>
        <v>50.605555555555554</v>
      </c>
    </row>
    <row r="12" spans="1:107" x14ac:dyDescent="0.25">
      <c r="A12">
        <f t="shared" si="7"/>
        <v>6</v>
      </c>
      <c r="B12" s="2">
        <f>yields_BRUTE!B12</f>
        <v>42020</v>
      </c>
      <c r="C12" s="1">
        <f t="shared" si="8"/>
        <v>0.12222222222222222</v>
      </c>
      <c r="D12" s="1">
        <f t="shared" si="0"/>
        <v>0.16111111111111112</v>
      </c>
      <c r="E12" s="1">
        <f t="shared" si="0"/>
        <v>0.37777777777777777</v>
      </c>
      <c r="F12" s="1">
        <f t="shared" si="0"/>
        <v>0.6333333333333333</v>
      </c>
      <c r="G12" s="1">
        <f t="shared" si="0"/>
        <v>0.67222222222222228</v>
      </c>
      <c r="H12" s="1">
        <f t="shared" si="0"/>
        <v>0.88611111111111107</v>
      </c>
      <c r="I12" s="1">
        <f t="shared" si="0"/>
        <v>0.88611111111111107</v>
      </c>
      <c r="J12" s="1">
        <f t="shared" si="0"/>
        <v>1.1388888888888888</v>
      </c>
      <c r="K12" s="1">
        <f t="shared" si="0"/>
        <v>1.1777777777777778</v>
      </c>
      <c r="L12" s="1">
        <f t="shared" si="0"/>
        <v>1.3944444444444444</v>
      </c>
      <c r="M12" s="1">
        <f t="shared" si="0"/>
        <v>1.65</v>
      </c>
      <c r="N12" s="1">
        <f t="shared" si="0"/>
        <v>1.65</v>
      </c>
      <c r="O12" s="1">
        <f t="shared" si="0"/>
        <v>1.6888888888888889</v>
      </c>
      <c r="P12" s="1">
        <f t="shared" si="0"/>
        <v>1.9027777777777777</v>
      </c>
      <c r="Q12" s="1">
        <f t="shared" si="0"/>
        <v>2.1916666666666669</v>
      </c>
      <c r="R12" s="1">
        <f t="shared" si="0"/>
        <v>2.4083333333333332</v>
      </c>
      <c r="S12" s="1">
        <f t="shared" si="0"/>
        <v>2.7027777777777779</v>
      </c>
      <c r="T12" s="1">
        <f t="shared" si="1"/>
        <v>2.9166666666666665</v>
      </c>
      <c r="U12" s="1">
        <f t="shared" si="1"/>
        <v>3.2055555555555557</v>
      </c>
      <c r="V12" s="1">
        <f t="shared" si="1"/>
        <v>3.4222222222222221</v>
      </c>
      <c r="W12" s="1">
        <f t="shared" si="1"/>
        <v>3.7166666666666668</v>
      </c>
      <c r="X12" s="1">
        <f t="shared" si="1"/>
        <v>3.9305555555555554</v>
      </c>
      <c r="Y12" s="1">
        <f t="shared" si="1"/>
        <v>4.2194444444444441</v>
      </c>
      <c r="Z12" s="1">
        <f t="shared" si="1"/>
        <v>4.4361111111111109</v>
      </c>
      <c r="AA12" s="1">
        <f t="shared" si="1"/>
        <v>4.7305555555555552</v>
      </c>
      <c r="AB12" s="1">
        <f t="shared" si="1"/>
        <v>4.9444444444444446</v>
      </c>
      <c r="AC12" s="1">
        <f t="shared" si="1"/>
        <v>5.2361111111111107</v>
      </c>
      <c r="AD12" s="1">
        <f t="shared" si="1"/>
        <v>5.4527777777777775</v>
      </c>
      <c r="AE12" s="1">
        <f t="shared" si="1"/>
        <v>5.4527777777777775</v>
      </c>
      <c r="AF12" s="3">
        <f t="shared" si="1"/>
        <v>5.7472222222222218</v>
      </c>
      <c r="AG12" s="1">
        <f t="shared" si="1"/>
        <v>5.9611111111111112</v>
      </c>
      <c r="AH12" s="1">
        <f t="shared" si="1"/>
        <v>6.25</v>
      </c>
      <c r="AI12" s="1">
        <f t="shared" si="1"/>
        <v>6.25</v>
      </c>
      <c r="AJ12" s="1">
        <f t="shared" si="2"/>
        <v>6.4666666666666668</v>
      </c>
      <c r="AK12" s="1">
        <f t="shared" si="2"/>
        <v>6.4666666666666668</v>
      </c>
      <c r="AL12" s="1">
        <f t="shared" si="2"/>
        <v>6.9749999999999996</v>
      </c>
      <c r="AM12" s="1">
        <f t="shared" si="2"/>
        <v>7.4805555555555552</v>
      </c>
      <c r="AN12" s="1">
        <f t="shared" si="2"/>
        <v>7.4805555555555552</v>
      </c>
      <c r="AO12" s="1">
        <f t="shared" si="2"/>
        <v>7.9888888888888889</v>
      </c>
      <c r="AP12" s="1">
        <f t="shared" si="2"/>
        <v>8.4944444444444436</v>
      </c>
      <c r="AQ12" s="1">
        <f t="shared" si="2"/>
        <v>8.4944444444444436</v>
      </c>
      <c r="AR12" s="1">
        <f t="shared" si="2"/>
        <v>9.0027777777777782</v>
      </c>
      <c r="AS12" s="1">
        <f t="shared" si="2"/>
        <v>9.5111111111111111</v>
      </c>
      <c r="AT12" s="1">
        <f t="shared" si="2"/>
        <v>10.019444444444444</v>
      </c>
      <c r="AU12" s="1">
        <f t="shared" si="2"/>
        <v>10.525</v>
      </c>
      <c r="AV12" s="1">
        <f t="shared" si="2"/>
        <v>10.525</v>
      </c>
      <c r="AW12" s="1">
        <f t="shared" si="2"/>
        <v>15.091666666666667</v>
      </c>
      <c r="AX12" s="1">
        <f t="shared" si="2"/>
        <v>15.597222222222221</v>
      </c>
      <c r="AY12" s="1">
        <f t="shared" si="2"/>
        <v>16.105555555555554</v>
      </c>
      <c r="AZ12" s="1">
        <f t="shared" si="3"/>
        <v>16.611111111111111</v>
      </c>
      <c r="BA12" s="1">
        <f t="shared" si="3"/>
        <v>17.119444444444444</v>
      </c>
      <c r="BB12" s="1">
        <f t="shared" si="3"/>
        <v>17.627777777777776</v>
      </c>
      <c r="BC12" s="1">
        <f t="shared" si="3"/>
        <v>18.136111111111113</v>
      </c>
      <c r="BD12" s="1">
        <f t="shared" si="3"/>
        <v>18.641666666666666</v>
      </c>
      <c r="BE12" s="1">
        <f t="shared" si="3"/>
        <v>18.641666666666666</v>
      </c>
      <c r="BF12" s="1">
        <f t="shared" si="3"/>
        <v>27.266666666666666</v>
      </c>
      <c r="BG12" s="1">
        <f t="shared" si="3"/>
        <v>27.772222222222222</v>
      </c>
      <c r="BH12" s="1">
        <f t="shared" si="3"/>
        <v>28.280555555555555</v>
      </c>
      <c r="BI12" s="1">
        <f t="shared" si="3"/>
        <v>28.786111111111111</v>
      </c>
      <c r="BJ12" s="1">
        <f t="shared" si="3"/>
        <v>29.294444444444444</v>
      </c>
      <c r="BK12" s="1">
        <f t="shared" si="3"/>
        <v>29.802777777777777</v>
      </c>
      <c r="BL12" s="1">
        <f t="shared" si="3"/>
        <v>30.31111111111111</v>
      </c>
      <c r="BM12" s="1">
        <f t="shared" si="3"/>
        <v>30.816666666666666</v>
      </c>
      <c r="BN12" s="1">
        <f t="shared" si="3"/>
        <v>31.324999999999999</v>
      </c>
      <c r="BO12" s="1">
        <f t="shared" si="3"/>
        <v>31.324999999999999</v>
      </c>
      <c r="BP12" s="1">
        <f t="shared" si="4"/>
        <v>31.830555555555556</v>
      </c>
      <c r="BQ12" s="1">
        <f t="shared" si="4"/>
        <v>32.338888888888889</v>
      </c>
      <c r="BR12" s="1">
        <f t="shared" si="4"/>
        <v>32.844444444444441</v>
      </c>
      <c r="BS12" s="1">
        <f t="shared" si="4"/>
        <v>33.352777777777774</v>
      </c>
      <c r="BT12" s="1">
        <f t="shared" si="4"/>
        <v>33.861111111111114</v>
      </c>
      <c r="BU12" s="1">
        <f t="shared" si="4"/>
        <v>34.369444444444447</v>
      </c>
      <c r="BV12" s="1">
        <f t="shared" si="4"/>
        <v>34.369444444444447</v>
      </c>
      <c r="BW12" s="1">
        <f t="shared" si="4"/>
        <v>34.875</v>
      </c>
      <c r="BX12" s="1">
        <f t="shared" si="4"/>
        <v>35.383333333333333</v>
      </c>
      <c r="BY12" s="1">
        <f t="shared" si="4"/>
        <v>35.888888888888886</v>
      </c>
      <c r="BZ12" s="1">
        <f t="shared" si="4"/>
        <v>36.397222222222226</v>
      </c>
      <c r="CA12" s="1">
        <f t="shared" si="4"/>
        <v>36.902777777777779</v>
      </c>
      <c r="CB12" s="1">
        <f t="shared" si="4"/>
        <v>37.411111111111111</v>
      </c>
      <c r="CC12" s="1">
        <f t="shared" si="4"/>
        <v>37.919444444444444</v>
      </c>
      <c r="CD12" s="1">
        <f t="shared" si="4"/>
        <v>38.427777777777777</v>
      </c>
      <c r="CE12" s="1">
        <f t="shared" si="4"/>
        <v>38.93333333333333</v>
      </c>
      <c r="CF12" s="1">
        <f t="shared" si="5"/>
        <v>39.44166666666667</v>
      </c>
      <c r="CG12" s="1">
        <f t="shared" si="5"/>
        <v>39.947222222222223</v>
      </c>
      <c r="CH12" s="1">
        <f t="shared" si="5"/>
        <v>40.455555555555556</v>
      </c>
      <c r="CI12" s="1">
        <f t="shared" si="5"/>
        <v>40.961111111111109</v>
      </c>
      <c r="CJ12" s="1">
        <f t="shared" si="5"/>
        <v>41.469444444444441</v>
      </c>
      <c r="CK12" s="1">
        <f t="shared" si="5"/>
        <v>41.977777777777774</v>
      </c>
      <c r="CL12" s="1">
        <f t="shared" si="5"/>
        <v>42.486111111111114</v>
      </c>
      <c r="CM12" s="1">
        <f t="shared" si="5"/>
        <v>42.991666666666667</v>
      </c>
      <c r="CN12" s="1">
        <f t="shared" si="5"/>
        <v>43.5</v>
      </c>
      <c r="CO12" s="1">
        <f t="shared" si="5"/>
        <v>44.005555555555553</v>
      </c>
      <c r="CP12" s="1">
        <f t="shared" si="5"/>
        <v>44.513888888888886</v>
      </c>
      <c r="CQ12" s="1">
        <f t="shared" si="5"/>
        <v>45.019444444444446</v>
      </c>
      <c r="CR12" s="1">
        <f t="shared" si="5"/>
        <v>45.527777777777779</v>
      </c>
      <c r="CS12" s="1">
        <f t="shared" si="5"/>
        <v>46.036111111111111</v>
      </c>
      <c r="CT12" s="1">
        <f t="shared" si="5"/>
        <v>46.544444444444444</v>
      </c>
      <c r="CU12" s="1">
        <f t="shared" si="5"/>
        <v>47.05</v>
      </c>
      <c r="CV12" s="1">
        <f t="shared" si="6"/>
        <v>47.55833333333333</v>
      </c>
      <c r="CW12" s="1">
        <f t="shared" si="6"/>
        <v>48.06388888888889</v>
      </c>
      <c r="CX12" s="1">
        <f t="shared" si="6"/>
        <v>48.572222222222223</v>
      </c>
      <c r="CY12" s="1">
        <f t="shared" si="6"/>
        <v>49.077777777777776</v>
      </c>
      <c r="CZ12" s="1">
        <f t="shared" si="6"/>
        <v>49.586111111111109</v>
      </c>
      <c r="DA12" s="1">
        <f t="shared" si="6"/>
        <v>50.094444444444441</v>
      </c>
      <c r="DB12" s="1">
        <f t="shared" si="6"/>
        <v>50.602777777777774</v>
      </c>
      <c r="DC12" s="1">
        <f t="shared" si="6"/>
        <v>50.602777777777774</v>
      </c>
    </row>
    <row r="13" spans="1:107" x14ac:dyDescent="0.25">
      <c r="A13">
        <f t="shared" si="7"/>
        <v>2</v>
      </c>
      <c r="B13" s="2">
        <f>yields_BRUTE!B13</f>
        <v>42023</v>
      </c>
      <c r="C13" s="1">
        <f t="shared" si="8"/>
        <v>0.11388888888888889</v>
      </c>
      <c r="D13" s="1">
        <f t="shared" si="0"/>
        <v>0.15277777777777779</v>
      </c>
      <c r="E13" s="1">
        <f t="shared" si="0"/>
        <v>0.36944444444444446</v>
      </c>
      <c r="F13" s="1">
        <f t="shared" si="0"/>
        <v>0.625</v>
      </c>
      <c r="G13" s="1">
        <f t="shared" si="0"/>
        <v>0.66388888888888886</v>
      </c>
      <c r="H13" s="1">
        <f t="shared" si="0"/>
        <v>0.87777777777777777</v>
      </c>
      <c r="I13" s="1">
        <f t="shared" si="0"/>
        <v>0.87777777777777777</v>
      </c>
      <c r="J13" s="1">
        <f t="shared" si="0"/>
        <v>1.1305555555555555</v>
      </c>
      <c r="K13" s="1">
        <f t="shared" si="0"/>
        <v>1.1694444444444445</v>
      </c>
      <c r="L13" s="1">
        <f t="shared" si="0"/>
        <v>1.3861111111111111</v>
      </c>
      <c r="M13" s="1">
        <f t="shared" si="0"/>
        <v>1.6416666666666666</v>
      </c>
      <c r="N13" s="1">
        <f t="shared" si="0"/>
        <v>1.6416666666666666</v>
      </c>
      <c r="O13" s="1">
        <f t="shared" si="0"/>
        <v>1.6805555555555556</v>
      </c>
      <c r="P13" s="1">
        <f t="shared" si="0"/>
        <v>1.8944444444444444</v>
      </c>
      <c r="Q13" s="1">
        <f t="shared" si="0"/>
        <v>2.1833333333333331</v>
      </c>
      <c r="R13" s="1">
        <f t="shared" si="0"/>
        <v>2.4</v>
      </c>
      <c r="S13" s="1">
        <f t="shared" si="0"/>
        <v>2.6944444444444446</v>
      </c>
      <c r="T13" s="1">
        <f t="shared" si="1"/>
        <v>2.9083333333333332</v>
      </c>
      <c r="U13" s="1">
        <f t="shared" si="1"/>
        <v>3.1972222222222224</v>
      </c>
      <c r="V13" s="1">
        <f t="shared" si="1"/>
        <v>3.4138888888888888</v>
      </c>
      <c r="W13" s="1">
        <f t="shared" si="1"/>
        <v>3.7083333333333335</v>
      </c>
      <c r="X13" s="1">
        <f t="shared" si="1"/>
        <v>3.9222222222222221</v>
      </c>
      <c r="Y13" s="1">
        <f t="shared" si="1"/>
        <v>4.2111111111111112</v>
      </c>
      <c r="Z13" s="1">
        <f t="shared" si="1"/>
        <v>4.427777777777778</v>
      </c>
      <c r="AA13" s="1">
        <f t="shared" si="1"/>
        <v>4.7222222222222223</v>
      </c>
      <c r="AB13" s="1">
        <f t="shared" si="1"/>
        <v>4.9361111111111109</v>
      </c>
      <c r="AC13" s="1">
        <f t="shared" si="1"/>
        <v>5.2277777777777779</v>
      </c>
      <c r="AD13" s="1">
        <f t="shared" si="1"/>
        <v>5.4444444444444446</v>
      </c>
      <c r="AE13" s="1">
        <f t="shared" si="1"/>
        <v>5.4444444444444446</v>
      </c>
      <c r="AF13" s="3">
        <f t="shared" si="1"/>
        <v>5.7388888888888889</v>
      </c>
      <c r="AG13" s="1">
        <f t="shared" si="1"/>
        <v>5.9527777777777775</v>
      </c>
      <c r="AH13" s="1">
        <f t="shared" si="1"/>
        <v>6.2416666666666663</v>
      </c>
      <c r="AI13" s="1">
        <f t="shared" si="1"/>
        <v>6.2416666666666663</v>
      </c>
      <c r="AJ13" s="1">
        <f t="shared" si="2"/>
        <v>6.458333333333333</v>
      </c>
      <c r="AK13" s="1">
        <f t="shared" si="2"/>
        <v>6.458333333333333</v>
      </c>
      <c r="AL13" s="1">
        <f t="shared" si="2"/>
        <v>6.9666666666666668</v>
      </c>
      <c r="AM13" s="1">
        <f t="shared" si="2"/>
        <v>7.4722222222222223</v>
      </c>
      <c r="AN13" s="1">
        <f t="shared" si="2"/>
        <v>7.4722222222222223</v>
      </c>
      <c r="AO13" s="1">
        <f t="shared" si="2"/>
        <v>7.9805555555555552</v>
      </c>
      <c r="AP13" s="1">
        <f t="shared" si="2"/>
        <v>8.4861111111111107</v>
      </c>
      <c r="AQ13" s="1">
        <f t="shared" si="2"/>
        <v>8.4861111111111107</v>
      </c>
      <c r="AR13" s="1">
        <f t="shared" si="2"/>
        <v>8.9944444444444436</v>
      </c>
      <c r="AS13" s="1">
        <f t="shared" si="2"/>
        <v>9.5027777777777782</v>
      </c>
      <c r="AT13" s="1">
        <f t="shared" si="2"/>
        <v>10.011111111111111</v>
      </c>
      <c r="AU13" s="1">
        <f t="shared" si="2"/>
        <v>10.516666666666667</v>
      </c>
      <c r="AV13" s="1">
        <f t="shared" si="2"/>
        <v>10.516666666666667</v>
      </c>
      <c r="AW13" s="1">
        <f t="shared" si="2"/>
        <v>15.083333333333334</v>
      </c>
      <c r="AX13" s="1">
        <f t="shared" si="2"/>
        <v>15.588888888888889</v>
      </c>
      <c r="AY13" s="1">
        <f t="shared" si="2"/>
        <v>16.097222222222221</v>
      </c>
      <c r="AZ13" s="1">
        <f t="shared" si="3"/>
        <v>16.602777777777778</v>
      </c>
      <c r="BA13" s="1">
        <f t="shared" si="3"/>
        <v>17.111111111111111</v>
      </c>
      <c r="BB13" s="1">
        <f t="shared" si="3"/>
        <v>17.619444444444444</v>
      </c>
      <c r="BC13" s="1">
        <f t="shared" si="3"/>
        <v>18.127777777777776</v>
      </c>
      <c r="BD13" s="1">
        <f t="shared" si="3"/>
        <v>18.633333333333333</v>
      </c>
      <c r="BE13" s="1">
        <f t="shared" si="3"/>
        <v>18.633333333333333</v>
      </c>
      <c r="BF13" s="1">
        <f t="shared" si="3"/>
        <v>27.258333333333333</v>
      </c>
      <c r="BG13" s="1">
        <f t="shared" si="3"/>
        <v>27.763888888888889</v>
      </c>
      <c r="BH13" s="1">
        <f t="shared" si="3"/>
        <v>28.272222222222222</v>
      </c>
      <c r="BI13" s="1">
        <f t="shared" si="3"/>
        <v>28.777777777777779</v>
      </c>
      <c r="BJ13" s="1">
        <f t="shared" si="3"/>
        <v>29.286111111111111</v>
      </c>
      <c r="BK13" s="1">
        <f t="shared" si="3"/>
        <v>29.794444444444444</v>
      </c>
      <c r="BL13" s="1">
        <f t="shared" si="3"/>
        <v>30.302777777777777</v>
      </c>
      <c r="BM13" s="1">
        <f t="shared" si="3"/>
        <v>30.808333333333334</v>
      </c>
      <c r="BN13" s="1">
        <f t="shared" si="3"/>
        <v>31.316666666666666</v>
      </c>
      <c r="BO13" s="1">
        <f t="shared" si="3"/>
        <v>31.316666666666666</v>
      </c>
      <c r="BP13" s="1">
        <f t="shared" si="4"/>
        <v>31.822222222222223</v>
      </c>
      <c r="BQ13" s="1">
        <f t="shared" si="4"/>
        <v>32.330555555555556</v>
      </c>
      <c r="BR13" s="1">
        <f t="shared" si="4"/>
        <v>32.836111111111109</v>
      </c>
      <c r="BS13" s="1">
        <f t="shared" si="4"/>
        <v>33.344444444444441</v>
      </c>
      <c r="BT13" s="1">
        <f t="shared" si="4"/>
        <v>33.852777777777774</v>
      </c>
      <c r="BU13" s="1">
        <f t="shared" si="4"/>
        <v>34.361111111111114</v>
      </c>
      <c r="BV13" s="1">
        <f t="shared" si="4"/>
        <v>34.361111111111114</v>
      </c>
      <c r="BW13" s="1">
        <f t="shared" si="4"/>
        <v>34.866666666666667</v>
      </c>
      <c r="BX13" s="1">
        <f t="shared" si="4"/>
        <v>35.375</v>
      </c>
      <c r="BY13" s="1">
        <f t="shared" si="4"/>
        <v>35.880555555555553</v>
      </c>
      <c r="BZ13" s="1">
        <f t="shared" si="4"/>
        <v>36.388888888888886</v>
      </c>
      <c r="CA13" s="1">
        <f t="shared" si="4"/>
        <v>36.894444444444446</v>
      </c>
      <c r="CB13" s="1">
        <f t="shared" si="4"/>
        <v>37.402777777777779</v>
      </c>
      <c r="CC13" s="1">
        <f t="shared" si="4"/>
        <v>37.911111111111111</v>
      </c>
      <c r="CD13" s="1">
        <f t="shared" si="4"/>
        <v>38.419444444444444</v>
      </c>
      <c r="CE13" s="1">
        <f t="shared" si="4"/>
        <v>38.924999999999997</v>
      </c>
      <c r="CF13" s="1">
        <f t="shared" si="5"/>
        <v>39.43333333333333</v>
      </c>
      <c r="CG13" s="1">
        <f t="shared" si="5"/>
        <v>39.93888888888889</v>
      </c>
      <c r="CH13" s="1">
        <f t="shared" si="5"/>
        <v>40.447222222222223</v>
      </c>
      <c r="CI13" s="1">
        <f t="shared" si="5"/>
        <v>40.952777777777776</v>
      </c>
      <c r="CJ13" s="1">
        <f t="shared" si="5"/>
        <v>41.461111111111109</v>
      </c>
      <c r="CK13" s="1">
        <f t="shared" si="5"/>
        <v>41.969444444444441</v>
      </c>
      <c r="CL13" s="1">
        <f t="shared" si="5"/>
        <v>42.477777777777774</v>
      </c>
      <c r="CM13" s="1">
        <f t="shared" si="5"/>
        <v>42.983333333333334</v>
      </c>
      <c r="CN13" s="1">
        <f t="shared" si="5"/>
        <v>43.491666666666667</v>
      </c>
      <c r="CO13" s="1">
        <f t="shared" si="5"/>
        <v>43.99722222222222</v>
      </c>
      <c r="CP13" s="1">
        <f t="shared" si="5"/>
        <v>44.505555555555553</v>
      </c>
      <c r="CQ13" s="1">
        <f t="shared" si="5"/>
        <v>45.011111111111113</v>
      </c>
      <c r="CR13" s="1">
        <f t="shared" si="5"/>
        <v>45.519444444444446</v>
      </c>
      <c r="CS13" s="1">
        <f t="shared" si="5"/>
        <v>46.027777777777779</v>
      </c>
      <c r="CT13" s="1">
        <f t="shared" si="5"/>
        <v>46.536111111111111</v>
      </c>
      <c r="CU13" s="1">
        <f t="shared" si="5"/>
        <v>47.041666666666664</v>
      </c>
      <c r="CV13" s="1">
        <f t="shared" si="6"/>
        <v>47.55</v>
      </c>
      <c r="CW13" s="1">
        <f t="shared" si="6"/>
        <v>48.055555555555557</v>
      </c>
      <c r="CX13" s="1">
        <f t="shared" si="6"/>
        <v>48.56388888888889</v>
      </c>
      <c r="CY13" s="1">
        <f t="shared" si="6"/>
        <v>49.069444444444443</v>
      </c>
      <c r="CZ13" s="1">
        <f t="shared" si="6"/>
        <v>49.577777777777776</v>
      </c>
      <c r="DA13" s="1">
        <f t="shared" si="6"/>
        <v>50.086111111111109</v>
      </c>
      <c r="DB13" s="1">
        <f t="shared" si="6"/>
        <v>50.594444444444441</v>
      </c>
      <c r="DC13" s="1">
        <f t="shared" si="6"/>
        <v>50.594444444444441</v>
      </c>
    </row>
    <row r="14" spans="1:107" x14ac:dyDescent="0.25">
      <c r="A14">
        <f t="shared" si="7"/>
        <v>3</v>
      </c>
      <c r="B14" s="2">
        <f>yields_BRUTE!B14</f>
        <v>42024</v>
      </c>
      <c r="C14" s="1">
        <f t="shared" si="8"/>
        <v>0.1111111111111111</v>
      </c>
      <c r="D14" s="1">
        <f t="shared" si="0"/>
        <v>0.15</v>
      </c>
      <c r="E14" s="1">
        <f t="shared" si="0"/>
        <v>0.36666666666666664</v>
      </c>
      <c r="F14" s="1">
        <f t="shared" si="0"/>
        <v>0.62222222222222223</v>
      </c>
      <c r="G14" s="1">
        <f t="shared" si="0"/>
        <v>0.66111111111111109</v>
      </c>
      <c r="H14" s="1">
        <f t="shared" si="0"/>
        <v>0.875</v>
      </c>
      <c r="I14" s="1">
        <f t="shared" si="0"/>
        <v>0.875</v>
      </c>
      <c r="J14" s="1">
        <f t="shared" si="0"/>
        <v>1.1277777777777778</v>
      </c>
      <c r="K14" s="1">
        <f t="shared" si="0"/>
        <v>1.1666666666666667</v>
      </c>
      <c r="L14" s="1">
        <f t="shared" si="0"/>
        <v>1.3833333333333333</v>
      </c>
      <c r="M14" s="1">
        <f t="shared" si="0"/>
        <v>1.6388888888888888</v>
      </c>
      <c r="N14" s="1">
        <f t="shared" si="0"/>
        <v>1.6388888888888888</v>
      </c>
      <c r="O14" s="1">
        <f t="shared" si="0"/>
        <v>1.6777777777777778</v>
      </c>
      <c r="P14" s="1">
        <f t="shared" si="0"/>
        <v>1.8916666666666666</v>
      </c>
      <c r="Q14" s="1">
        <f t="shared" si="0"/>
        <v>2.1805555555555554</v>
      </c>
      <c r="R14" s="1">
        <f t="shared" si="0"/>
        <v>2.3972222222222221</v>
      </c>
      <c r="S14" s="1">
        <f t="shared" si="0"/>
        <v>2.6916666666666669</v>
      </c>
      <c r="T14" s="1">
        <f t="shared" si="1"/>
        <v>2.9055555555555554</v>
      </c>
      <c r="U14" s="1">
        <f t="shared" si="1"/>
        <v>3.1944444444444446</v>
      </c>
      <c r="V14" s="1">
        <f t="shared" si="1"/>
        <v>3.411111111111111</v>
      </c>
      <c r="W14" s="1">
        <f t="shared" si="1"/>
        <v>3.7055555555555557</v>
      </c>
      <c r="X14" s="1">
        <f t="shared" si="1"/>
        <v>3.9194444444444443</v>
      </c>
      <c r="Y14" s="1">
        <f t="shared" si="1"/>
        <v>4.208333333333333</v>
      </c>
      <c r="Z14" s="1">
        <f t="shared" si="1"/>
        <v>4.4249999999999998</v>
      </c>
      <c r="AA14" s="1">
        <f t="shared" si="1"/>
        <v>4.7194444444444441</v>
      </c>
      <c r="AB14" s="1">
        <f t="shared" si="1"/>
        <v>4.9333333333333336</v>
      </c>
      <c r="AC14" s="1">
        <f t="shared" si="1"/>
        <v>5.2249999999999996</v>
      </c>
      <c r="AD14" s="1">
        <f t="shared" si="1"/>
        <v>5.4416666666666664</v>
      </c>
      <c r="AE14" s="1">
        <f t="shared" si="1"/>
        <v>5.4416666666666664</v>
      </c>
      <c r="AF14" s="3">
        <f t="shared" si="1"/>
        <v>5.7361111111111107</v>
      </c>
      <c r="AG14" s="1">
        <f t="shared" si="1"/>
        <v>5.95</v>
      </c>
      <c r="AH14" s="1">
        <f t="shared" si="1"/>
        <v>6.2388888888888889</v>
      </c>
      <c r="AI14" s="1">
        <f t="shared" si="1"/>
        <v>6.2388888888888889</v>
      </c>
      <c r="AJ14" s="1">
        <f t="shared" si="2"/>
        <v>6.4555555555555557</v>
      </c>
      <c r="AK14" s="1">
        <f t="shared" si="2"/>
        <v>6.4555555555555557</v>
      </c>
      <c r="AL14" s="1">
        <f t="shared" si="2"/>
        <v>6.9638888888888886</v>
      </c>
      <c r="AM14" s="1">
        <f t="shared" si="2"/>
        <v>7.4694444444444441</v>
      </c>
      <c r="AN14" s="1">
        <f t="shared" si="2"/>
        <v>7.4694444444444441</v>
      </c>
      <c r="AO14" s="1">
        <f t="shared" si="2"/>
        <v>7.9777777777777779</v>
      </c>
      <c r="AP14" s="1">
        <f t="shared" si="2"/>
        <v>8.4833333333333325</v>
      </c>
      <c r="AQ14" s="1">
        <f t="shared" si="2"/>
        <v>8.4833333333333325</v>
      </c>
      <c r="AR14" s="1">
        <f t="shared" si="2"/>
        <v>8.9916666666666671</v>
      </c>
      <c r="AS14" s="1">
        <f t="shared" si="2"/>
        <v>9.5</v>
      </c>
      <c r="AT14" s="1">
        <f t="shared" si="2"/>
        <v>10.008333333333333</v>
      </c>
      <c r="AU14" s="1">
        <f t="shared" si="2"/>
        <v>10.513888888888889</v>
      </c>
      <c r="AV14" s="1">
        <f t="shared" si="2"/>
        <v>10.513888888888889</v>
      </c>
      <c r="AW14" s="1">
        <f t="shared" si="2"/>
        <v>15.080555555555556</v>
      </c>
      <c r="AX14" s="1">
        <f t="shared" si="2"/>
        <v>15.58611111111111</v>
      </c>
      <c r="AY14" s="1">
        <f t="shared" si="2"/>
        <v>16.094444444444445</v>
      </c>
      <c r="AZ14" s="1">
        <f t="shared" si="3"/>
        <v>16.600000000000001</v>
      </c>
      <c r="BA14" s="1">
        <f t="shared" si="3"/>
        <v>17.108333333333334</v>
      </c>
      <c r="BB14" s="1">
        <f t="shared" si="3"/>
        <v>17.616666666666667</v>
      </c>
      <c r="BC14" s="1">
        <f t="shared" si="3"/>
        <v>18.125</v>
      </c>
      <c r="BD14" s="1">
        <f t="shared" si="3"/>
        <v>18.630555555555556</v>
      </c>
      <c r="BE14" s="1">
        <f t="shared" si="3"/>
        <v>18.630555555555556</v>
      </c>
      <c r="BF14" s="1">
        <f t="shared" si="3"/>
        <v>27.255555555555556</v>
      </c>
      <c r="BG14" s="1">
        <f t="shared" si="3"/>
        <v>27.761111111111113</v>
      </c>
      <c r="BH14" s="1">
        <f t="shared" si="3"/>
        <v>28.269444444444446</v>
      </c>
      <c r="BI14" s="1">
        <f t="shared" si="3"/>
        <v>28.774999999999999</v>
      </c>
      <c r="BJ14" s="1">
        <f t="shared" si="3"/>
        <v>29.283333333333335</v>
      </c>
      <c r="BK14" s="1">
        <f t="shared" si="3"/>
        <v>29.791666666666668</v>
      </c>
      <c r="BL14" s="1">
        <f t="shared" si="3"/>
        <v>30.3</v>
      </c>
      <c r="BM14" s="1">
        <f t="shared" si="3"/>
        <v>30.805555555555557</v>
      </c>
      <c r="BN14" s="1">
        <f t="shared" si="3"/>
        <v>31.31388888888889</v>
      </c>
      <c r="BO14" s="1">
        <f t="shared" si="3"/>
        <v>31.31388888888889</v>
      </c>
      <c r="BP14" s="1">
        <f t="shared" si="4"/>
        <v>31.819444444444443</v>
      </c>
      <c r="BQ14" s="1">
        <f t="shared" si="4"/>
        <v>32.327777777777776</v>
      </c>
      <c r="BR14" s="1">
        <f t="shared" si="4"/>
        <v>32.833333333333336</v>
      </c>
      <c r="BS14" s="1">
        <f t="shared" si="4"/>
        <v>33.341666666666669</v>
      </c>
      <c r="BT14" s="1">
        <f t="shared" si="4"/>
        <v>33.85</v>
      </c>
      <c r="BU14" s="1">
        <f t="shared" si="4"/>
        <v>34.358333333333334</v>
      </c>
      <c r="BV14" s="1">
        <f t="shared" si="4"/>
        <v>34.358333333333334</v>
      </c>
      <c r="BW14" s="1">
        <f t="shared" si="4"/>
        <v>34.863888888888887</v>
      </c>
      <c r="BX14" s="1">
        <f t="shared" si="4"/>
        <v>35.37222222222222</v>
      </c>
      <c r="BY14" s="1">
        <f t="shared" si="4"/>
        <v>35.87777777777778</v>
      </c>
      <c r="BZ14" s="1">
        <f t="shared" si="4"/>
        <v>36.386111111111113</v>
      </c>
      <c r="CA14" s="1">
        <f t="shared" si="4"/>
        <v>36.891666666666666</v>
      </c>
      <c r="CB14" s="1">
        <f t="shared" si="4"/>
        <v>37.4</v>
      </c>
      <c r="CC14" s="1">
        <f t="shared" si="4"/>
        <v>37.908333333333331</v>
      </c>
      <c r="CD14" s="1">
        <f t="shared" si="4"/>
        <v>38.416666666666664</v>
      </c>
      <c r="CE14" s="1">
        <f t="shared" si="4"/>
        <v>38.922222222222224</v>
      </c>
      <c r="CF14" s="1">
        <f t="shared" si="5"/>
        <v>39.430555555555557</v>
      </c>
      <c r="CG14" s="1">
        <f t="shared" si="5"/>
        <v>39.93611111111111</v>
      </c>
      <c r="CH14" s="1">
        <f t="shared" si="5"/>
        <v>40.444444444444443</v>
      </c>
      <c r="CI14" s="1">
        <f t="shared" si="5"/>
        <v>40.950000000000003</v>
      </c>
      <c r="CJ14" s="1">
        <f t="shared" si="5"/>
        <v>41.458333333333336</v>
      </c>
      <c r="CK14" s="1">
        <f t="shared" si="5"/>
        <v>41.966666666666669</v>
      </c>
      <c r="CL14" s="1">
        <f t="shared" si="5"/>
        <v>42.475000000000001</v>
      </c>
      <c r="CM14" s="1">
        <f t="shared" si="5"/>
        <v>42.980555555555554</v>
      </c>
      <c r="CN14" s="1">
        <f t="shared" si="5"/>
        <v>43.488888888888887</v>
      </c>
      <c r="CO14" s="1">
        <f t="shared" si="5"/>
        <v>43.994444444444447</v>
      </c>
      <c r="CP14" s="1">
        <f t="shared" si="5"/>
        <v>44.50277777777778</v>
      </c>
      <c r="CQ14" s="1">
        <f t="shared" si="5"/>
        <v>45.008333333333333</v>
      </c>
      <c r="CR14" s="1">
        <f t="shared" si="5"/>
        <v>45.516666666666666</v>
      </c>
      <c r="CS14" s="1">
        <f t="shared" si="5"/>
        <v>46.024999999999999</v>
      </c>
      <c r="CT14" s="1">
        <f t="shared" si="5"/>
        <v>46.533333333333331</v>
      </c>
      <c r="CU14" s="1">
        <f t="shared" si="5"/>
        <v>47.038888888888891</v>
      </c>
      <c r="CV14" s="1">
        <f t="shared" si="6"/>
        <v>47.547222222222224</v>
      </c>
      <c r="CW14" s="1">
        <f t="shared" si="6"/>
        <v>48.052777777777777</v>
      </c>
      <c r="CX14" s="1">
        <f t="shared" si="6"/>
        <v>48.56111111111111</v>
      </c>
      <c r="CY14" s="1">
        <f t="shared" si="6"/>
        <v>49.06666666666667</v>
      </c>
      <c r="CZ14" s="1">
        <f t="shared" si="6"/>
        <v>49.575000000000003</v>
      </c>
      <c r="DA14" s="1">
        <f t="shared" si="6"/>
        <v>50.083333333333336</v>
      </c>
      <c r="DB14" s="1">
        <f t="shared" si="6"/>
        <v>50.591666666666669</v>
      </c>
      <c r="DC14" s="1">
        <f t="shared" si="6"/>
        <v>50.591666666666669</v>
      </c>
    </row>
    <row r="15" spans="1:107" x14ac:dyDescent="0.25">
      <c r="A15">
        <f t="shared" si="7"/>
        <v>4</v>
      </c>
      <c r="B15" s="2">
        <f>yields_BRUTE!B15</f>
        <v>42025</v>
      </c>
      <c r="C15" s="1">
        <f t="shared" si="8"/>
        <v>0.10833333333333334</v>
      </c>
      <c r="D15" s="1">
        <f t="shared" si="0"/>
        <v>0.14722222222222223</v>
      </c>
      <c r="E15" s="1">
        <f t="shared" si="0"/>
        <v>0.36388888888888887</v>
      </c>
      <c r="F15" s="1">
        <f t="shared" si="0"/>
        <v>0.61944444444444446</v>
      </c>
      <c r="G15" s="1">
        <f t="shared" si="0"/>
        <v>0.65833333333333333</v>
      </c>
      <c r="H15" s="1">
        <f t="shared" si="0"/>
        <v>0.87222222222222223</v>
      </c>
      <c r="I15" s="1">
        <f t="shared" si="0"/>
        <v>0.87222222222222223</v>
      </c>
      <c r="J15" s="1">
        <f t="shared" si="0"/>
        <v>1.125</v>
      </c>
      <c r="K15" s="1">
        <f t="shared" si="0"/>
        <v>1.163888888888889</v>
      </c>
      <c r="L15" s="1">
        <f t="shared" si="0"/>
        <v>1.3805555555555555</v>
      </c>
      <c r="M15" s="1">
        <f t="shared" si="0"/>
        <v>1.6361111111111111</v>
      </c>
      <c r="N15" s="1">
        <f t="shared" si="0"/>
        <v>1.6361111111111111</v>
      </c>
      <c r="O15" s="1">
        <f t="shared" si="0"/>
        <v>1.675</v>
      </c>
      <c r="P15" s="1">
        <f t="shared" si="0"/>
        <v>1.8888888888888888</v>
      </c>
      <c r="Q15" s="1">
        <f t="shared" si="0"/>
        <v>2.1777777777777776</v>
      </c>
      <c r="R15" s="1">
        <f t="shared" si="0"/>
        <v>2.3944444444444444</v>
      </c>
      <c r="S15" s="1">
        <f t="shared" si="0"/>
        <v>2.6888888888888891</v>
      </c>
      <c r="T15" s="1">
        <f t="shared" si="1"/>
        <v>2.9027777777777777</v>
      </c>
      <c r="U15" s="1">
        <f t="shared" si="1"/>
        <v>3.1916666666666669</v>
      </c>
      <c r="V15" s="1">
        <f t="shared" si="1"/>
        <v>3.4083333333333332</v>
      </c>
      <c r="W15" s="1">
        <f t="shared" si="1"/>
        <v>3.7027777777777779</v>
      </c>
      <c r="X15" s="1">
        <f t="shared" si="1"/>
        <v>3.9166666666666665</v>
      </c>
      <c r="Y15" s="1">
        <f t="shared" si="1"/>
        <v>4.2055555555555557</v>
      </c>
      <c r="Z15" s="1">
        <f t="shared" si="1"/>
        <v>4.4222222222222225</v>
      </c>
      <c r="AA15" s="1">
        <f t="shared" si="1"/>
        <v>4.7166666666666668</v>
      </c>
      <c r="AB15" s="1">
        <f t="shared" si="1"/>
        <v>4.9305555555555554</v>
      </c>
      <c r="AC15" s="1">
        <f t="shared" si="1"/>
        <v>5.2222222222222223</v>
      </c>
      <c r="AD15" s="1">
        <f t="shared" si="1"/>
        <v>5.4388888888888891</v>
      </c>
      <c r="AE15" s="1">
        <f t="shared" si="1"/>
        <v>5.4388888888888891</v>
      </c>
      <c r="AF15" s="3">
        <f t="shared" si="1"/>
        <v>5.7333333333333334</v>
      </c>
      <c r="AG15" s="1">
        <f t="shared" si="1"/>
        <v>5.947222222222222</v>
      </c>
      <c r="AH15" s="1">
        <f t="shared" si="1"/>
        <v>6.2361111111111107</v>
      </c>
      <c r="AI15" s="1">
        <f t="shared" si="1"/>
        <v>6.2361111111111107</v>
      </c>
      <c r="AJ15" s="1">
        <f t="shared" si="2"/>
        <v>6.4527777777777775</v>
      </c>
      <c r="AK15" s="1">
        <f t="shared" si="2"/>
        <v>6.4527777777777775</v>
      </c>
      <c r="AL15" s="1">
        <f t="shared" si="2"/>
        <v>6.9611111111111112</v>
      </c>
      <c r="AM15" s="1">
        <f t="shared" si="2"/>
        <v>7.4666666666666668</v>
      </c>
      <c r="AN15" s="1">
        <f t="shared" si="2"/>
        <v>7.4666666666666668</v>
      </c>
      <c r="AO15" s="1">
        <f t="shared" si="2"/>
        <v>7.9749999999999996</v>
      </c>
      <c r="AP15" s="1">
        <f t="shared" si="2"/>
        <v>8.4805555555555561</v>
      </c>
      <c r="AQ15" s="1">
        <f t="shared" si="2"/>
        <v>8.4805555555555561</v>
      </c>
      <c r="AR15" s="1">
        <f t="shared" si="2"/>
        <v>8.9888888888888889</v>
      </c>
      <c r="AS15" s="1">
        <f t="shared" si="2"/>
        <v>9.4972222222222218</v>
      </c>
      <c r="AT15" s="1">
        <f t="shared" si="2"/>
        <v>10.005555555555556</v>
      </c>
      <c r="AU15" s="1">
        <f t="shared" si="2"/>
        <v>10.511111111111111</v>
      </c>
      <c r="AV15" s="1">
        <f t="shared" si="2"/>
        <v>10.511111111111111</v>
      </c>
      <c r="AW15" s="1">
        <f t="shared" si="2"/>
        <v>15.077777777777778</v>
      </c>
      <c r="AX15" s="1">
        <f t="shared" si="2"/>
        <v>15.583333333333334</v>
      </c>
      <c r="AY15" s="1">
        <f t="shared" si="2"/>
        <v>16.091666666666665</v>
      </c>
      <c r="AZ15" s="1">
        <f t="shared" si="3"/>
        <v>16.597222222222221</v>
      </c>
      <c r="BA15" s="1">
        <f t="shared" si="3"/>
        <v>17.105555555555554</v>
      </c>
      <c r="BB15" s="1">
        <f t="shared" si="3"/>
        <v>17.613888888888887</v>
      </c>
      <c r="BC15" s="1">
        <f t="shared" si="3"/>
        <v>18.122222222222224</v>
      </c>
      <c r="BD15" s="1">
        <f t="shared" si="3"/>
        <v>18.627777777777776</v>
      </c>
      <c r="BE15" s="1">
        <f t="shared" si="3"/>
        <v>18.627777777777776</v>
      </c>
      <c r="BF15" s="1">
        <f t="shared" si="3"/>
        <v>27.252777777777776</v>
      </c>
      <c r="BG15" s="1">
        <f t="shared" si="3"/>
        <v>27.758333333333333</v>
      </c>
      <c r="BH15" s="1">
        <f t="shared" si="3"/>
        <v>28.266666666666666</v>
      </c>
      <c r="BI15" s="1">
        <f t="shared" si="3"/>
        <v>28.772222222222222</v>
      </c>
      <c r="BJ15" s="1">
        <f t="shared" si="3"/>
        <v>29.280555555555555</v>
      </c>
      <c r="BK15" s="1">
        <f t="shared" si="3"/>
        <v>29.788888888888888</v>
      </c>
      <c r="BL15" s="1">
        <f t="shared" si="3"/>
        <v>30.297222222222221</v>
      </c>
      <c r="BM15" s="1">
        <f t="shared" si="3"/>
        <v>30.802777777777777</v>
      </c>
      <c r="BN15" s="1">
        <f t="shared" si="3"/>
        <v>31.31111111111111</v>
      </c>
      <c r="BO15" s="1">
        <f t="shared" si="3"/>
        <v>31.31111111111111</v>
      </c>
      <c r="BP15" s="1">
        <f t="shared" si="4"/>
        <v>31.816666666666666</v>
      </c>
      <c r="BQ15" s="1">
        <f t="shared" si="4"/>
        <v>32.325000000000003</v>
      </c>
      <c r="BR15" s="1">
        <f t="shared" si="4"/>
        <v>32.830555555555556</v>
      </c>
      <c r="BS15" s="1">
        <f t="shared" si="4"/>
        <v>33.338888888888889</v>
      </c>
      <c r="BT15" s="1">
        <f t="shared" si="4"/>
        <v>33.847222222222221</v>
      </c>
      <c r="BU15" s="1">
        <f t="shared" si="4"/>
        <v>34.355555555555554</v>
      </c>
      <c r="BV15" s="1">
        <f t="shared" si="4"/>
        <v>34.355555555555554</v>
      </c>
      <c r="BW15" s="1">
        <f t="shared" si="4"/>
        <v>34.861111111111114</v>
      </c>
      <c r="BX15" s="1">
        <f t="shared" si="4"/>
        <v>35.369444444444447</v>
      </c>
      <c r="BY15" s="1">
        <f t="shared" si="4"/>
        <v>35.875</v>
      </c>
      <c r="BZ15" s="1">
        <f t="shared" si="4"/>
        <v>36.383333333333333</v>
      </c>
      <c r="CA15" s="1">
        <f t="shared" si="4"/>
        <v>36.888888888888886</v>
      </c>
      <c r="CB15" s="1">
        <f t="shared" si="4"/>
        <v>37.397222222222226</v>
      </c>
      <c r="CC15" s="1">
        <f t="shared" si="4"/>
        <v>37.905555555555559</v>
      </c>
      <c r="CD15" s="1">
        <f t="shared" si="4"/>
        <v>38.413888888888891</v>
      </c>
      <c r="CE15" s="1">
        <f t="shared" si="4"/>
        <v>38.919444444444444</v>
      </c>
      <c r="CF15" s="1">
        <f t="shared" si="5"/>
        <v>39.427777777777777</v>
      </c>
      <c r="CG15" s="1">
        <f t="shared" si="5"/>
        <v>39.93333333333333</v>
      </c>
      <c r="CH15" s="1">
        <f t="shared" si="5"/>
        <v>40.44166666666667</v>
      </c>
      <c r="CI15" s="1">
        <f t="shared" si="5"/>
        <v>40.947222222222223</v>
      </c>
      <c r="CJ15" s="1">
        <f t="shared" si="5"/>
        <v>41.455555555555556</v>
      </c>
      <c r="CK15" s="1">
        <f t="shared" si="5"/>
        <v>41.963888888888889</v>
      </c>
      <c r="CL15" s="1">
        <f t="shared" si="5"/>
        <v>42.472222222222221</v>
      </c>
      <c r="CM15" s="1">
        <f t="shared" si="5"/>
        <v>42.977777777777774</v>
      </c>
      <c r="CN15" s="1">
        <f t="shared" si="5"/>
        <v>43.486111111111114</v>
      </c>
      <c r="CO15" s="1">
        <f t="shared" si="5"/>
        <v>43.991666666666667</v>
      </c>
      <c r="CP15" s="1">
        <f t="shared" si="5"/>
        <v>44.5</v>
      </c>
      <c r="CQ15" s="1">
        <f t="shared" si="5"/>
        <v>45.005555555555553</v>
      </c>
      <c r="CR15" s="1">
        <f t="shared" si="5"/>
        <v>45.513888888888886</v>
      </c>
      <c r="CS15" s="1">
        <f t="shared" si="5"/>
        <v>46.022222222222226</v>
      </c>
      <c r="CT15" s="1">
        <f t="shared" si="5"/>
        <v>46.530555555555559</v>
      </c>
      <c r="CU15" s="1">
        <f t="shared" si="5"/>
        <v>47.036111111111111</v>
      </c>
      <c r="CV15" s="1">
        <f t="shared" si="6"/>
        <v>47.544444444444444</v>
      </c>
      <c r="CW15" s="1">
        <f t="shared" si="6"/>
        <v>48.05</v>
      </c>
      <c r="CX15" s="1">
        <f t="shared" si="6"/>
        <v>48.55833333333333</v>
      </c>
      <c r="CY15" s="1">
        <f t="shared" si="6"/>
        <v>49.06388888888889</v>
      </c>
      <c r="CZ15" s="1">
        <f t="shared" si="6"/>
        <v>49.572222222222223</v>
      </c>
      <c r="DA15" s="1">
        <f t="shared" si="6"/>
        <v>50.080555555555556</v>
      </c>
      <c r="DB15" s="1">
        <f t="shared" si="6"/>
        <v>50.588888888888889</v>
      </c>
      <c r="DC15" s="1">
        <f t="shared" si="6"/>
        <v>50.588888888888889</v>
      </c>
    </row>
    <row r="16" spans="1:107" x14ac:dyDescent="0.25">
      <c r="A16">
        <f t="shared" si="7"/>
        <v>5</v>
      </c>
      <c r="B16" s="2">
        <f>yields_BRUTE!B16</f>
        <v>42026</v>
      </c>
      <c r="C16" s="1">
        <f t="shared" si="8"/>
        <v>0.10555555555555556</v>
      </c>
      <c r="D16" s="1">
        <f t="shared" si="0"/>
        <v>0.14444444444444443</v>
      </c>
      <c r="E16" s="1">
        <f t="shared" si="0"/>
        <v>0.3611111111111111</v>
      </c>
      <c r="F16" s="1">
        <f t="shared" si="0"/>
        <v>0.6166666666666667</v>
      </c>
      <c r="G16" s="1">
        <f t="shared" si="0"/>
        <v>0.65555555555555556</v>
      </c>
      <c r="H16" s="1">
        <f t="shared" si="0"/>
        <v>0.86944444444444446</v>
      </c>
      <c r="I16" s="1">
        <f t="shared" si="0"/>
        <v>0.86944444444444446</v>
      </c>
      <c r="J16" s="1">
        <f t="shared" si="0"/>
        <v>1.1222222222222222</v>
      </c>
      <c r="K16" s="1">
        <f t="shared" si="0"/>
        <v>1.1611111111111112</v>
      </c>
      <c r="L16" s="1">
        <f t="shared" si="0"/>
        <v>1.3777777777777778</v>
      </c>
      <c r="M16" s="1">
        <f t="shared" si="0"/>
        <v>1.6333333333333333</v>
      </c>
      <c r="N16" s="1">
        <f t="shared" si="0"/>
        <v>1.6333333333333333</v>
      </c>
      <c r="O16" s="1">
        <f t="shared" si="0"/>
        <v>1.6722222222222223</v>
      </c>
      <c r="P16" s="1">
        <f t="shared" si="0"/>
        <v>1.8861111111111111</v>
      </c>
      <c r="Q16" s="1">
        <f t="shared" si="0"/>
        <v>2.1749999999999998</v>
      </c>
      <c r="R16" s="1">
        <f t="shared" si="0"/>
        <v>2.3916666666666666</v>
      </c>
      <c r="S16" s="1">
        <f t="shared" si="0"/>
        <v>2.6861111111111109</v>
      </c>
      <c r="T16" s="1">
        <f t="shared" si="1"/>
        <v>2.9</v>
      </c>
      <c r="U16" s="1">
        <f t="shared" si="1"/>
        <v>3.1888888888888891</v>
      </c>
      <c r="V16" s="1">
        <f t="shared" si="1"/>
        <v>3.4055555555555554</v>
      </c>
      <c r="W16" s="1">
        <f t="shared" si="1"/>
        <v>3.7</v>
      </c>
      <c r="X16" s="1">
        <f t="shared" si="1"/>
        <v>3.9138888888888888</v>
      </c>
      <c r="Y16" s="1">
        <f t="shared" si="1"/>
        <v>4.2027777777777775</v>
      </c>
      <c r="Z16" s="1">
        <f t="shared" si="1"/>
        <v>4.4194444444444443</v>
      </c>
      <c r="AA16" s="1">
        <f t="shared" si="1"/>
        <v>4.7138888888888886</v>
      </c>
      <c r="AB16" s="1">
        <f t="shared" si="1"/>
        <v>4.927777777777778</v>
      </c>
      <c r="AC16" s="1">
        <f t="shared" si="1"/>
        <v>5.2194444444444441</v>
      </c>
      <c r="AD16" s="1">
        <f t="shared" si="1"/>
        <v>5.4361111111111109</v>
      </c>
      <c r="AE16" s="1">
        <f t="shared" si="1"/>
        <v>5.4361111111111109</v>
      </c>
      <c r="AF16" s="3">
        <f t="shared" si="1"/>
        <v>5.7305555555555552</v>
      </c>
      <c r="AG16" s="1">
        <f t="shared" si="1"/>
        <v>5.9444444444444446</v>
      </c>
      <c r="AH16" s="1">
        <f t="shared" si="1"/>
        <v>6.2333333333333334</v>
      </c>
      <c r="AI16" s="1">
        <f t="shared" si="1"/>
        <v>6.2333333333333334</v>
      </c>
      <c r="AJ16" s="1">
        <f t="shared" si="2"/>
        <v>6.45</v>
      </c>
      <c r="AK16" s="1">
        <f t="shared" si="2"/>
        <v>6.45</v>
      </c>
      <c r="AL16" s="1">
        <f t="shared" si="2"/>
        <v>6.958333333333333</v>
      </c>
      <c r="AM16" s="1">
        <f t="shared" si="2"/>
        <v>7.4638888888888886</v>
      </c>
      <c r="AN16" s="1">
        <f t="shared" si="2"/>
        <v>7.4638888888888886</v>
      </c>
      <c r="AO16" s="1">
        <f t="shared" si="2"/>
        <v>7.9722222222222223</v>
      </c>
      <c r="AP16" s="1">
        <f t="shared" si="2"/>
        <v>8.4777777777777779</v>
      </c>
      <c r="AQ16" s="1">
        <f t="shared" si="2"/>
        <v>8.4777777777777779</v>
      </c>
      <c r="AR16" s="1">
        <f t="shared" si="2"/>
        <v>8.9861111111111107</v>
      </c>
      <c r="AS16" s="1">
        <f t="shared" si="2"/>
        <v>9.4944444444444436</v>
      </c>
      <c r="AT16" s="1">
        <f t="shared" si="2"/>
        <v>10.002777777777778</v>
      </c>
      <c r="AU16" s="1">
        <f t="shared" si="2"/>
        <v>10.508333333333333</v>
      </c>
      <c r="AV16" s="1">
        <f t="shared" si="2"/>
        <v>10.508333333333333</v>
      </c>
      <c r="AW16" s="1">
        <f t="shared" si="2"/>
        <v>15.074999999999999</v>
      </c>
      <c r="AX16" s="1">
        <f t="shared" si="2"/>
        <v>15.580555555555556</v>
      </c>
      <c r="AY16" s="1">
        <f t="shared" si="2"/>
        <v>16.088888888888889</v>
      </c>
      <c r="AZ16" s="1">
        <f t="shared" si="3"/>
        <v>16.594444444444445</v>
      </c>
      <c r="BA16" s="1">
        <f t="shared" si="3"/>
        <v>17.102777777777778</v>
      </c>
      <c r="BB16" s="1">
        <f t="shared" si="3"/>
        <v>17.611111111111111</v>
      </c>
      <c r="BC16" s="1">
        <f t="shared" si="3"/>
        <v>18.119444444444444</v>
      </c>
      <c r="BD16" s="1">
        <f t="shared" si="3"/>
        <v>18.625</v>
      </c>
      <c r="BE16" s="1">
        <f t="shared" si="3"/>
        <v>18.625</v>
      </c>
      <c r="BF16" s="1">
        <f t="shared" si="3"/>
        <v>27.25</v>
      </c>
      <c r="BG16" s="1">
        <f t="shared" si="3"/>
        <v>27.755555555555556</v>
      </c>
      <c r="BH16" s="1">
        <f t="shared" si="3"/>
        <v>28.263888888888889</v>
      </c>
      <c r="BI16" s="1">
        <f t="shared" si="3"/>
        <v>28.769444444444446</v>
      </c>
      <c r="BJ16" s="1">
        <f t="shared" si="3"/>
        <v>29.277777777777779</v>
      </c>
      <c r="BK16" s="1">
        <f t="shared" si="3"/>
        <v>29.786111111111111</v>
      </c>
      <c r="BL16" s="1">
        <f t="shared" si="3"/>
        <v>30.294444444444444</v>
      </c>
      <c r="BM16" s="1">
        <f t="shared" si="3"/>
        <v>30.8</v>
      </c>
      <c r="BN16" s="1">
        <f t="shared" si="3"/>
        <v>31.308333333333334</v>
      </c>
      <c r="BO16" s="1">
        <f t="shared" si="3"/>
        <v>31.308333333333334</v>
      </c>
      <c r="BP16" s="1">
        <f t="shared" si="4"/>
        <v>31.81388888888889</v>
      </c>
      <c r="BQ16" s="1">
        <f t="shared" si="4"/>
        <v>32.322222222222223</v>
      </c>
      <c r="BR16" s="1">
        <f t="shared" si="4"/>
        <v>32.827777777777776</v>
      </c>
      <c r="BS16" s="1">
        <f t="shared" si="4"/>
        <v>33.336111111111109</v>
      </c>
      <c r="BT16" s="1">
        <f t="shared" si="4"/>
        <v>33.844444444444441</v>
      </c>
      <c r="BU16" s="1">
        <f t="shared" si="4"/>
        <v>34.352777777777774</v>
      </c>
      <c r="BV16" s="1">
        <f t="shared" si="4"/>
        <v>34.352777777777774</v>
      </c>
      <c r="BW16" s="1">
        <f t="shared" si="4"/>
        <v>34.858333333333334</v>
      </c>
      <c r="BX16" s="1">
        <f t="shared" si="4"/>
        <v>35.366666666666667</v>
      </c>
      <c r="BY16" s="1">
        <f t="shared" si="4"/>
        <v>35.87222222222222</v>
      </c>
      <c r="BZ16" s="1">
        <f t="shared" si="4"/>
        <v>36.380555555555553</v>
      </c>
      <c r="CA16" s="1">
        <f t="shared" si="4"/>
        <v>36.886111111111113</v>
      </c>
      <c r="CB16" s="1">
        <f t="shared" si="4"/>
        <v>37.394444444444446</v>
      </c>
      <c r="CC16" s="1">
        <f t="shared" si="4"/>
        <v>37.902777777777779</v>
      </c>
      <c r="CD16" s="1">
        <f t="shared" si="4"/>
        <v>38.411111111111111</v>
      </c>
      <c r="CE16" s="1">
        <f t="shared" si="4"/>
        <v>38.916666666666664</v>
      </c>
      <c r="CF16" s="1">
        <f t="shared" si="5"/>
        <v>39.424999999999997</v>
      </c>
      <c r="CG16" s="1">
        <f t="shared" si="5"/>
        <v>39.930555555555557</v>
      </c>
      <c r="CH16" s="1">
        <f t="shared" si="5"/>
        <v>40.43888888888889</v>
      </c>
      <c r="CI16" s="1">
        <f t="shared" si="5"/>
        <v>40.944444444444443</v>
      </c>
      <c r="CJ16" s="1">
        <f t="shared" si="5"/>
        <v>41.452777777777776</v>
      </c>
      <c r="CK16" s="1">
        <f t="shared" si="5"/>
        <v>41.961111111111109</v>
      </c>
      <c r="CL16" s="1">
        <f t="shared" si="5"/>
        <v>42.469444444444441</v>
      </c>
      <c r="CM16" s="1">
        <f t="shared" si="5"/>
        <v>42.975000000000001</v>
      </c>
      <c r="CN16" s="1">
        <f t="shared" si="5"/>
        <v>43.483333333333334</v>
      </c>
      <c r="CO16" s="1">
        <f t="shared" si="5"/>
        <v>43.988888888888887</v>
      </c>
      <c r="CP16" s="1">
        <f t="shared" si="5"/>
        <v>44.49722222222222</v>
      </c>
      <c r="CQ16" s="1">
        <f t="shared" si="5"/>
        <v>45.00277777777778</v>
      </c>
      <c r="CR16" s="1">
        <f t="shared" si="5"/>
        <v>45.511111111111113</v>
      </c>
      <c r="CS16" s="1">
        <f t="shared" si="5"/>
        <v>46.019444444444446</v>
      </c>
      <c r="CT16" s="1">
        <f t="shared" si="5"/>
        <v>46.527777777777779</v>
      </c>
      <c r="CU16" s="1">
        <f t="shared" si="5"/>
        <v>47.033333333333331</v>
      </c>
      <c r="CV16" s="1">
        <f t="shared" si="6"/>
        <v>47.541666666666664</v>
      </c>
      <c r="CW16" s="1">
        <f t="shared" si="6"/>
        <v>48.047222222222224</v>
      </c>
      <c r="CX16" s="1">
        <f t="shared" si="6"/>
        <v>48.555555555555557</v>
      </c>
      <c r="CY16" s="1">
        <f t="shared" si="6"/>
        <v>49.06111111111111</v>
      </c>
      <c r="CZ16" s="1">
        <f t="shared" si="6"/>
        <v>49.569444444444443</v>
      </c>
      <c r="DA16" s="1">
        <f t="shared" si="6"/>
        <v>50.077777777777776</v>
      </c>
      <c r="DB16" s="1">
        <f t="shared" si="6"/>
        <v>50.586111111111109</v>
      </c>
      <c r="DC16" s="1">
        <f t="shared" si="6"/>
        <v>50.586111111111109</v>
      </c>
    </row>
    <row r="17" spans="1:107" x14ac:dyDescent="0.25">
      <c r="A17">
        <f t="shared" si="7"/>
        <v>6</v>
      </c>
      <c r="B17" s="2">
        <f>yields_BRUTE!B17</f>
        <v>42027</v>
      </c>
      <c r="C17" s="1">
        <f t="shared" si="8"/>
        <v>0.10277777777777777</v>
      </c>
      <c r="D17" s="1">
        <f t="shared" si="0"/>
        <v>0.14166666666666666</v>
      </c>
      <c r="E17" s="1">
        <f t="shared" si="0"/>
        <v>0.35833333333333334</v>
      </c>
      <c r="F17" s="1">
        <f t="shared" si="0"/>
        <v>0.61388888888888893</v>
      </c>
      <c r="G17" s="1">
        <f t="shared" si="0"/>
        <v>0.65277777777777779</v>
      </c>
      <c r="H17" s="1">
        <f t="shared" si="0"/>
        <v>0.8666666666666667</v>
      </c>
      <c r="I17" s="1">
        <f t="shared" si="0"/>
        <v>0.8666666666666667</v>
      </c>
      <c r="J17" s="1">
        <f t="shared" si="0"/>
        <v>1.1194444444444445</v>
      </c>
      <c r="K17" s="1">
        <f t="shared" si="0"/>
        <v>1.1583333333333334</v>
      </c>
      <c r="L17" s="1">
        <f t="shared" si="0"/>
        <v>1.375</v>
      </c>
      <c r="M17" s="1">
        <f t="shared" si="0"/>
        <v>1.6305555555555555</v>
      </c>
      <c r="N17" s="1">
        <f t="shared" si="0"/>
        <v>1.6305555555555555</v>
      </c>
      <c r="O17" s="1">
        <f t="shared" si="0"/>
        <v>1.6694444444444445</v>
      </c>
      <c r="P17" s="1">
        <f t="shared" si="0"/>
        <v>1.8833333333333333</v>
      </c>
      <c r="Q17" s="1">
        <f t="shared" si="0"/>
        <v>2.1722222222222221</v>
      </c>
      <c r="R17" s="1">
        <f t="shared" si="0"/>
        <v>2.3888888888888888</v>
      </c>
      <c r="S17" s="1">
        <f t="shared" ref="S17:AH32" si="9">(S$1-$B17)/360</f>
        <v>2.6833333333333331</v>
      </c>
      <c r="T17" s="1">
        <f t="shared" si="1"/>
        <v>2.8972222222222221</v>
      </c>
      <c r="U17" s="1">
        <f t="shared" si="1"/>
        <v>3.1861111111111109</v>
      </c>
      <c r="V17" s="1">
        <f t="shared" si="1"/>
        <v>3.4027777777777777</v>
      </c>
      <c r="W17" s="1">
        <f t="shared" si="1"/>
        <v>3.6972222222222224</v>
      </c>
      <c r="X17" s="1">
        <f t="shared" si="1"/>
        <v>3.911111111111111</v>
      </c>
      <c r="Y17" s="1">
        <f t="shared" si="1"/>
        <v>4.2</v>
      </c>
      <c r="Z17" s="1">
        <f t="shared" si="1"/>
        <v>4.416666666666667</v>
      </c>
      <c r="AA17" s="1">
        <f t="shared" si="1"/>
        <v>4.7111111111111112</v>
      </c>
      <c r="AB17" s="1">
        <f t="shared" si="1"/>
        <v>4.9249999999999998</v>
      </c>
      <c r="AC17" s="1">
        <f t="shared" si="1"/>
        <v>5.2166666666666668</v>
      </c>
      <c r="AD17" s="1">
        <f t="shared" si="1"/>
        <v>5.4333333333333336</v>
      </c>
      <c r="AE17" s="1">
        <f t="shared" si="1"/>
        <v>5.4333333333333336</v>
      </c>
      <c r="AF17" s="3">
        <f t="shared" si="1"/>
        <v>5.7277777777777779</v>
      </c>
      <c r="AG17" s="1">
        <f t="shared" si="1"/>
        <v>5.9416666666666664</v>
      </c>
      <c r="AH17" s="1">
        <f t="shared" si="1"/>
        <v>6.2305555555555552</v>
      </c>
      <c r="AI17" s="1">
        <f t="shared" ref="AI17:AX32" si="10">(AI$1-$B17)/360</f>
        <v>6.2305555555555552</v>
      </c>
      <c r="AJ17" s="1">
        <f t="shared" si="2"/>
        <v>6.447222222222222</v>
      </c>
      <c r="AK17" s="1">
        <f t="shared" si="2"/>
        <v>6.447222222222222</v>
      </c>
      <c r="AL17" s="1">
        <f t="shared" si="2"/>
        <v>6.9555555555555557</v>
      </c>
      <c r="AM17" s="1">
        <f t="shared" si="2"/>
        <v>7.4611111111111112</v>
      </c>
      <c r="AN17" s="1">
        <f t="shared" si="2"/>
        <v>7.4611111111111112</v>
      </c>
      <c r="AO17" s="1">
        <f t="shared" si="2"/>
        <v>7.9694444444444441</v>
      </c>
      <c r="AP17" s="1">
        <f t="shared" si="2"/>
        <v>8.4749999999999996</v>
      </c>
      <c r="AQ17" s="1">
        <f t="shared" si="2"/>
        <v>8.4749999999999996</v>
      </c>
      <c r="AR17" s="1">
        <f t="shared" si="2"/>
        <v>8.9833333333333325</v>
      </c>
      <c r="AS17" s="1">
        <f t="shared" si="2"/>
        <v>9.4916666666666671</v>
      </c>
      <c r="AT17" s="1">
        <f t="shared" si="2"/>
        <v>10</v>
      </c>
      <c r="AU17" s="1">
        <f t="shared" si="2"/>
        <v>10.505555555555556</v>
      </c>
      <c r="AV17" s="1">
        <f t="shared" si="2"/>
        <v>10.505555555555556</v>
      </c>
      <c r="AW17" s="1">
        <f t="shared" si="2"/>
        <v>15.072222222222223</v>
      </c>
      <c r="AX17" s="1">
        <f t="shared" si="2"/>
        <v>15.577777777777778</v>
      </c>
      <c r="AY17" s="1">
        <f t="shared" ref="AY17:BN32" si="11">(AY$1-$B17)/360</f>
        <v>16.086111111111112</v>
      </c>
      <c r="AZ17" s="1">
        <f t="shared" si="3"/>
        <v>16.591666666666665</v>
      </c>
      <c r="BA17" s="1">
        <f t="shared" si="3"/>
        <v>17.100000000000001</v>
      </c>
      <c r="BB17" s="1">
        <f t="shared" si="3"/>
        <v>17.608333333333334</v>
      </c>
      <c r="BC17" s="1">
        <f t="shared" si="3"/>
        <v>18.116666666666667</v>
      </c>
      <c r="BD17" s="1">
        <f t="shared" si="3"/>
        <v>18.622222222222224</v>
      </c>
      <c r="BE17" s="1">
        <f t="shared" si="3"/>
        <v>18.622222222222224</v>
      </c>
      <c r="BF17" s="1">
        <f t="shared" si="3"/>
        <v>27.247222222222224</v>
      </c>
      <c r="BG17" s="1">
        <f t="shared" si="3"/>
        <v>27.752777777777776</v>
      </c>
      <c r="BH17" s="1">
        <f t="shared" si="3"/>
        <v>28.261111111111113</v>
      </c>
      <c r="BI17" s="1">
        <f t="shared" si="3"/>
        <v>28.766666666666666</v>
      </c>
      <c r="BJ17" s="1">
        <f t="shared" si="3"/>
        <v>29.274999999999999</v>
      </c>
      <c r="BK17" s="1">
        <f t="shared" si="3"/>
        <v>29.783333333333335</v>
      </c>
      <c r="BL17" s="1">
        <f t="shared" si="3"/>
        <v>30.291666666666668</v>
      </c>
      <c r="BM17" s="1">
        <f t="shared" si="3"/>
        <v>30.797222222222221</v>
      </c>
      <c r="BN17" s="1">
        <f t="shared" si="3"/>
        <v>31.305555555555557</v>
      </c>
      <c r="BO17" s="1">
        <f t="shared" ref="BO17:CD32" si="12">(BO$1-$B17)/360</f>
        <v>31.305555555555557</v>
      </c>
      <c r="BP17" s="1">
        <f t="shared" si="4"/>
        <v>31.81111111111111</v>
      </c>
      <c r="BQ17" s="1">
        <f t="shared" si="4"/>
        <v>32.319444444444443</v>
      </c>
      <c r="BR17" s="1">
        <f t="shared" si="4"/>
        <v>32.825000000000003</v>
      </c>
      <c r="BS17" s="1">
        <f t="shared" si="4"/>
        <v>33.333333333333336</v>
      </c>
      <c r="BT17" s="1">
        <f t="shared" si="4"/>
        <v>33.841666666666669</v>
      </c>
      <c r="BU17" s="1">
        <f t="shared" si="4"/>
        <v>34.35</v>
      </c>
      <c r="BV17" s="1">
        <f t="shared" si="4"/>
        <v>34.35</v>
      </c>
      <c r="BW17" s="1">
        <f t="shared" si="4"/>
        <v>34.855555555555554</v>
      </c>
      <c r="BX17" s="1">
        <f t="shared" si="4"/>
        <v>35.363888888888887</v>
      </c>
      <c r="BY17" s="1">
        <f t="shared" si="4"/>
        <v>35.869444444444447</v>
      </c>
      <c r="BZ17" s="1">
        <f t="shared" si="4"/>
        <v>36.37777777777778</v>
      </c>
      <c r="CA17" s="1">
        <f t="shared" si="4"/>
        <v>36.883333333333333</v>
      </c>
      <c r="CB17" s="1">
        <f t="shared" si="4"/>
        <v>37.391666666666666</v>
      </c>
      <c r="CC17" s="1">
        <f t="shared" si="4"/>
        <v>37.9</v>
      </c>
      <c r="CD17" s="1">
        <f t="shared" si="4"/>
        <v>38.408333333333331</v>
      </c>
      <c r="CE17" s="1">
        <f t="shared" ref="CE17:CT32" si="13">(CE$1-$B17)/360</f>
        <v>38.913888888888891</v>
      </c>
      <c r="CF17" s="1">
        <f t="shared" si="5"/>
        <v>39.422222222222224</v>
      </c>
      <c r="CG17" s="1">
        <f t="shared" si="5"/>
        <v>39.927777777777777</v>
      </c>
      <c r="CH17" s="1">
        <f t="shared" si="5"/>
        <v>40.43611111111111</v>
      </c>
      <c r="CI17" s="1">
        <f t="shared" si="5"/>
        <v>40.94166666666667</v>
      </c>
      <c r="CJ17" s="1">
        <f t="shared" si="5"/>
        <v>41.45</v>
      </c>
      <c r="CK17" s="1">
        <f t="shared" si="5"/>
        <v>41.958333333333336</v>
      </c>
      <c r="CL17" s="1">
        <f t="shared" si="5"/>
        <v>42.466666666666669</v>
      </c>
      <c r="CM17" s="1">
        <f t="shared" si="5"/>
        <v>42.972222222222221</v>
      </c>
      <c r="CN17" s="1">
        <f t="shared" si="5"/>
        <v>43.480555555555554</v>
      </c>
      <c r="CO17" s="1">
        <f t="shared" si="5"/>
        <v>43.986111111111114</v>
      </c>
      <c r="CP17" s="1">
        <f t="shared" si="5"/>
        <v>44.494444444444447</v>
      </c>
      <c r="CQ17" s="1">
        <f t="shared" si="5"/>
        <v>45</v>
      </c>
      <c r="CR17" s="1">
        <f t="shared" si="5"/>
        <v>45.508333333333333</v>
      </c>
      <c r="CS17" s="1">
        <f t="shared" si="5"/>
        <v>46.016666666666666</v>
      </c>
      <c r="CT17" s="1">
        <f t="shared" si="5"/>
        <v>46.524999999999999</v>
      </c>
      <c r="CU17" s="1">
        <f t="shared" ref="CU17:DC32" si="14">(CU$1-$B17)/360</f>
        <v>47.030555555555559</v>
      </c>
      <c r="CV17" s="1">
        <f t="shared" si="6"/>
        <v>47.538888888888891</v>
      </c>
      <c r="CW17" s="1">
        <f t="shared" si="6"/>
        <v>48.044444444444444</v>
      </c>
      <c r="CX17" s="1">
        <f t="shared" si="6"/>
        <v>48.552777777777777</v>
      </c>
      <c r="CY17" s="1">
        <f t="shared" si="6"/>
        <v>49.05833333333333</v>
      </c>
      <c r="CZ17" s="1">
        <f t="shared" si="6"/>
        <v>49.56666666666667</v>
      </c>
      <c r="DA17" s="1">
        <f t="shared" si="6"/>
        <v>50.075000000000003</v>
      </c>
      <c r="DB17" s="1">
        <f t="shared" si="6"/>
        <v>50.583333333333336</v>
      </c>
      <c r="DC17" s="1">
        <f t="shared" si="6"/>
        <v>50.583333333333336</v>
      </c>
    </row>
    <row r="18" spans="1:107" x14ac:dyDescent="0.25">
      <c r="A18">
        <f t="shared" si="7"/>
        <v>2</v>
      </c>
      <c r="B18" s="2">
        <f>yields_BRUTE!B18</f>
        <v>42030</v>
      </c>
      <c r="C18" s="1">
        <f t="shared" si="8"/>
        <v>9.4444444444444442E-2</v>
      </c>
      <c r="D18" s="1">
        <f t="shared" si="8"/>
        <v>0.13333333333333333</v>
      </c>
      <c r="E18" s="1">
        <f t="shared" si="8"/>
        <v>0.35</v>
      </c>
      <c r="F18" s="1">
        <f t="shared" si="8"/>
        <v>0.60555555555555551</v>
      </c>
      <c r="G18" s="1">
        <f t="shared" si="8"/>
        <v>0.64444444444444449</v>
      </c>
      <c r="H18" s="1">
        <f t="shared" si="8"/>
        <v>0.85833333333333328</v>
      </c>
      <c r="I18" s="1">
        <f t="shared" si="8"/>
        <v>0.85833333333333328</v>
      </c>
      <c r="J18" s="1">
        <f t="shared" si="8"/>
        <v>1.1111111111111112</v>
      </c>
      <c r="K18" s="1">
        <f t="shared" si="8"/>
        <v>1.1499999999999999</v>
      </c>
      <c r="L18" s="1">
        <f t="shared" si="8"/>
        <v>1.3666666666666667</v>
      </c>
      <c r="M18" s="1">
        <f t="shared" si="8"/>
        <v>1.6222222222222222</v>
      </c>
      <c r="N18" s="1">
        <f t="shared" si="8"/>
        <v>1.6222222222222222</v>
      </c>
      <c r="O18" s="1">
        <f t="shared" si="8"/>
        <v>1.6611111111111112</v>
      </c>
      <c r="P18" s="1">
        <f t="shared" si="8"/>
        <v>1.875</v>
      </c>
      <c r="Q18" s="1">
        <f t="shared" si="8"/>
        <v>2.1638888888888888</v>
      </c>
      <c r="R18" s="1">
        <f t="shared" si="8"/>
        <v>2.3805555555555555</v>
      </c>
      <c r="S18" s="1">
        <f t="shared" si="9"/>
        <v>2.6749999999999998</v>
      </c>
      <c r="T18" s="1">
        <f t="shared" si="9"/>
        <v>2.8888888888888888</v>
      </c>
      <c r="U18" s="1">
        <f t="shared" si="9"/>
        <v>3.1777777777777776</v>
      </c>
      <c r="V18" s="1">
        <f t="shared" si="9"/>
        <v>3.3944444444444444</v>
      </c>
      <c r="W18" s="1">
        <f t="shared" si="9"/>
        <v>3.6888888888888891</v>
      </c>
      <c r="X18" s="1">
        <f t="shared" si="9"/>
        <v>3.9027777777777777</v>
      </c>
      <c r="Y18" s="1">
        <f t="shared" si="9"/>
        <v>4.1916666666666664</v>
      </c>
      <c r="Z18" s="1">
        <f t="shared" si="9"/>
        <v>4.4083333333333332</v>
      </c>
      <c r="AA18" s="1">
        <f t="shared" si="9"/>
        <v>4.7027777777777775</v>
      </c>
      <c r="AB18" s="1">
        <f t="shared" si="9"/>
        <v>4.916666666666667</v>
      </c>
      <c r="AC18" s="1">
        <f t="shared" si="9"/>
        <v>5.208333333333333</v>
      </c>
      <c r="AD18" s="1">
        <f t="shared" si="9"/>
        <v>5.4249999999999998</v>
      </c>
      <c r="AE18" s="1">
        <f t="shared" si="9"/>
        <v>5.4249999999999998</v>
      </c>
      <c r="AF18" s="3">
        <f t="shared" si="9"/>
        <v>5.7194444444444441</v>
      </c>
      <c r="AG18" s="1">
        <f t="shared" si="9"/>
        <v>5.9333333333333336</v>
      </c>
      <c r="AH18" s="1">
        <f t="shared" si="9"/>
        <v>6.2222222222222223</v>
      </c>
      <c r="AI18" s="1">
        <f t="shared" si="10"/>
        <v>6.2222222222222223</v>
      </c>
      <c r="AJ18" s="1">
        <f t="shared" si="10"/>
        <v>6.4388888888888891</v>
      </c>
      <c r="AK18" s="1">
        <f t="shared" si="10"/>
        <v>6.4388888888888891</v>
      </c>
      <c r="AL18" s="1">
        <f t="shared" si="10"/>
        <v>6.947222222222222</v>
      </c>
      <c r="AM18" s="1">
        <f t="shared" si="10"/>
        <v>7.4527777777777775</v>
      </c>
      <c r="AN18" s="1">
        <f t="shared" si="10"/>
        <v>7.4527777777777775</v>
      </c>
      <c r="AO18" s="1">
        <f t="shared" si="10"/>
        <v>7.9611111111111112</v>
      </c>
      <c r="AP18" s="1">
        <f t="shared" si="10"/>
        <v>8.4666666666666668</v>
      </c>
      <c r="AQ18" s="1">
        <f t="shared" si="10"/>
        <v>8.4666666666666668</v>
      </c>
      <c r="AR18" s="1">
        <f t="shared" si="10"/>
        <v>8.9749999999999996</v>
      </c>
      <c r="AS18" s="1">
        <f t="shared" si="10"/>
        <v>9.4833333333333325</v>
      </c>
      <c r="AT18" s="1">
        <f t="shared" si="10"/>
        <v>9.9916666666666671</v>
      </c>
      <c r="AU18" s="1">
        <f t="shared" si="10"/>
        <v>10.497222222222222</v>
      </c>
      <c r="AV18" s="1">
        <f t="shared" si="10"/>
        <v>10.497222222222222</v>
      </c>
      <c r="AW18" s="1">
        <f t="shared" si="10"/>
        <v>15.063888888888888</v>
      </c>
      <c r="AX18" s="1">
        <f t="shared" si="10"/>
        <v>15.569444444444445</v>
      </c>
      <c r="AY18" s="1">
        <f t="shared" si="11"/>
        <v>16.077777777777779</v>
      </c>
      <c r="AZ18" s="1">
        <f t="shared" si="11"/>
        <v>16.583333333333332</v>
      </c>
      <c r="BA18" s="1">
        <f t="shared" si="11"/>
        <v>17.091666666666665</v>
      </c>
      <c r="BB18" s="1">
        <f t="shared" si="11"/>
        <v>17.600000000000001</v>
      </c>
      <c r="BC18" s="1">
        <f t="shared" si="11"/>
        <v>18.108333333333334</v>
      </c>
      <c r="BD18" s="1">
        <f t="shared" si="11"/>
        <v>18.613888888888887</v>
      </c>
      <c r="BE18" s="1">
        <f t="shared" si="11"/>
        <v>18.613888888888887</v>
      </c>
      <c r="BF18" s="1">
        <f t="shared" si="11"/>
        <v>27.238888888888887</v>
      </c>
      <c r="BG18" s="1">
        <f t="shared" si="11"/>
        <v>27.744444444444444</v>
      </c>
      <c r="BH18" s="1">
        <f t="shared" si="11"/>
        <v>28.252777777777776</v>
      </c>
      <c r="BI18" s="1">
        <f t="shared" si="11"/>
        <v>28.758333333333333</v>
      </c>
      <c r="BJ18" s="1">
        <f t="shared" si="11"/>
        <v>29.266666666666666</v>
      </c>
      <c r="BK18" s="1">
        <f t="shared" si="11"/>
        <v>29.774999999999999</v>
      </c>
      <c r="BL18" s="1">
        <f t="shared" si="11"/>
        <v>30.283333333333335</v>
      </c>
      <c r="BM18" s="1">
        <f t="shared" si="11"/>
        <v>30.788888888888888</v>
      </c>
      <c r="BN18" s="1">
        <f t="shared" si="11"/>
        <v>31.297222222222221</v>
      </c>
      <c r="BO18" s="1">
        <f t="shared" si="12"/>
        <v>31.297222222222221</v>
      </c>
      <c r="BP18" s="1">
        <f t="shared" si="12"/>
        <v>31.802777777777777</v>
      </c>
      <c r="BQ18" s="1">
        <f t="shared" si="12"/>
        <v>32.31111111111111</v>
      </c>
      <c r="BR18" s="1">
        <f t="shared" si="12"/>
        <v>32.81666666666667</v>
      </c>
      <c r="BS18" s="1">
        <f t="shared" si="12"/>
        <v>33.325000000000003</v>
      </c>
      <c r="BT18" s="1">
        <f t="shared" si="12"/>
        <v>33.833333333333336</v>
      </c>
      <c r="BU18" s="1">
        <f t="shared" si="12"/>
        <v>34.341666666666669</v>
      </c>
      <c r="BV18" s="1">
        <f t="shared" si="12"/>
        <v>34.341666666666669</v>
      </c>
      <c r="BW18" s="1">
        <f t="shared" si="12"/>
        <v>34.847222222222221</v>
      </c>
      <c r="BX18" s="1">
        <f t="shared" si="12"/>
        <v>35.355555555555554</v>
      </c>
      <c r="BY18" s="1">
        <f t="shared" si="12"/>
        <v>35.861111111111114</v>
      </c>
      <c r="BZ18" s="1">
        <f t="shared" si="12"/>
        <v>36.369444444444447</v>
      </c>
      <c r="CA18" s="1">
        <f t="shared" si="12"/>
        <v>36.875</v>
      </c>
      <c r="CB18" s="1">
        <f t="shared" si="12"/>
        <v>37.383333333333333</v>
      </c>
      <c r="CC18" s="1">
        <f t="shared" si="12"/>
        <v>37.891666666666666</v>
      </c>
      <c r="CD18" s="1">
        <f t="shared" si="12"/>
        <v>38.4</v>
      </c>
      <c r="CE18" s="1">
        <f t="shared" si="13"/>
        <v>38.905555555555559</v>
      </c>
      <c r="CF18" s="1">
        <f t="shared" si="13"/>
        <v>39.413888888888891</v>
      </c>
      <c r="CG18" s="1">
        <f t="shared" si="13"/>
        <v>39.919444444444444</v>
      </c>
      <c r="CH18" s="1">
        <f t="shared" si="13"/>
        <v>40.427777777777777</v>
      </c>
      <c r="CI18" s="1">
        <f t="shared" si="13"/>
        <v>40.93333333333333</v>
      </c>
      <c r="CJ18" s="1">
        <f t="shared" si="13"/>
        <v>41.44166666666667</v>
      </c>
      <c r="CK18" s="1">
        <f t="shared" si="13"/>
        <v>41.95</v>
      </c>
      <c r="CL18" s="1">
        <f t="shared" si="13"/>
        <v>42.458333333333336</v>
      </c>
      <c r="CM18" s="1">
        <f t="shared" si="13"/>
        <v>42.963888888888889</v>
      </c>
      <c r="CN18" s="1">
        <f t="shared" si="13"/>
        <v>43.472222222222221</v>
      </c>
      <c r="CO18" s="1">
        <f t="shared" si="13"/>
        <v>43.977777777777774</v>
      </c>
      <c r="CP18" s="1">
        <f t="shared" si="13"/>
        <v>44.486111111111114</v>
      </c>
      <c r="CQ18" s="1">
        <f t="shared" si="13"/>
        <v>44.991666666666667</v>
      </c>
      <c r="CR18" s="1">
        <f t="shared" si="13"/>
        <v>45.5</v>
      </c>
      <c r="CS18" s="1">
        <f t="shared" si="13"/>
        <v>46.008333333333333</v>
      </c>
      <c r="CT18" s="1">
        <f t="shared" si="13"/>
        <v>46.516666666666666</v>
      </c>
      <c r="CU18" s="1">
        <f t="shared" si="14"/>
        <v>47.022222222222226</v>
      </c>
      <c r="CV18" s="1">
        <f t="shared" si="14"/>
        <v>47.530555555555559</v>
      </c>
      <c r="CW18" s="1">
        <f t="shared" si="14"/>
        <v>48.036111111111111</v>
      </c>
      <c r="CX18" s="1">
        <f t="shared" si="14"/>
        <v>48.544444444444444</v>
      </c>
      <c r="CY18" s="1">
        <f t="shared" si="14"/>
        <v>49.05</v>
      </c>
      <c r="CZ18" s="1">
        <f t="shared" si="14"/>
        <v>49.55833333333333</v>
      </c>
      <c r="DA18" s="1">
        <f t="shared" si="14"/>
        <v>50.06666666666667</v>
      </c>
      <c r="DB18" s="1">
        <f t="shared" si="14"/>
        <v>50.575000000000003</v>
      </c>
      <c r="DC18" s="1">
        <f t="shared" si="14"/>
        <v>50.575000000000003</v>
      </c>
    </row>
    <row r="19" spans="1:107" x14ac:dyDescent="0.25">
      <c r="A19">
        <f t="shared" si="7"/>
        <v>3</v>
      </c>
      <c r="B19" s="2">
        <f>yields_BRUTE!B19</f>
        <v>42031</v>
      </c>
      <c r="C19" s="1">
        <f t="shared" ref="C19:R34" si="15">(C$1-$B19)/360</f>
        <v>9.166666666666666E-2</v>
      </c>
      <c r="D19" s="1">
        <f t="shared" si="15"/>
        <v>0.13055555555555556</v>
      </c>
      <c r="E19" s="1">
        <f t="shared" si="15"/>
        <v>0.34722222222222221</v>
      </c>
      <c r="F19" s="1">
        <f t="shared" si="15"/>
        <v>0.60277777777777775</v>
      </c>
      <c r="G19" s="1">
        <f t="shared" si="15"/>
        <v>0.64166666666666672</v>
      </c>
      <c r="H19" s="1">
        <f t="shared" si="15"/>
        <v>0.85555555555555551</v>
      </c>
      <c r="I19" s="1">
        <f t="shared" si="15"/>
        <v>0.85555555555555551</v>
      </c>
      <c r="J19" s="1">
        <f t="shared" si="15"/>
        <v>1.1083333333333334</v>
      </c>
      <c r="K19" s="1">
        <f t="shared" si="15"/>
        <v>1.1472222222222221</v>
      </c>
      <c r="L19" s="1">
        <f t="shared" si="15"/>
        <v>1.3638888888888889</v>
      </c>
      <c r="M19" s="1">
        <f t="shared" si="15"/>
        <v>1.6194444444444445</v>
      </c>
      <c r="N19" s="1">
        <f t="shared" si="15"/>
        <v>1.6194444444444445</v>
      </c>
      <c r="O19" s="1">
        <f t="shared" si="15"/>
        <v>1.6583333333333334</v>
      </c>
      <c r="P19" s="1">
        <f t="shared" si="15"/>
        <v>1.8722222222222222</v>
      </c>
      <c r="Q19" s="1">
        <f t="shared" si="15"/>
        <v>2.161111111111111</v>
      </c>
      <c r="R19" s="1">
        <f t="shared" si="15"/>
        <v>2.3777777777777778</v>
      </c>
      <c r="S19" s="1">
        <f t="shared" si="9"/>
        <v>2.6722222222222221</v>
      </c>
      <c r="T19" s="1">
        <f t="shared" si="9"/>
        <v>2.8861111111111111</v>
      </c>
      <c r="U19" s="1">
        <f t="shared" si="9"/>
        <v>3.1749999999999998</v>
      </c>
      <c r="V19" s="1">
        <f t="shared" si="9"/>
        <v>3.3916666666666666</v>
      </c>
      <c r="W19" s="1">
        <f t="shared" si="9"/>
        <v>3.6861111111111109</v>
      </c>
      <c r="X19" s="1">
        <f t="shared" si="9"/>
        <v>3.9</v>
      </c>
      <c r="Y19" s="1">
        <f t="shared" si="9"/>
        <v>4.1888888888888891</v>
      </c>
      <c r="Z19" s="1">
        <f t="shared" si="9"/>
        <v>4.4055555555555559</v>
      </c>
      <c r="AA19" s="1">
        <f t="shared" si="9"/>
        <v>4.7</v>
      </c>
      <c r="AB19" s="1">
        <f t="shared" si="9"/>
        <v>4.9138888888888888</v>
      </c>
      <c r="AC19" s="1">
        <f t="shared" si="9"/>
        <v>5.2055555555555557</v>
      </c>
      <c r="AD19" s="1">
        <f t="shared" si="9"/>
        <v>5.4222222222222225</v>
      </c>
      <c r="AE19" s="1">
        <f t="shared" si="9"/>
        <v>5.4222222222222225</v>
      </c>
      <c r="AF19" s="3">
        <f t="shared" si="9"/>
        <v>5.7166666666666668</v>
      </c>
      <c r="AG19" s="1">
        <f t="shared" si="9"/>
        <v>5.9305555555555554</v>
      </c>
      <c r="AH19" s="1">
        <f t="shared" si="9"/>
        <v>6.2194444444444441</v>
      </c>
      <c r="AI19" s="1">
        <f t="shared" si="10"/>
        <v>6.2194444444444441</v>
      </c>
      <c r="AJ19" s="1">
        <f t="shared" si="10"/>
        <v>6.4361111111111109</v>
      </c>
      <c r="AK19" s="1">
        <f t="shared" si="10"/>
        <v>6.4361111111111109</v>
      </c>
      <c r="AL19" s="1">
        <f t="shared" si="10"/>
        <v>6.9444444444444446</v>
      </c>
      <c r="AM19" s="1">
        <f t="shared" si="10"/>
        <v>7.45</v>
      </c>
      <c r="AN19" s="1">
        <f t="shared" si="10"/>
        <v>7.45</v>
      </c>
      <c r="AO19" s="1">
        <f t="shared" si="10"/>
        <v>7.958333333333333</v>
      </c>
      <c r="AP19" s="1">
        <f t="shared" si="10"/>
        <v>8.4638888888888886</v>
      </c>
      <c r="AQ19" s="1">
        <f t="shared" si="10"/>
        <v>8.4638888888888886</v>
      </c>
      <c r="AR19" s="1">
        <f t="shared" si="10"/>
        <v>8.9722222222222214</v>
      </c>
      <c r="AS19" s="1">
        <f t="shared" si="10"/>
        <v>9.4805555555555561</v>
      </c>
      <c r="AT19" s="1">
        <f t="shared" si="10"/>
        <v>9.9888888888888889</v>
      </c>
      <c r="AU19" s="1">
        <f t="shared" si="10"/>
        <v>10.494444444444444</v>
      </c>
      <c r="AV19" s="1">
        <f t="shared" si="10"/>
        <v>10.494444444444444</v>
      </c>
      <c r="AW19" s="1">
        <f t="shared" si="10"/>
        <v>15.061111111111112</v>
      </c>
      <c r="AX19" s="1">
        <f t="shared" si="10"/>
        <v>15.566666666666666</v>
      </c>
      <c r="AY19" s="1">
        <f t="shared" si="11"/>
        <v>16.074999999999999</v>
      </c>
      <c r="AZ19" s="1">
        <f t="shared" si="11"/>
        <v>16.580555555555556</v>
      </c>
      <c r="BA19" s="1">
        <f t="shared" si="11"/>
        <v>17.088888888888889</v>
      </c>
      <c r="BB19" s="1">
        <f t="shared" si="11"/>
        <v>17.597222222222221</v>
      </c>
      <c r="BC19" s="1">
        <f t="shared" si="11"/>
        <v>18.105555555555554</v>
      </c>
      <c r="BD19" s="1">
        <f t="shared" si="11"/>
        <v>18.611111111111111</v>
      </c>
      <c r="BE19" s="1">
        <f t="shared" si="11"/>
        <v>18.611111111111111</v>
      </c>
      <c r="BF19" s="1">
        <f t="shared" si="11"/>
        <v>27.236111111111111</v>
      </c>
      <c r="BG19" s="1">
        <f t="shared" si="11"/>
        <v>27.741666666666667</v>
      </c>
      <c r="BH19" s="1">
        <f t="shared" si="11"/>
        <v>28.25</v>
      </c>
      <c r="BI19" s="1">
        <f t="shared" si="11"/>
        <v>28.755555555555556</v>
      </c>
      <c r="BJ19" s="1">
        <f t="shared" si="11"/>
        <v>29.263888888888889</v>
      </c>
      <c r="BK19" s="1">
        <f t="shared" si="11"/>
        <v>29.772222222222222</v>
      </c>
      <c r="BL19" s="1">
        <f t="shared" si="11"/>
        <v>30.280555555555555</v>
      </c>
      <c r="BM19" s="1">
        <f t="shared" si="11"/>
        <v>30.786111111111111</v>
      </c>
      <c r="BN19" s="1">
        <f t="shared" si="11"/>
        <v>31.294444444444444</v>
      </c>
      <c r="BO19" s="1">
        <f t="shared" si="12"/>
        <v>31.294444444444444</v>
      </c>
      <c r="BP19" s="1">
        <f t="shared" si="12"/>
        <v>31.8</v>
      </c>
      <c r="BQ19" s="1">
        <f t="shared" si="12"/>
        <v>32.30833333333333</v>
      </c>
      <c r="BR19" s="1">
        <f t="shared" si="12"/>
        <v>32.81388888888889</v>
      </c>
      <c r="BS19" s="1">
        <f t="shared" si="12"/>
        <v>33.322222222222223</v>
      </c>
      <c r="BT19" s="1">
        <f t="shared" si="12"/>
        <v>33.830555555555556</v>
      </c>
      <c r="BU19" s="1">
        <f t="shared" si="12"/>
        <v>34.338888888888889</v>
      </c>
      <c r="BV19" s="1">
        <f t="shared" si="12"/>
        <v>34.338888888888889</v>
      </c>
      <c r="BW19" s="1">
        <f t="shared" si="12"/>
        <v>34.844444444444441</v>
      </c>
      <c r="BX19" s="1">
        <f t="shared" si="12"/>
        <v>35.352777777777774</v>
      </c>
      <c r="BY19" s="1">
        <f t="shared" si="12"/>
        <v>35.858333333333334</v>
      </c>
      <c r="BZ19" s="1">
        <f t="shared" si="12"/>
        <v>36.366666666666667</v>
      </c>
      <c r="CA19" s="1">
        <f t="shared" si="12"/>
        <v>36.87222222222222</v>
      </c>
      <c r="CB19" s="1">
        <f t="shared" si="12"/>
        <v>37.380555555555553</v>
      </c>
      <c r="CC19" s="1">
        <f t="shared" si="12"/>
        <v>37.888888888888886</v>
      </c>
      <c r="CD19" s="1">
        <f t="shared" si="12"/>
        <v>38.397222222222226</v>
      </c>
      <c r="CE19" s="1">
        <f t="shared" si="13"/>
        <v>38.902777777777779</v>
      </c>
      <c r="CF19" s="1">
        <f t="shared" si="13"/>
        <v>39.411111111111111</v>
      </c>
      <c r="CG19" s="1">
        <f t="shared" si="13"/>
        <v>39.916666666666664</v>
      </c>
      <c r="CH19" s="1">
        <f t="shared" si="13"/>
        <v>40.424999999999997</v>
      </c>
      <c r="CI19" s="1">
        <f t="shared" si="13"/>
        <v>40.930555555555557</v>
      </c>
      <c r="CJ19" s="1">
        <f t="shared" si="13"/>
        <v>41.43888888888889</v>
      </c>
      <c r="CK19" s="1">
        <f t="shared" si="13"/>
        <v>41.947222222222223</v>
      </c>
      <c r="CL19" s="1">
        <f t="shared" si="13"/>
        <v>42.455555555555556</v>
      </c>
      <c r="CM19" s="1">
        <f t="shared" si="13"/>
        <v>42.961111111111109</v>
      </c>
      <c r="CN19" s="1">
        <f t="shared" si="13"/>
        <v>43.469444444444441</v>
      </c>
      <c r="CO19" s="1">
        <f t="shared" si="13"/>
        <v>43.975000000000001</v>
      </c>
      <c r="CP19" s="1">
        <f t="shared" si="13"/>
        <v>44.483333333333334</v>
      </c>
      <c r="CQ19" s="1">
        <f t="shared" si="13"/>
        <v>44.988888888888887</v>
      </c>
      <c r="CR19" s="1">
        <f t="shared" si="13"/>
        <v>45.49722222222222</v>
      </c>
      <c r="CS19" s="1">
        <f t="shared" si="13"/>
        <v>46.005555555555553</v>
      </c>
      <c r="CT19" s="1">
        <f t="shared" si="13"/>
        <v>46.513888888888886</v>
      </c>
      <c r="CU19" s="1">
        <f t="shared" si="14"/>
        <v>47.019444444444446</v>
      </c>
      <c r="CV19" s="1">
        <f t="shared" si="14"/>
        <v>47.527777777777779</v>
      </c>
      <c r="CW19" s="1">
        <f t="shared" si="14"/>
        <v>48.033333333333331</v>
      </c>
      <c r="CX19" s="1">
        <f t="shared" si="14"/>
        <v>48.541666666666664</v>
      </c>
      <c r="CY19" s="1">
        <f t="shared" si="14"/>
        <v>49.047222222222224</v>
      </c>
      <c r="CZ19" s="1">
        <f t="shared" si="14"/>
        <v>49.555555555555557</v>
      </c>
      <c r="DA19" s="1">
        <f t="shared" si="14"/>
        <v>50.06388888888889</v>
      </c>
      <c r="DB19" s="1">
        <f t="shared" si="14"/>
        <v>50.572222222222223</v>
      </c>
      <c r="DC19" s="1">
        <f t="shared" si="14"/>
        <v>50.572222222222223</v>
      </c>
    </row>
    <row r="20" spans="1:107" x14ac:dyDescent="0.25">
      <c r="A20">
        <f t="shared" si="7"/>
        <v>4</v>
      </c>
      <c r="B20" s="2">
        <f>yields_BRUTE!B20</f>
        <v>42032</v>
      </c>
      <c r="C20" s="1">
        <f t="shared" si="15"/>
        <v>8.8888888888888892E-2</v>
      </c>
      <c r="D20" s="1">
        <f t="shared" si="15"/>
        <v>0.12777777777777777</v>
      </c>
      <c r="E20" s="1">
        <f t="shared" si="15"/>
        <v>0.34444444444444444</v>
      </c>
      <c r="F20" s="1">
        <f t="shared" si="15"/>
        <v>0.6</v>
      </c>
      <c r="G20" s="1">
        <f t="shared" si="15"/>
        <v>0.63888888888888884</v>
      </c>
      <c r="H20" s="1">
        <f t="shared" si="15"/>
        <v>0.85277777777777775</v>
      </c>
      <c r="I20" s="1">
        <f t="shared" si="15"/>
        <v>0.85277777777777775</v>
      </c>
      <c r="J20" s="1">
        <f t="shared" si="15"/>
        <v>1.1055555555555556</v>
      </c>
      <c r="K20" s="1">
        <f t="shared" si="15"/>
        <v>1.1444444444444444</v>
      </c>
      <c r="L20" s="1">
        <f t="shared" si="15"/>
        <v>1.3611111111111112</v>
      </c>
      <c r="M20" s="1">
        <f t="shared" si="15"/>
        <v>1.6166666666666667</v>
      </c>
      <c r="N20" s="1">
        <f t="shared" si="15"/>
        <v>1.6166666666666667</v>
      </c>
      <c r="O20" s="1">
        <f t="shared" si="15"/>
        <v>1.6555555555555554</v>
      </c>
      <c r="P20" s="1">
        <f t="shared" si="15"/>
        <v>1.8694444444444445</v>
      </c>
      <c r="Q20" s="1">
        <f t="shared" si="15"/>
        <v>2.1583333333333332</v>
      </c>
      <c r="R20" s="1">
        <f t="shared" si="15"/>
        <v>2.375</v>
      </c>
      <c r="S20" s="1">
        <f t="shared" si="9"/>
        <v>2.6694444444444443</v>
      </c>
      <c r="T20" s="1">
        <f t="shared" si="9"/>
        <v>2.8833333333333333</v>
      </c>
      <c r="U20" s="1">
        <f t="shared" si="9"/>
        <v>3.1722222222222221</v>
      </c>
      <c r="V20" s="1">
        <f t="shared" si="9"/>
        <v>3.3888888888888888</v>
      </c>
      <c r="W20" s="1">
        <f t="shared" si="9"/>
        <v>3.6833333333333331</v>
      </c>
      <c r="X20" s="1">
        <f t="shared" si="9"/>
        <v>3.8972222222222221</v>
      </c>
      <c r="Y20" s="1">
        <f t="shared" si="9"/>
        <v>4.1861111111111109</v>
      </c>
      <c r="Z20" s="1">
        <f t="shared" si="9"/>
        <v>4.4027777777777777</v>
      </c>
      <c r="AA20" s="1">
        <f t="shared" si="9"/>
        <v>4.697222222222222</v>
      </c>
      <c r="AB20" s="1">
        <f t="shared" si="9"/>
        <v>4.9111111111111114</v>
      </c>
      <c r="AC20" s="1">
        <f t="shared" si="9"/>
        <v>5.2027777777777775</v>
      </c>
      <c r="AD20" s="1">
        <f t="shared" si="9"/>
        <v>5.4194444444444443</v>
      </c>
      <c r="AE20" s="1">
        <f t="shared" si="9"/>
        <v>5.4194444444444443</v>
      </c>
      <c r="AF20" s="3">
        <f t="shared" si="9"/>
        <v>5.7138888888888886</v>
      </c>
      <c r="AG20" s="1">
        <f t="shared" si="9"/>
        <v>5.927777777777778</v>
      </c>
      <c r="AH20" s="1">
        <f t="shared" si="9"/>
        <v>6.2166666666666668</v>
      </c>
      <c r="AI20" s="1">
        <f t="shared" si="10"/>
        <v>6.2166666666666668</v>
      </c>
      <c r="AJ20" s="1">
        <f t="shared" si="10"/>
        <v>6.4333333333333336</v>
      </c>
      <c r="AK20" s="1">
        <f t="shared" si="10"/>
        <v>6.4333333333333336</v>
      </c>
      <c r="AL20" s="1">
        <f t="shared" si="10"/>
        <v>6.9416666666666664</v>
      </c>
      <c r="AM20" s="1">
        <f t="shared" si="10"/>
        <v>7.447222222222222</v>
      </c>
      <c r="AN20" s="1">
        <f t="shared" si="10"/>
        <v>7.447222222222222</v>
      </c>
      <c r="AO20" s="1">
        <f t="shared" si="10"/>
        <v>7.9555555555555557</v>
      </c>
      <c r="AP20" s="1">
        <f t="shared" si="10"/>
        <v>8.4611111111111104</v>
      </c>
      <c r="AQ20" s="1">
        <f t="shared" si="10"/>
        <v>8.4611111111111104</v>
      </c>
      <c r="AR20" s="1">
        <f t="shared" si="10"/>
        <v>8.969444444444445</v>
      </c>
      <c r="AS20" s="1">
        <f t="shared" si="10"/>
        <v>9.4777777777777779</v>
      </c>
      <c r="AT20" s="1">
        <f t="shared" si="10"/>
        <v>9.9861111111111107</v>
      </c>
      <c r="AU20" s="1">
        <f t="shared" si="10"/>
        <v>10.491666666666667</v>
      </c>
      <c r="AV20" s="1">
        <f t="shared" si="10"/>
        <v>10.491666666666667</v>
      </c>
      <c r="AW20" s="1">
        <f t="shared" si="10"/>
        <v>15.058333333333334</v>
      </c>
      <c r="AX20" s="1">
        <f t="shared" si="10"/>
        <v>15.563888888888888</v>
      </c>
      <c r="AY20" s="1">
        <f t="shared" si="11"/>
        <v>16.072222222222223</v>
      </c>
      <c r="AZ20" s="1">
        <f t="shared" si="11"/>
        <v>16.577777777777779</v>
      </c>
      <c r="BA20" s="1">
        <f t="shared" si="11"/>
        <v>17.086111111111112</v>
      </c>
      <c r="BB20" s="1">
        <f t="shared" si="11"/>
        <v>17.594444444444445</v>
      </c>
      <c r="BC20" s="1">
        <f t="shared" si="11"/>
        <v>18.102777777777778</v>
      </c>
      <c r="BD20" s="1">
        <f t="shared" si="11"/>
        <v>18.608333333333334</v>
      </c>
      <c r="BE20" s="1">
        <f t="shared" si="11"/>
        <v>18.608333333333334</v>
      </c>
      <c r="BF20" s="1">
        <f t="shared" si="11"/>
        <v>27.233333333333334</v>
      </c>
      <c r="BG20" s="1">
        <f t="shared" si="11"/>
        <v>27.738888888888887</v>
      </c>
      <c r="BH20" s="1">
        <f t="shared" si="11"/>
        <v>28.247222222222224</v>
      </c>
      <c r="BI20" s="1">
        <f t="shared" si="11"/>
        <v>28.752777777777776</v>
      </c>
      <c r="BJ20" s="1">
        <f t="shared" si="11"/>
        <v>29.261111111111113</v>
      </c>
      <c r="BK20" s="1">
        <f t="shared" si="11"/>
        <v>29.769444444444446</v>
      </c>
      <c r="BL20" s="1">
        <f t="shared" si="11"/>
        <v>30.277777777777779</v>
      </c>
      <c r="BM20" s="1">
        <f t="shared" si="11"/>
        <v>30.783333333333335</v>
      </c>
      <c r="BN20" s="1">
        <f t="shared" si="11"/>
        <v>31.291666666666668</v>
      </c>
      <c r="BO20" s="1">
        <f t="shared" si="12"/>
        <v>31.291666666666668</v>
      </c>
      <c r="BP20" s="1">
        <f t="shared" si="12"/>
        <v>31.797222222222221</v>
      </c>
      <c r="BQ20" s="1">
        <f t="shared" si="12"/>
        <v>32.305555555555557</v>
      </c>
      <c r="BR20" s="1">
        <f t="shared" si="12"/>
        <v>32.81111111111111</v>
      </c>
      <c r="BS20" s="1">
        <f t="shared" si="12"/>
        <v>33.319444444444443</v>
      </c>
      <c r="BT20" s="1">
        <f t="shared" si="12"/>
        <v>33.827777777777776</v>
      </c>
      <c r="BU20" s="1">
        <f t="shared" si="12"/>
        <v>34.336111111111109</v>
      </c>
      <c r="BV20" s="1">
        <f t="shared" si="12"/>
        <v>34.336111111111109</v>
      </c>
      <c r="BW20" s="1">
        <f t="shared" si="12"/>
        <v>34.841666666666669</v>
      </c>
      <c r="BX20" s="1">
        <f t="shared" si="12"/>
        <v>35.35</v>
      </c>
      <c r="BY20" s="1">
        <f t="shared" si="12"/>
        <v>35.855555555555554</v>
      </c>
      <c r="BZ20" s="1">
        <f t="shared" si="12"/>
        <v>36.363888888888887</v>
      </c>
      <c r="CA20" s="1">
        <f t="shared" si="12"/>
        <v>36.869444444444447</v>
      </c>
      <c r="CB20" s="1">
        <f t="shared" si="12"/>
        <v>37.37777777777778</v>
      </c>
      <c r="CC20" s="1">
        <f t="shared" si="12"/>
        <v>37.886111111111113</v>
      </c>
      <c r="CD20" s="1">
        <f t="shared" si="12"/>
        <v>38.394444444444446</v>
      </c>
      <c r="CE20" s="1">
        <f t="shared" si="13"/>
        <v>38.9</v>
      </c>
      <c r="CF20" s="1">
        <f t="shared" si="13"/>
        <v>39.408333333333331</v>
      </c>
      <c r="CG20" s="1">
        <f t="shared" si="13"/>
        <v>39.913888888888891</v>
      </c>
      <c r="CH20" s="1">
        <f t="shared" si="13"/>
        <v>40.422222222222224</v>
      </c>
      <c r="CI20" s="1">
        <f t="shared" si="13"/>
        <v>40.927777777777777</v>
      </c>
      <c r="CJ20" s="1">
        <f t="shared" si="13"/>
        <v>41.43611111111111</v>
      </c>
      <c r="CK20" s="1">
        <f t="shared" si="13"/>
        <v>41.944444444444443</v>
      </c>
      <c r="CL20" s="1">
        <f t="shared" si="13"/>
        <v>42.452777777777776</v>
      </c>
      <c r="CM20" s="1">
        <f t="shared" si="13"/>
        <v>42.958333333333336</v>
      </c>
      <c r="CN20" s="1">
        <f t="shared" si="13"/>
        <v>43.466666666666669</v>
      </c>
      <c r="CO20" s="1">
        <f t="shared" si="13"/>
        <v>43.972222222222221</v>
      </c>
      <c r="CP20" s="1">
        <f t="shared" si="13"/>
        <v>44.480555555555554</v>
      </c>
      <c r="CQ20" s="1">
        <f t="shared" si="13"/>
        <v>44.986111111111114</v>
      </c>
      <c r="CR20" s="1">
        <f t="shared" si="13"/>
        <v>45.494444444444447</v>
      </c>
      <c r="CS20" s="1">
        <f t="shared" si="13"/>
        <v>46.00277777777778</v>
      </c>
      <c r="CT20" s="1">
        <f t="shared" si="13"/>
        <v>46.511111111111113</v>
      </c>
      <c r="CU20" s="1">
        <f t="shared" si="14"/>
        <v>47.016666666666666</v>
      </c>
      <c r="CV20" s="1">
        <f t="shared" si="14"/>
        <v>47.524999999999999</v>
      </c>
      <c r="CW20" s="1">
        <f t="shared" si="14"/>
        <v>48.030555555555559</v>
      </c>
      <c r="CX20" s="1">
        <f t="shared" si="14"/>
        <v>48.538888888888891</v>
      </c>
      <c r="CY20" s="1">
        <f t="shared" si="14"/>
        <v>49.044444444444444</v>
      </c>
      <c r="CZ20" s="1">
        <f t="shared" si="14"/>
        <v>49.552777777777777</v>
      </c>
      <c r="DA20" s="1">
        <f t="shared" si="14"/>
        <v>50.06111111111111</v>
      </c>
      <c r="DB20" s="1">
        <f t="shared" si="14"/>
        <v>50.569444444444443</v>
      </c>
      <c r="DC20" s="1">
        <f t="shared" si="14"/>
        <v>50.569444444444443</v>
      </c>
    </row>
    <row r="21" spans="1:107" x14ac:dyDescent="0.25">
      <c r="A21">
        <f t="shared" si="7"/>
        <v>5</v>
      </c>
      <c r="B21" s="2">
        <f>yields_BRUTE!B21</f>
        <v>42033</v>
      </c>
      <c r="C21" s="1">
        <f t="shared" si="15"/>
        <v>8.611111111111111E-2</v>
      </c>
      <c r="D21" s="1">
        <f t="shared" si="15"/>
        <v>0.125</v>
      </c>
      <c r="E21" s="1">
        <f t="shared" si="15"/>
        <v>0.34166666666666667</v>
      </c>
      <c r="F21" s="1">
        <f t="shared" si="15"/>
        <v>0.59722222222222221</v>
      </c>
      <c r="G21" s="1">
        <f t="shared" si="15"/>
        <v>0.63611111111111107</v>
      </c>
      <c r="H21" s="1">
        <f t="shared" si="15"/>
        <v>0.85</v>
      </c>
      <c r="I21" s="1">
        <f t="shared" si="15"/>
        <v>0.85</v>
      </c>
      <c r="J21" s="1">
        <f t="shared" si="15"/>
        <v>1.1027777777777779</v>
      </c>
      <c r="K21" s="1">
        <f t="shared" si="15"/>
        <v>1.1416666666666666</v>
      </c>
      <c r="L21" s="1">
        <f t="shared" si="15"/>
        <v>1.3583333333333334</v>
      </c>
      <c r="M21" s="1">
        <f t="shared" si="15"/>
        <v>1.6138888888888889</v>
      </c>
      <c r="N21" s="1">
        <f t="shared" si="15"/>
        <v>1.6138888888888889</v>
      </c>
      <c r="O21" s="1">
        <f t="shared" si="15"/>
        <v>1.6527777777777777</v>
      </c>
      <c r="P21" s="1">
        <f t="shared" si="15"/>
        <v>1.8666666666666667</v>
      </c>
      <c r="Q21" s="1">
        <f t="shared" si="15"/>
        <v>2.1555555555555554</v>
      </c>
      <c r="R21" s="1">
        <f t="shared" si="15"/>
        <v>2.3722222222222222</v>
      </c>
      <c r="S21" s="1">
        <f t="shared" si="9"/>
        <v>2.6666666666666665</v>
      </c>
      <c r="T21" s="1">
        <f t="shared" si="9"/>
        <v>2.8805555555555555</v>
      </c>
      <c r="U21" s="1">
        <f t="shared" si="9"/>
        <v>3.1694444444444443</v>
      </c>
      <c r="V21" s="1">
        <f t="shared" si="9"/>
        <v>3.3861111111111111</v>
      </c>
      <c r="W21" s="1">
        <f t="shared" si="9"/>
        <v>3.6805555555555554</v>
      </c>
      <c r="X21" s="1">
        <f t="shared" si="9"/>
        <v>3.8944444444444444</v>
      </c>
      <c r="Y21" s="1">
        <f t="shared" si="9"/>
        <v>4.1833333333333336</v>
      </c>
      <c r="Z21" s="1">
        <f t="shared" si="9"/>
        <v>4.4000000000000004</v>
      </c>
      <c r="AA21" s="1">
        <f t="shared" si="9"/>
        <v>4.6944444444444446</v>
      </c>
      <c r="AB21" s="1">
        <f t="shared" si="9"/>
        <v>4.9083333333333332</v>
      </c>
      <c r="AC21" s="1">
        <f t="shared" si="9"/>
        <v>5.2</v>
      </c>
      <c r="AD21" s="1">
        <f t="shared" si="9"/>
        <v>5.416666666666667</v>
      </c>
      <c r="AE21" s="1">
        <f t="shared" si="9"/>
        <v>5.416666666666667</v>
      </c>
      <c r="AF21" s="3">
        <f t="shared" si="9"/>
        <v>5.7111111111111112</v>
      </c>
      <c r="AG21" s="1">
        <f t="shared" si="9"/>
        <v>5.9249999999999998</v>
      </c>
      <c r="AH21" s="1">
        <f t="shared" si="9"/>
        <v>6.2138888888888886</v>
      </c>
      <c r="AI21" s="1">
        <f t="shared" si="10"/>
        <v>6.2138888888888886</v>
      </c>
      <c r="AJ21" s="1">
        <f t="shared" si="10"/>
        <v>6.4305555555555554</v>
      </c>
      <c r="AK21" s="1">
        <f t="shared" si="10"/>
        <v>6.4305555555555554</v>
      </c>
      <c r="AL21" s="1">
        <f t="shared" si="10"/>
        <v>6.9388888888888891</v>
      </c>
      <c r="AM21" s="1">
        <f t="shared" si="10"/>
        <v>7.4444444444444446</v>
      </c>
      <c r="AN21" s="1">
        <f t="shared" si="10"/>
        <v>7.4444444444444446</v>
      </c>
      <c r="AO21" s="1">
        <f t="shared" si="10"/>
        <v>7.9527777777777775</v>
      </c>
      <c r="AP21" s="1">
        <f t="shared" si="10"/>
        <v>8.4583333333333339</v>
      </c>
      <c r="AQ21" s="1">
        <f t="shared" si="10"/>
        <v>8.4583333333333339</v>
      </c>
      <c r="AR21" s="1">
        <f t="shared" si="10"/>
        <v>8.9666666666666668</v>
      </c>
      <c r="AS21" s="1">
        <f t="shared" si="10"/>
        <v>9.4749999999999996</v>
      </c>
      <c r="AT21" s="1">
        <f t="shared" si="10"/>
        <v>9.9833333333333325</v>
      </c>
      <c r="AU21" s="1">
        <f t="shared" si="10"/>
        <v>10.488888888888889</v>
      </c>
      <c r="AV21" s="1">
        <f t="shared" si="10"/>
        <v>10.488888888888889</v>
      </c>
      <c r="AW21" s="1">
        <f t="shared" si="10"/>
        <v>15.055555555555555</v>
      </c>
      <c r="AX21" s="1">
        <f t="shared" si="10"/>
        <v>15.561111111111112</v>
      </c>
      <c r="AY21" s="1">
        <f t="shared" si="11"/>
        <v>16.069444444444443</v>
      </c>
      <c r="AZ21" s="1">
        <f t="shared" si="11"/>
        <v>16.574999999999999</v>
      </c>
      <c r="BA21" s="1">
        <f t="shared" si="11"/>
        <v>17.083333333333332</v>
      </c>
      <c r="BB21" s="1">
        <f t="shared" si="11"/>
        <v>17.591666666666665</v>
      </c>
      <c r="BC21" s="1">
        <f t="shared" si="11"/>
        <v>18.100000000000001</v>
      </c>
      <c r="BD21" s="1">
        <f t="shared" si="11"/>
        <v>18.605555555555554</v>
      </c>
      <c r="BE21" s="1">
        <f t="shared" si="11"/>
        <v>18.605555555555554</v>
      </c>
      <c r="BF21" s="1">
        <f t="shared" si="11"/>
        <v>27.230555555555554</v>
      </c>
      <c r="BG21" s="1">
        <f t="shared" si="11"/>
        <v>27.736111111111111</v>
      </c>
      <c r="BH21" s="1">
        <f t="shared" si="11"/>
        <v>28.244444444444444</v>
      </c>
      <c r="BI21" s="1">
        <f t="shared" si="11"/>
        <v>28.75</v>
      </c>
      <c r="BJ21" s="1">
        <f t="shared" si="11"/>
        <v>29.258333333333333</v>
      </c>
      <c r="BK21" s="1">
        <f t="shared" si="11"/>
        <v>29.766666666666666</v>
      </c>
      <c r="BL21" s="1">
        <f t="shared" si="11"/>
        <v>30.274999999999999</v>
      </c>
      <c r="BM21" s="1">
        <f t="shared" si="11"/>
        <v>30.780555555555555</v>
      </c>
      <c r="BN21" s="1">
        <f t="shared" si="11"/>
        <v>31.288888888888888</v>
      </c>
      <c r="BO21" s="1">
        <f t="shared" si="12"/>
        <v>31.288888888888888</v>
      </c>
      <c r="BP21" s="1">
        <f t="shared" si="12"/>
        <v>31.794444444444444</v>
      </c>
      <c r="BQ21" s="1">
        <f t="shared" si="12"/>
        <v>32.302777777777777</v>
      </c>
      <c r="BR21" s="1">
        <f t="shared" si="12"/>
        <v>32.80833333333333</v>
      </c>
      <c r="BS21" s="1">
        <f t="shared" si="12"/>
        <v>33.31666666666667</v>
      </c>
      <c r="BT21" s="1">
        <f t="shared" si="12"/>
        <v>33.825000000000003</v>
      </c>
      <c r="BU21" s="1">
        <f t="shared" si="12"/>
        <v>34.333333333333336</v>
      </c>
      <c r="BV21" s="1">
        <f t="shared" si="12"/>
        <v>34.333333333333336</v>
      </c>
      <c r="BW21" s="1">
        <f t="shared" si="12"/>
        <v>34.838888888888889</v>
      </c>
      <c r="BX21" s="1">
        <f t="shared" si="12"/>
        <v>35.347222222222221</v>
      </c>
      <c r="BY21" s="1">
        <f t="shared" si="12"/>
        <v>35.852777777777774</v>
      </c>
      <c r="BZ21" s="1">
        <f t="shared" si="12"/>
        <v>36.361111111111114</v>
      </c>
      <c r="CA21" s="1">
        <f t="shared" si="12"/>
        <v>36.866666666666667</v>
      </c>
      <c r="CB21" s="1">
        <f t="shared" si="12"/>
        <v>37.375</v>
      </c>
      <c r="CC21" s="1">
        <f t="shared" si="12"/>
        <v>37.883333333333333</v>
      </c>
      <c r="CD21" s="1">
        <f t="shared" si="12"/>
        <v>38.391666666666666</v>
      </c>
      <c r="CE21" s="1">
        <f t="shared" si="13"/>
        <v>38.897222222222226</v>
      </c>
      <c r="CF21" s="1">
        <f t="shared" si="13"/>
        <v>39.405555555555559</v>
      </c>
      <c r="CG21" s="1">
        <f t="shared" si="13"/>
        <v>39.911111111111111</v>
      </c>
      <c r="CH21" s="1">
        <f t="shared" si="13"/>
        <v>40.419444444444444</v>
      </c>
      <c r="CI21" s="1">
        <f t="shared" si="13"/>
        <v>40.924999999999997</v>
      </c>
      <c r="CJ21" s="1">
        <f t="shared" si="13"/>
        <v>41.43333333333333</v>
      </c>
      <c r="CK21" s="1">
        <f t="shared" si="13"/>
        <v>41.94166666666667</v>
      </c>
      <c r="CL21" s="1">
        <f t="shared" si="13"/>
        <v>42.45</v>
      </c>
      <c r="CM21" s="1">
        <f t="shared" si="13"/>
        <v>42.955555555555556</v>
      </c>
      <c r="CN21" s="1">
        <f t="shared" si="13"/>
        <v>43.463888888888889</v>
      </c>
      <c r="CO21" s="1">
        <f t="shared" si="13"/>
        <v>43.969444444444441</v>
      </c>
      <c r="CP21" s="1">
        <f t="shared" si="13"/>
        <v>44.477777777777774</v>
      </c>
      <c r="CQ21" s="1">
        <f t="shared" si="13"/>
        <v>44.983333333333334</v>
      </c>
      <c r="CR21" s="1">
        <f t="shared" si="13"/>
        <v>45.491666666666667</v>
      </c>
      <c r="CS21" s="1">
        <f t="shared" si="13"/>
        <v>46</v>
      </c>
      <c r="CT21" s="1">
        <f t="shared" si="13"/>
        <v>46.508333333333333</v>
      </c>
      <c r="CU21" s="1">
        <f t="shared" si="14"/>
        <v>47.013888888888886</v>
      </c>
      <c r="CV21" s="1">
        <f t="shared" si="14"/>
        <v>47.522222222222226</v>
      </c>
      <c r="CW21" s="1">
        <f t="shared" si="14"/>
        <v>48.027777777777779</v>
      </c>
      <c r="CX21" s="1">
        <f t="shared" si="14"/>
        <v>48.536111111111111</v>
      </c>
      <c r="CY21" s="1">
        <f t="shared" si="14"/>
        <v>49.041666666666664</v>
      </c>
      <c r="CZ21" s="1">
        <f t="shared" si="14"/>
        <v>49.55</v>
      </c>
      <c r="DA21" s="1">
        <f t="shared" si="14"/>
        <v>50.05833333333333</v>
      </c>
      <c r="DB21" s="1">
        <f t="shared" si="14"/>
        <v>50.56666666666667</v>
      </c>
      <c r="DC21" s="1">
        <f t="shared" si="14"/>
        <v>50.56666666666667</v>
      </c>
    </row>
    <row r="22" spans="1:107" x14ac:dyDescent="0.25">
      <c r="A22">
        <f t="shared" si="7"/>
        <v>6</v>
      </c>
      <c r="B22" s="2">
        <f>yields_BRUTE!B22</f>
        <v>42034</v>
      </c>
      <c r="C22" s="1">
        <f t="shared" si="15"/>
        <v>8.3333333333333329E-2</v>
      </c>
      <c r="D22" s="1">
        <f t="shared" si="15"/>
        <v>0.12222222222222222</v>
      </c>
      <c r="E22" s="1">
        <f t="shared" si="15"/>
        <v>0.33888888888888891</v>
      </c>
      <c r="F22" s="1">
        <f t="shared" si="15"/>
        <v>0.59444444444444444</v>
      </c>
      <c r="G22" s="1">
        <f t="shared" si="15"/>
        <v>0.6333333333333333</v>
      </c>
      <c r="H22" s="1">
        <f t="shared" si="15"/>
        <v>0.84722222222222221</v>
      </c>
      <c r="I22" s="1">
        <f t="shared" si="15"/>
        <v>0.84722222222222221</v>
      </c>
      <c r="J22" s="1">
        <f t="shared" si="15"/>
        <v>1.1000000000000001</v>
      </c>
      <c r="K22" s="1">
        <f t="shared" si="15"/>
        <v>1.1388888888888888</v>
      </c>
      <c r="L22" s="1">
        <f t="shared" si="15"/>
        <v>1.3555555555555556</v>
      </c>
      <c r="M22" s="1">
        <f t="shared" si="15"/>
        <v>1.6111111111111112</v>
      </c>
      <c r="N22" s="1">
        <f t="shared" si="15"/>
        <v>1.6111111111111112</v>
      </c>
      <c r="O22" s="1">
        <f t="shared" si="15"/>
        <v>1.65</v>
      </c>
      <c r="P22" s="1">
        <f t="shared" si="15"/>
        <v>1.8638888888888889</v>
      </c>
      <c r="Q22" s="1">
        <f t="shared" si="15"/>
        <v>2.1527777777777777</v>
      </c>
      <c r="R22" s="1">
        <f t="shared" si="15"/>
        <v>2.3694444444444445</v>
      </c>
      <c r="S22" s="1">
        <f t="shared" si="9"/>
        <v>2.6638888888888888</v>
      </c>
      <c r="T22" s="1">
        <f t="shared" si="9"/>
        <v>2.8777777777777778</v>
      </c>
      <c r="U22" s="1">
        <f t="shared" si="9"/>
        <v>3.1666666666666665</v>
      </c>
      <c r="V22" s="1">
        <f t="shared" si="9"/>
        <v>3.3833333333333333</v>
      </c>
      <c r="W22" s="1">
        <f t="shared" si="9"/>
        <v>3.6777777777777776</v>
      </c>
      <c r="X22" s="1">
        <f t="shared" si="9"/>
        <v>3.8916666666666666</v>
      </c>
      <c r="Y22" s="1">
        <f t="shared" si="9"/>
        <v>4.1805555555555554</v>
      </c>
      <c r="Z22" s="1">
        <f t="shared" si="9"/>
        <v>4.3972222222222221</v>
      </c>
      <c r="AA22" s="1">
        <f t="shared" si="9"/>
        <v>4.6916666666666664</v>
      </c>
      <c r="AB22" s="1">
        <f t="shared" si="9"/>
        <v>4.9055555555555559</v>
      </c>
      <c r="AC22" s="1">
        <f t="shared" si="9"/>
        <v>5.197222222222222</v>
      </c>
      <c r="AD22" s="1">
        <f t="shared" si="9"/>
        <v>5.4138888888888888</v>
      </c>
      <c r="AE22" s="1">
        <f t="shared" si="9"/>
        <v>5.4138888888888888</v>
      </c>
      <c r="AF22" s="3">
        <f t="shared" si="9"/>
        <v>5.708333333333333</v>
      </c>
      <c r="AG22" s="1">
        <f t="shared" si="9"/>
        <v>5.9222222222222225</v>
      </c>
      <c r="AH22" s="1">
        <f t="shared" si="9"/>
        <v>6.2111111111111112</v>
      </c>
      <c r="AI22" s="1">
        <f t="shared" si="10"/>
        <v>6.2111111111111112</v>
      </c>
      <c r="AJ22" s="1">
        <f t="shared" si="10"/>
        <v>6.427777777777778</v>
      </c>
      <c r="AK22" s="1">
        <f t="shared" si="10"/>
        <v>6.427777777777778</v>
      </c>
      <c r="AL22" s="1">
        <f t="shared" si="10"/>
        <v>6.9361111111111109</v>
      </c>
      <c r="AM22" s="1">
        <f t="shared" si="10"/>
        <v>7.4416666666666664</v>
      </c>
      <c r="AN22" s="1">
        <f t="shared" si="10"/>
        <v>7.4416666666666664</v>
      </c>
      <c r="AO22" s="1">
        <f t="shared" si="10"/>
        <v>7.95</v>
      </c>
      <c r="AP22" s="1">
        <f t="shared" si="10"/>
        <v>8.4555555555555557</v>
      </c>
      <c r="AQ22" s="1">
        <f t="shared" si="10"/>
        <v>8.4555555555555557</v>
      </c>
      <c r="AR22" s="1">
        <f t="shared" si="10"/>
        <v>8.9638888888888886</v>
      </c>
      <c r="AS22" s="1">
        <f t="shared" si="10"/>
        <v>9.4722222222222214</v>
      </c>
      <c r="AT22" s="1">
        <f t="shared" si="10"/>
        <v>9.9805555555555561</v>
      </c>
      <c r="AU22" s="1">
        <f t="shared" si="10"/>
        <v>10.486111111111111</v>
      </c>
      <c r="AV22" s="1">
        <f t="shared" si="10"/>
        <v>10.486111111111111</v>
      </c>
      <c r="AW22" s="1">
        <f t="shared" si="10"/>
        <v>15.052777777777777</v>
      </c>
      <c r="AX22" s="1">
        <f t="shared" si="10"/>
        <v>15.558333333333334</v>
      </c>
      <c r="AY22" s="1">
        <f t="shared" si="11"/>
        <v>16.066666666666666</v>
      </c>
      <c r="AZ22" s="1">
        <f t="shared" si="11"/>
        <v>16.572222222222223</v>
      </c>
      <c r="BA22" s="1">
        <f t="shared" si="11"/>
        <v>17.080555555555556</v>
      </c>
      <c r="BB22" s="1">
        <f t="shared" si="11"/>
        <v>17.588888888888889</v>
      </c>
      <c r="BC22" s="1">
        <f t="shared" si="11"/>
        <v>18.097222222222221</v>
      </c>
      <c r="BD22" s="1">
        <f t="shared" si="11"/>
        <v>18.602777777777778</v>
      </c>
      <c r="BE22" s="1">
        <f t="shared" si="11"/>
        <v>18.602777777777778</v>
      </c>
      <c r="BF22" s="1">
        <f t="shared" si="11"/>
        <v>27.227777777777778</v>
      </c>
      <c r="BG22" s="1">
        <f t="shared" si="11"/>
        <v>27.733333333333334</v>
      </c>
      <c r="BH22" s="1">
        <f t="shared" si="11"/>
        <v>28.241666666666667</v>
      </c>
      <c r="BI22" s="1">
        <f t="shared" si="11"/>
        <v>28.747222222222224</v>
      </c>
      <c r="BJ22" s="1">
        <f t="shared" si="11"/>
        <v>29.255555555555556</v>
      </c>
      <c r="BK22" s="1">
        <f t="shared" si="11"/>
        <v>29.763888888888889</v>
      </c>
      <c r="BL22" s="1">
        <f t="shared" si="11"/>
        <v>30.272222222222222</v>
      </c>
      <c r="BM22" s="1">
        <f t="shared" si="11"/>
        <v>30.777777777777779</v>
      </c>
      <c r="BN22" s="1">
        <f t="shared" si="11"/>
        <v>31.286111111111111</v>
      </c>
      <c r="BO22" s="1">
        <f t="shared" si="12"/>
        <v>31.286111111111111</v>
      </c>
      <c r="BP22" s="1">
        <f t="shared" si="12"/>
        <v>31.791666666666668</v>
      </c>
      <c r="BQ22" s="1">
        <f t="shared" si="12"/>
        <v>32.299999999999997</v>
      </c>
      <c r="BR22" s="1">
        <f t="shared" si="12"/>
        <v>32.805555555555557</v>
      </c>
      <c r="BS22" s="1">
        <f t="shared" si="12"/>
        <v>33.31388888888889</v>
      </c>
      <c r="BT22" s="1">
        <f t="shared" si="12"/>
        <v>33.822222222222223</v>
      </c>
      <c r="BU22" s="1">
        <f t="shared" si="12"/>
        <v>34.330555555555556</v>
      </c>
      <c r="BV22" s="1">
        <f t="shared" si="12"/>
        <v>34.330555555555556</v>
      </c>
      <c r="BW22" s="1">
        <f t="shared" si="12"/>
        <v>34.836111111111109</v>
      </c>
      <c r="BX22" s="1">
        <f t="shared" si="12"/>
        <v>35.344444444444441</v>
      </c>
      <c r="BY22" s="1">
        <f t="shared" si="12"/>
        <v>35.85</v>
      </c>
      <c r="BZ22" s="1">
        <f t="shared" si="12"/>
        <v>36.358333333333334</v>
      </c>
      <c r="CA22" s="1">
        <f t="shared" si="12"/>
        <v>36.863888888888887</v>
      </c>
      <c r="CB22" s="1">
        <f t="shared" si="12"/>
        <v>37.37222222222222</v>
      </c>
      <c r="CC22" s="1">
        <f t="shared" si="12"/>
        <v>37.880555555555553</v>
      </c>
      <c r="CD22" s="1">
        <f t="shared" si="12"/>
        <v>38.388888888888886</v>
      </c>
      <c r="CE22" s="1">
        <f t="shared" si="13"/>
        <v>38.894444444444446</v>
      </c>
      <c r="CF22" s="1">
        <f t="shared" si="13"/>
        <v>39.402777777777779</v>
      </c>
      <c r="CG22" s="1">
        <f t="shared" si="13"/>
        <v>39.908333333333331</v>
      </c>
      <c r="CH22" s="1">
        <f t="shared" si="13"/>
        <v>40.416666666666664</v>
      </c>
      <c r="CI22" s="1">
        <f t="shared" si="13"/>
        <v>40.922222222222224</v>
      </c>
      <c r="CJ22" s="1">
        <f t="shared" si="13"/>
        <v>41.430555555555557</v>
      </c>
      <c r="CK22" s="1">
        <f t="shared" si="13"/>
        <v>41.93888888888889</v>
      </c>
      <c r="CL22" s="1">
        <f t="shared" si="13"/>
        <v>42.447222222222223</v>
      </c>
      <c r="CM22" s="1">
        <f t="shared" si="13"/>
        <v>42.952777777777776</v>
      </c>
      <c r="CN22" s="1">
        <f t="shared" si="13"/>
        <v>43.461111111111109</v>
      </c>
      <c r="CO22" s="1">
        <f t="shared" si="13"/>
        <v>43.966666666666669</v>
      </c>
      <c r="CP22" s="1">
        <f t="shared" si="13"/>
        <v>44.475000000000001</v>
      </c>
      <c r="CQ22" s="1">
        <f t="shared" si="13"/>
        <v>44.980555555555554</v>
      </c>
      <c r="CR22" s="1">
        <f t="shared" si="13"/>
        <v>45.488888888888887</v>
      </c>
      <c r="CS22" s="1">
        <f t="shared" si="13"/>
        <v>45.99722222222222</v>
      </c>
      <c r="CT22" s="1">
        <f t="shared" si="13"/>
        <v>46.505555555555553</v>
      </c>
      <c r="CU22" s="1">
        <f t="shared" si="14"/>
        <v>47.011111111111113</v>
      </c>
      <c r="CV22" s="1">
        <f t="shared" si="14"/>
        <v>47.519444444444446</v>
      </c>
      <c r="CW22" s="1">
        <f t="shared" si="14"/>
        <v>48.024999999999999</v>
      </c>
      <c r="CX22" s="1">
        <f t="shared" si="14"/>
        <v>48.533333333333331</v>
      </c>
      <c r="CY22" s="1">
        <f t="shared" si="14"/>
        <v>49.038888888888891</v>
      </c>
      <c r="CZ22" s="1">
        <f t="shared" si="14"/>
        <v>49.547222222222224</v>
      </c>
      <c r="DA22" s="1">
        <f t="shared" si="14"/>
        <v>50.055555555555557</v>
      </c>
      <c r="DB22" s="1">
        <f t="shared" si="14"/>
        <v>50.56388888888889</v>
      </c>
      <c r="DC22" s="1">
        <f t="shared" si="14"/>
        <v>50.56388888888889</v>
      </c>
    </row>
    <row r="23" spans="1:107" x14ac:dyDescent="0.25">
      <c r="A23">
        <f t="shared" si="7"/>
        <v>2</v>
      </c>
      <c r="B23" s="2">
        <f>yields_BRUTE!B23</f>
        <v>42037</v>
      </c>
      <c r="C23" s="1">
        <f t="shared" si="15"/>
        <v>7.4999999999999997E-2</v>
      </c>
      <c r="D23" s="1">
        <f t="shared" si="15"/>
        <v>0.11388888888888889</v>
      </c>
      <c r="E23" s="1">
        <f t="shared" si="15"/>
        <v>0.33055555555555555</v>
      </c>
      <c r="F23" s="1">
        <f t="shared" si="15"/>
        <v>0.58611111111111114</v>
      </c>
      <c r="G23" s="1">
        <f t="shared" si="15"/>
        <v>0.625</v>
      </c>
      <c r="H23" s="1">
        <f t="shared" si="15"/>
        <v>0.83888888888888891</v>
      </c>
      <c r="I23" s="1">
        <f t="shared" si="15"/>
        <v>0.83888888888888891</v>
      </c>
      <c r="J23" s="1">
        <f t="shared" si="15"/>
        <v>1.0916666666666666</v>
      </c>
      <c r="K23" s="1">
        <f t="shared" si="15"/>
        <v>1.1305555555555555</v>
      </c>
      <c r="L23" s="1">
        <f t="shared" si="15"/>
        <v>1.3472222222222223</v>
      </c>
      <c r="M23" s="1">
        <f t="shared" si="15"/>
        <v>1.6027777777777779</v>
      </c>
      <c r="N23" s="1">
        <f t="shared" si="15"/>
        <v>1.6027777777777779</v>
      </c>
      <c r="O23" s="1">
        <f t="shared" si="15"/>
        <v>1.6416666666666666</v>
      </c>
      <c r="P23" s="1">
        <f t="shared" si="15"/>
        <v>1.8555555555555556</v>
      </c>
      <c r="Q23" s="1">
        <f t="shared" si="15"/>
        <v>2.1444444444444444</v>
      </c>
      <c r="R23" s="1">
        <f t="shared" si="15"/>
        <v>2.3611111111111112</v>
      </c>
      <c r="S23" s="1">
        <f t="shared" si="9"/>
        <v>2.6555555555555554</v>
      </c>
      <c r="T23" s="1">
        <f t="shared" si="9"/>
        <v>2.8694444444444445</v>
      </c>
      <c r="U23" s="1">
        <f t="shared" si="9"/>
        <v>3.1583333333333332</v>
      </c>
      <c r="V23" s="1">
        <f t="shared" si="9"/>
        <v>3.375</v>
      </c>
      <c r="W23" s="1">
        <f t="shared" si="9"/>
        <v>3.6694444444444443</v>
      </c>
      <c r="X23" s="1">
        <f t="shared" si="9"/>
        <v>3.8833333333333333</v>
      </c>
      <c r="Y23" s="1">
        <f t="shared" si="9"/>
        <v>4.1722222222222225</v>
      </c>
      <c r="Z23" s="1">
        <f t="shared" si="9"/>
        <v>4.3888888888888893</v>
      </c>
      <c r="AA23" s="1">
        <f t="shared" si="9"/>
        <v>4.6833333333333336</v>
      </c>
      <c r="AB23" s="1">
        <f t="shared" si="9"/>
        <v>4.8972222222222221</v>
      </c>
      <c r="AC23" s="1">
        <f t="shared" si="9"/>
        <v>5.1888888888888891</v>
      </c>
      <c r="AD23" s="1">
        <f t="shared" si="9"/>
        <v>5.4055555555555559</v>
      </c>
      <c r="AE23" s="1">
        <f t="shared" si="9"/>
        <v>5.4055555555555559</v>
      </c>
      <c r="AF23" s="3">
        <f t="shared" si="9"/>
        <v>5.7</v>
      </c>
      <c r="AG23" s="1">
        <f t="shared" si="9"/>
        <v>5.9138888888888888</v>
      </c>
      <c r="AH23" s="1">
        <f t="shared" si="9"/>
        <v>6.2027777777777775</v>
      </c>
      <c r="AI23" s="1">
        <f t="shared" si="10"/>
        <v>6.2027777777777775</v>
      </c>
      <c r="AJ23" s="1">
        <f t="shared" si="10"/>
        <v>6.4194444444444443</v>
      </c>
      <c r="AK23" s="1">
        <f t="shared" si="10"/>
        <v>6.4194444444444443</v>
      </c>
      <c r="AL23" s="1">
        <f t="shared" si="10"/>
        <v>6.927777777777778</v>
      </c>
      <c r="AM23" s="1">
        <f t="shared" si="10"/>
        <v>7.4333333333333336</v>
      </c>
      <c r="AN23" s="1">
        <f t="shared" si="10"/>
        <v>7.4333333333333336</v>
      </c>
      <c r="AO23" s="1">
        <f t="shared" si="10"/>
        <v>7.9416666666666664</v>
      </c>
      <c r="AP23" s="1">
        <f t="shared" si="10"/>
        <v>8.4472222222222229</v>
      </c>
      <c r="AQ23" s="1">
        <f t="shared" si="10"/>
        <v>8.4472222222222229</v>
      </c>
      <c r="AR23" s="1">
        <f t="shared" si="10"/>
        <v>8.9555555555555557</v>
      </c>
      <c r="AS23" s="1">
        <f t="shared" si="10"/>
        <v>9.4638888888888886</v>
      </c>
      <c r="AT23" s="1">
        <f t="shared" si="10"/>
        <v>9.9722222222222214</v>
      </c>
      <c r="AU23" s="1">
        <f t="shared" si="10"/>
        <v>10.477777777777778</v>
      </c>
      <c r="AV23" s="1">
        <f t="shared" si="10"/>
        <v>10.477777777777778</v>
      </c>
      <c r="AW23" s="1">
        <f t="shared" si="10"/>
        <v>15.044444444444444</v>
      </c>
      <c r="AX23" s="1">
        <f t="shared" si="10"/>
        <v>15.55</v>
      </c>
      <c r="AY23" s="1">
        <f t="shared" si="11"/>
        <v>16.058333333333334</v>
      </c>
      <c r="AZ23" s="1">
        <f t="shared" si="11"/>
        <v>16.56388888888889</v>
      </c>
      <c r="BA23" s="1">
        <f t="shared" si="11"/>
        <v>17.072222222222223</v>
      </c>
      <c r="BB23" s="1">
        <f t="shared" si="11"/>
        <v>17.580555555555556</v>
      </c>
      <c r="BC23" s="1">
        <f t="shared" si="11"/>
        <v>18.088888888888889</v>
      </c>
      <c r="BD23" s="1">
        <f t="shared" si="11"/>
        <v>18.594444444444445</v>
      </c>
      <c r="BE23" s="1">
        <f t="shared" si="11"/>
        <v>18.594444444444445</v>
      </c>
      <c r="BF23" s="1">
        <f t="shared" si="11"/>
        <v>27.219444444444445</v>
      </c>
      <c r="BG23" s="1">
        <f t="shared" si="11"/>
        <v>27.725000000000001</v>
      </c>
      <c r="BH23" s="1">
        <f t="shared" si="11"/>
        <v>28.233333333333334</v>
      </c>
      <c r="BI23" s="1">
        <f t="shared" si="11"/>
        <v>28.738888888888887</v>
      </c>
      <c r="BJ23" s="1">
        <f t="shared" si="11"/>
        <v>29.247222222222224</v>
      </c>
      <c r="BK23" s="1">
        <f t="shared" si="11"/>
        <v>29.755555555555556</v>
      </c>
      <c r="BL23" s="1">
        <f t="shared" si="11"/>
        <v>30.263888888888889</v>
      </c>
      <c r="BM23" s="1">
        <f t="shared" si="11"/>
        <v>30.769444444444446</v>
      </c>
      <c r="BN23" s="1">
        <f t="shared" si="11"/>
        <v>31.277777777777779</v>
      </c>
      <c r="BO23" s="1">
        <f t="shared" si="12"/>
        <v>31.277777777777779</v>
      </c>
      <c r="BP23" s="1">
        <f t="shared" si="12"/>
        <v>31.783333333333335</v>
      </c>
      <c r="BQ23" s="1">
        <f t="shared" si="12"/>
        <v>32.291666666666664</v>
      </c>
      <c r="BR23" s="1">
        <f t="shared" si="12"/>
        <v>32.797222222222224</v>
      </c>
      <c r="BS23" s="1">
        <f t="shared" si="12"/>
        <v>33.305555555555557</v>
      </c>
      <c r="BT23" s="1">
        <f t="shared" si="12"/>
        <v>33.81388888888889</v>
      </c>
      <c r="BU23" s="1">
        <f t="shared" si="12"/>
        <v>34.322222222222223</v>
      </c>
      <c r="BV23" s="1">
        <f t="shared" si="12"/>
        <v>34.322222222222223</v>
      </c>
      <c r="BW23" s="1">
        <f t="shared" si="12"/>
        <v>34.827777777777776</v>
      </c>
      <c r="BX23" s="1">
        <f t="shared" si="12"/>
        <v>35.336111111111109</v>
      </c>
      <c r="BY23" s="1">
        <f t="shared" si="12"/>
        <v>35.841666666666669</v>
      </c>
      <c r="BZ23" s="1">
        <f t="shared" si="12"/>
        <v>36.35</v>
      </c>
      <c r="CA23" s="1">
        <f t="shared" si="12"/>
        <v>36.855555555555554</v>
      </c>
      <c r="CB23" s="1">
        <f t="shared" si="12"/>
        <v>37.363888888888887</v>
      </c>
      <c r="CC23" s="1">
        <f t="shared" si="12"/>
        <v>37.87222222222222</v>
      </c>
      <c r="CD23" s="1">
        <f t="shared" si="12"/>
        <v>38.380555555555553</v>
      </c>
      <c r="CE23" s="1">
        <f t="shared" si="13"/>
        <v>38.886111111111113</v>
      </c>
      <c r="CF23" s="1">
        <f t="shared" si="13"/>
        <v>39.394444444444446</v>
      </c>
      <c r="CG23" s="1">
        <f t="shared" si="13"/>
        <v>39.9</v>
      </c>
      <c r="CH23" s="1">
        <f t="shared" si="13"/>
        <v>40.408333333333331</v>
      </c>
      <c r="CI23" s="1">
        <f t="shared" si="13"/>
        <v>40.913888888888891</v>
      </c>
      <c r="CJ23" s="1">
        <f t="shared" si="13"/>
        <v>41.422222222222224</v>
      </c>
      <c r="CK23" s="1">
        <f t="shared" si="13"/>
        <v>41.930555555555557</v>
      </c>
      <c r="CL23" s="1">
        <f t="shared" si="13"/>
        <v>42.43888888888889</v>
      </c>
      <c r="CM23" s="1">
        <f t="shared" si="13"/>
        <v>42.944444444444443</v>
      </c>
      <c r="CN23" s="1">
        <f t="shared" si="13"/>
        <v>43.452777777777776</v>
      </c>
      <c r="CO23" s="1">
        <f t="shared" si="13"/>
        <v>43.958333333333336</v>
      </c>
      <c r="CP23" s="1">
        <f t="shared" si="13"/>
        <v>44.466666666666669</v>
      </c>
      <c r="CQ23" s="1">
        <f t="shared" si="13"/>
        <v>44.972222222222221</v>
      </c>
      <c r="CR23" s="1">
        <f t="shared" si="13"/>
        <v>45.480555555555554</v>
      </c>
      <c r="CS23" s="1">
        <f t="shared" si="13"/>
        <v>45.988888888888887</v>
      </c>
      <c r="CT23" s="1">
        <f t="shared" si="13"/>
        <v>46.49722222222222</v>
      </c>
      <c r="CU23" s="1">
        <f t="shared" si="14"/>
        <v>47.00277777777778</v>
      </c>
      <c r="CV23" s="1">
        <f t="shared" si="14"/>
        <v>47.511111111111113</v>
      </c>
      <c r="CW23" s="1">
        <f t="shared" si="14"/>
        <v>48.016666666666666</v>
      </c>
      <c r="CX23" s="1">
        <f t="shared" si="14"/>
        <v>48.524999999999999</v>
      </c>
      <c r="CY23" s="1">
        <f t="shared" si="14"/>
        <v>49.030555555555559</v>
      </c>
      <c r="CZ23" s="1">
        <f t="shared" si="14"/>
        <v>49.538888888888891</v>
      </c>
      <c r="DA23" s="1">
        <f t="shared" si="14"/>
        <v>50.047222222222224</v>
      </c>
      <c r="DB23" s="1">
        <f t="shared" si="14"/>
        <v>50.555555555555557</v>
      </c>
      <c r="DC23" s="1">
        <f t="shared" si="14"/>
        <v>50.555555555555557</v>
      </c>
    </row>
    <row r="24" spans="1:107" x14ac:dyDescent="0.25">
      <c r="A24">
        <f t="shared" si="7"/>
        <v>3</v>
      </c>
      <c r="B24" s="2">
        <f>yields_BRUTE!B24</f>
        <v>42038</v>
      </c>
      <c r="C24" s="1">
        <f t="shared" si="15"/>
        <v>7.2222222222222215E-2</v>
      </c>
      <c r="D24" s="1">
        <f t="shared" si="15"/>
        <v>0.1111111111111111</v>
      </c>
      <c r="E24" s="1">
        <f t="shared" si="15"/>
        <v>0.32777777777777778</v>
      </c>
      <c r="F24" s="1">
        <f t="shared" si="15"/>
        <v>0.58333333333333337</v>
      </c>
      <c r="G24" s="1">
        <f t="shared" si="15"/>
        <v>0.62222222222222223</v>
      </c>
      <c r="H24" s="1">
        <f t="shared" si="15"/>
        <v>0.83611111111111114</v>
      </c>
      <c r="I24" s="1">
        <f t="shared" si="15"/>
        <v>0.83611111111111114</v>
      </c>
      <c r="J24" s="1">
        <f t="shared" si="15"/>
        <v>1.0888888888888888</v>
      </c>
      <c r="K24" s="1">
        <f t="shared" si="15"/>
        <v>1.1277777777777778</v>
      </c>
      <c r="L24" s="1">
        <f t="shared" si="15"/>
        <v>1.3444444444444446</v>
      </c>
      <c r="M24" s="1">
        <f t="shared" si="15"/>
        <v>1.6</v>
      </c>
      <c r="N24" s="1">
        <f t="shared" si="15"/>
        <v>1.6</v>
      </c>
      <c r="O24" s="1">
        <f t="shared" si="15"/>
        <v>1.6388888888888888</v>
      </c>
      <c r="P24" s="1">
        <f t="shared" si="15"/>
        <v>1.8527777777777779</v>
      </c>
      <c r="Q24" s="1">
        <f t="shared" si="15"/>
        <v>2.1416666666666666</v>
      </c>
      <c r="R24" s="1">
        <f t="shared" si="15"/>
        <v>2.3583333333333334</v>
      </c>
      <c r="S24" s="1">
        <f t="shared" si="9"/>
        <v>2.6527777777777777</v>
      </c>
      <c r="T24" s="1">
        <f t="shared" si="9"/>
        <v>2.8666666666666667</v>
      </c>
      <c r="U24" s="1">
        <f t="shared" si="9"/>
        <v>3.1555555555555554</v>
      </c>
      <c r="V24" s="1">
        <f t="shared" si="9"/>
        <v>3.3722222222222222</v>
      </c>
      <c r="W24" s="1">
        <f t="shared" si="9"/>
        <v>3.6666666666666665</v>
      </c>
      <c r="X24" s="1">
        <f t="shared" si="9"/>
        <v>3.8805555555555555</v>
      </c>
      <c r="Y24" s="1">
        <f t="shared" si="9"/>
        <v>4.1694444444444443</v>
      </c>
      <c r="Z24" s="1">
        <f t="shared" si="9"/>
        <v>4.3861111111111111</v>
      </c>
      <c r="AA24" s="1">
        <f t="shared" si="9"/>
        <v>4.6805555555555554</v>
      </c>
      <c r="AB24" s="1">
        <f t="shared" si="9"/>
        <v>4.8944444444444448</v>
      </c>
      <c r="AC24" s="1">
        <f t="shared" si="9"/>
        <v>5.1861111111111109</v>
      </c>
      <c r="AD24" s="1">
        <f t="shared" si="9"/>
        <v>5.4027777777777777</v>
      </c>
      <c r="AE24" s="1">
        <f t="shared" si="9"/>
        <v>5.4027777777777777</v>
      </c>
      <c r="AF24" s="3">
        <f t="shared" si="9"/>
        <v>5.697222222222222</v>
      </c>
      <c r="AG24" s="1">
        <f t="shared" si="9"/>
        <v>5.9111111111111114</v>
      </c>
      <c r="AH24" s="1">
        <f t="shared" si="9"/>
        <v>6.2</v>
      </c>
      <c r="AI24" s="1">
        <f t="shared" si="10"/>
        <v>6.2</v>
      </c>
      <c r="AJ24" s="1">
        <f t="shared" si="10"/>
        <v>6.416666666666667</v>
      </c>
      <c r="AK24" s="1">
        <f t="shared" si="10"/>
        <v>6.416666666666667</v>
      </c>
      <c r="AL24" s="1">
        <f t="shared" si="10"/>
        <v>6.9249999999999998</v>
      </c>
      <c r="AM24" s="1">
        <f t="shared" si="10"/>
        <v>7.4305555555555554</v>
      </c>
      <c r="AN24" s="1">
        <f t="shared" si="10"/>
        <v>7.4305555555555554</v>
      </c>
      <c r="AO24" s="1">
        <f t="shared" si="10"/>
        <v>7.9388888888888891</v>
      </c>
      <c r="AP24" s="1">
        <f t="shared" si="10"/>
        <v>8.4444444444444446</v>
      </c>
      <c r="AQ24" s="1">
        <f t="shared" si="10"/>
        <v>8.4444444444444446</v>
      </c>
      <c r="AR24" s="1">
        <f t="shared" si="10"/>
        <v>8.9527777777777775</v>
      </c>
      <c r="AS24" s="1">
        <f t="shared" si="10"/>
        <v>9.4611111111111104</v>
      </c>
      <c r="AT24" s="1">
        <f t="shared" si="10"/>
        <v>9.969444444444445</v>
      </c>
      <c r="AU24" s="1">
        <f t="shared" si="10"/>
        <v>10.475</v>
      </c>
      <c r="AV24" s="1">
        <f t="shared" si="10"/>
        <v>10.475</v>
      </c>
      <c r="AW24" s="1">
        <f t="shared" si="10"/>
        <v>15.041666666666666</v>
      </c>
      <c r="AX24" s="1">
        <f t="shared" si="10"/>
        <v>15.547222222222222</v>
      </c>
      <c r="AY24" s="1">
        <f t="shared" si="11"/>
        <v>16.055555555555557</v>
      </c>
      <c r="AZ24" s="1">
        <f t="shared" si="11"/>
        <v>16.56111111111111</v>
      </c>
      <c r="BA24" s="1">
        <f t="shared" si="11"/>
        <v>17.069444444444443</v>
      </c>
      <c r="BB24" s="1">
        <f t="shared" si="11"/>
        <v>17.577777777777779</v>
      </c>
      <c r="BC24" s="1">
        <f t="shared" si="11"/>
        <v>18.086111111111112</v>
      </c>
      <c r="BD24" s="1">
        <f t="shared" si="11"/>
        <v>18.591666666666665</v>
      </c>
      <c r="BE24" s="1">
        <f t="shared" si="11"/>
        <v>18.591666666666665</v>
      </c>
      <c r="BF24" s="1">
        <f t="shared" si="11"/>
        <v>27.216666666666665</v>
      </c>
      <c r="BG24" s="1">
        <f t="shared" si="11"/>
        <v>27.722222222222221</v>
      </c>
      <c r="BH24" s="1">
        <f t="shared" si="11"/>
        <v>28.230555555555554</v>
      </c>
      <c r="BI24" s="1">
        <f t="shared" si="11"/>
        <v>28.736111111111111</v>
      </c>
      <c r="BJ24" s="1">
        <f t="shared" si="11"/>
        <v>29.244444444444444</v>
      </c>
      <c r="BK24" s="1">
        <f t="shared" si="11"/>
        <v>29.752777777777776</v>
      </c>
      <c r="BL24" s="1">
        <f t="shared" si="11"/>
        <v>30.261111111111113</v>
      </c>
      <c r="BM24" s="1">
        <f t="shared" si="11"/>
        <v>30.766666666666666</v>
      </c>
      <c r="BN24" s="1">
        <f t="shared" si="11"/>
        <v>31.274999999999999</v>
      </c>
      <c r="BO24" s="1">
        <f t="shared" si="12"/>
        <v>31.274999999999999</v>
      </c>
      <c r="BP24" s="1">
        <f t="shared" si="12"/>
        <v>31.780555555555555</v>
      </c>
      <c r="BQ24" s="1">
        <f t="shared" si="12"/>
        <v>32.288888888888891</v>
      </c>
      <c r="BR24" s="1">
        <f t="shared" si="12"/>
        <v>32.794444444444444</v>
      </c>
      <c r="BS24" s="1">
        <f t="shared" si="12"/>
        <v>33.302777777777777</v>
      </c>
      <c r="BT24" s="1">
        <f t="shared" si="12"/>
        <v>33.81111111111111</v>
      </c>
      <c r="BU24" s="1">
        <f t="shared" si="12"/>
        <v>34.319444444444443</v>
      </c>
      <c r="BV24" s="1">
        <f t="shared" si="12"/>
        <v>34.319444444444443</v>
      </c>
      <c r="BW24" s="1">
        <f t="shared" si="12"/>
        <v>34.825000000000003</v>
      </c>
      <c r="BX24" s="1">
        <f t="shared" si="12"/>
        <v>35.333333333333336</v>
      </c>
      <c r="BY24" s="1">
        <f t="shared" si="12"/>
        <v>35.838888888888889</v>
      </c>
      <c r="BZ24" s="1">
        <f t="shared" si="12"/>
        <v>36.347222222222221</v>
      </c>
      <c r="CA24" s="1">
        <f t="shared" si="12"/>
        <v>36.852777777777774</v>
      </c>
      <c r="CB24" s="1">
        <f t="shared" si="12"/>
        <v>37.361111111111114</v>
      </c>
      <c r="CC24" s="1">
        <f t="shared" si="12"/>
        <v>37.869444444444447</v>
      </c>
      <c r="CD24" s="1">
        <f t="shared" si="12"/>
        <v>38.37777777777778</v>
      </c>
      <c r="CE24" s="1">
        <f t="shared" si="13"/>
        <v>38.883333333333333</v>
      </c>
      <c r="CF24" s="1">
        <f t="shared" si="13"/>
        <v>39.391666666666666</v>
      </c>
      <c r="CG24" s="1">
        <f t="shared" si="13"/>
        <v>39.897222222222226</v>
      </c>
      <c r="CH24" s="1">
        <f t="shared" si="13"/>
        <v>40.405555555555559</v>
      </c>
      <c r="CI24" s="1">
        <f t="shared" si="13"/>
        <v>40.911111111111111</v>
      </c>
      <c r="CJ24" s="1">
        <f t="shared" si="13"/>
        <v>41.419444444444444</v>
      </c>
      <c r="CK24" s="1">
        <f t="shared" si="13"/>
        <v>41.927777777777777</v>
      </c>
      <c r="CL24" s="1">
        <f t="shared" si="13"/>
        <v>42.43611111111111</v>
      </c>
      <c r="CM24" s="1">
        <f t="shared" si="13"/>
        <v>42.94166666666667</v>
      </c>
      <c r="CN24" s="1">
        <f t="shared" si="13"/>
        <v>43.45</v>
      </c>
      <c r="CO24" s="1">
        <f t="shared" si="13"/>
        <v>43.955555555555556</v>
      </c>
      <c r="CP24" s="1">
        <f t="shared" si="13"/>
        <v>44.463888888888889</v>
      </c>
      <c r="CQ24" s="1">
        <f t="shared" si="13"/>
        <v>44.969444444444441</v>
      </c>
      <c r="CR24" s="1">
        <f t="shared" si="13"/>
        <v>45.477777777777774</v>
      </c>
      <c r="CS24" s="1">
        <f t="shared" si="13"/>
        <v>45.986111111111114</v>
      </c>
      <c r="CT24" s="1">
        <f t="shared" si="13"/>
        <v>46.494444444444447</v>
      </c>
      <c r="CU24" s="1">
        <f t="shared" si="14"/>
        <v>47</v>
      </c>
      <c r="CV24" s="1">
        <f t="shared" si="14"/>
        <v>47.508333333333333</v>
      </c>
      <c r="CW24" s="1">
        <f t="shared" si="14"/>
        <v>48.013888888888886</v>
      </c>
      <c r="CX24" s="1">
        <f t="shared" si="14"/>
        <v>48.522222222222226</v>
      </c>
      <c r="CY24" s="1">
        <f t="shared" si="14"/>
        <v>49.027777777777779</v>
      </c>
      <c r="CZ24" s="1">
        <f t="shared" si="14"/>
        <v>49.536111111111111</v>
      </c>
      <c r="DA24" s="1">
        <f t="shared" si="14"/>
        <v>50.044444444444444</v>
      </c>
      <c r="DB24" s="1">
        <f t="shared" si="14"/>
        <v>50.552777777777777</v>
      </c>
      <c r="DC24" s="1">
        <f t="shared" si="14"/>
        <v>50.552777777777777</v>
      </c>
    </row>
    <row r="25" spans="1:107" x14ac:dyDescent="0.25">
      <c r="A25">
        <f t="shared" si="7"/>
        <v>4</v>
      </c>
      <c r="B25" s="2">
        <f>yields_BRUTE!B25</f>
        <v>42039</v>
      </c>
      <c r="C25" s="1">
        <f t="shared" si="15"/>
        <v>6.9444444444444448E-2</v>
      </c>
      <c r="D25" s="1">
        <f t="shared" si="15"/>
        <v>0.10833333333333334</v>
      </c>
      <c r="E25" s="1">
        <f t="shared" si="15"/>
        <v>0.32500000000000001</v>
      </c>
      <c r="F25" s="1">
        <f t="shared" si="15"/>
        <v>0.5805555555555556</v>
      </c>
      <c r="G25" s="1">
        <f t="shared" si="15"/>
        <v>0.61944444444444446</v>
      </c>
      <c r="H25" s="1">
        <f t="shared" si="15"/>
        <v>0.83333333333333337</v>
      </c>
      <c r="I25" s="1">
        <f t="shared" si="15"/>
        <v>0.83333333333333337</v>
      </c>
      <c r="J25" s="1">
        <f t="shared" si="15"/>
        <v>1.086111111111111</v>
      </c>
      <c r="K25" s="1">
        <f t="shared" si="15"/>
        <v>1.125</v>
      </c>
      <c r="L25" s="1">
        <f t="shared" si="15"/>
        <v>1.3416666666666666</v>
      </c>
      <c r="M25" s="1">
        <f t="shared" si="15"/>
        <v>1.5972222222222223</v>
      </c>
      <c r="N25" s="1">
        <f t="shared" si="15"/>
        <v>1.5972222222222223</v>
      </c>
      <c r="O25" s="1">
        <f t="shared" si="15"/>
        <v>1.6361111111111111</v>
      </c>
      <c r="P25" s="1">
        <f t="shared" si="15"/>
        <v>1.85</v>
      </c>
      <c r="Q25" s="1">
        <f t="shared" si="15"/>
        <v>2.1388888888888888</v>
      </c>
      <c r="R25" s="1">
        <f t="shared" si="15"/>
        <v>2.3555555555555556</v>
      </c>
      <c r="S25" s="1">
        <f t="shared" si="9"/>
        <v>2.65</v>
      </c>
      <c r="T25" s="1">
        <f t="shared" si="9"/>
        <v>2.8638888888888889</v>
      </c>
      <c r="U25" s="1">
        <f t="shared" si="9"/>
        <v>3.1527777777777777</v>
      </c>
      <c r="V25" s="1">
        <f t="shared" si="9"/>
        <v>3.3694444444444445</v>
      </c>
      <c r="W25" s="1">
        <f t="shared" si="9"/>
        <v>3.6638888888888888</v>
      </c>
      <c r="X25" s="1">
        <f t="shared" si="9"/>
        <v>3.8777777777777778</v>
      </c>
      <c r="Y25" s="1">
        <f t="shared" si="9"/>
        <v>4.166666666666667</v>
      </c>
      <c r="Z25" s="1">
        <f t="shared" si="9"/>
        <v>4.3833333333333337</v>
      </c>
      <c r="AA25" s="1">
        <f t="shared" si="9"/>
        <v>4.677777777777778</v>
      </c>
      <c r="AB25" s="1">
        <f t="shared" si="9"/>
        <v>4.8916666666666666</v>
      </c>
      <c r="AC25" s="1">
        <f t="shared" si="9"/>
        <v>5.1833333333333336</v>
      </c>
      <c r="AD25" s="1">
        <f t="shared" si="9"/>
        <v>5.4</v>
      </c>
      <c r="AE25" s="1">
        <f t="shared" si="9"/>
        <v>5.4</v>
      </c>
      <c r="AF25" s="3">
        <f t="shared" si="9"/>
        <v>5.6944444444444446</v>
      </c>
      <c r="AG25" s="1">
        <f t="shared" si="9"/>
        <v>5.9083333333333332</v>
      </c>
      <c r="AH25" s="1">
        <f t="shared" si="9"/>
        <v>6.197222222222222</v>
      </c>
      <c r="AI25" s="1">
        <f t="shared" si="10"/>
        <v>6.197222222222222</v>
      </c>
      <c r="AJ25" s="1">
        <f t="shared" si="10"/>
        <v>6.4138888888888888</v>
      </c>
      <c r="AK25" s="1">
        <f t="shared" si="10"/>
        <v>6.4138888888888888</v>
      </c>
      <c r="AL25" s="1">
        <f t="shared" si="10"/>
        <v>6.9222222222222225</v>
      </c>
      <c r="AM25" s="1">
        <f t="shared" si="10"/>
        <v>7.427777777777778</v>
      </c>
      <c r="AN25" s="1">
        <f t="shared" si="10"/>
        <v>7.427777777777778</v>
      </c>
      <c r="AO25" s="1">
        <f t="shared" si="10"/>
        <v>7.9361111111111109</v>
      </c>
      <c r="AP25" s="1">
        <f t="shared" si="10"/>
        <v>8.4416666666666664</v>
      </c>
      <c r="AQ25" s="1">
        <f t="shared" si="10"/>
        <v>8.4416666666666664</v>
      </c>
      <c r="AR25" s="1">
        <f t="shared" si="10"/>
        <v>8.9499999999999993</v>
      </c>
      <c r="AS25" s="1">
        <f t="shared" si="10"/>
        <v>9.4583333333333339</v>
      </c>
      <c r="AT25" s="1">
        <f t="shared" si="10"/>
        <v>9.9666666666666668</v>
      </c>
      <c r="AU25" s="1">
        <f t="shared" si="10"/>
        <v>10.472222222222221</v>
      </c>
      <c r="AV25" s="1">
        <f t="shared" si="10"/>
        <v>10.472222222222221</v>
      </c>
      <c r="AW25" s="1">
        <f t="shared" si="10"/>
        <v>15.03888888888889</v>
      </c>
      <c r="AX25" s="1">
        <f t="shared" si="10"/>
        <v>15.544444444444444</v>
      </c>
      <c r="AY25" s="1">
        <f t="shared" si="11"/>
        <v>16.052777777777777</v>
      </c>
      <c r="AZ25" s="1">
        <f t="shared" si="11"/>
        <v>16.558333333333334</v>
      </c>
      <c r="BA25" s="1">
        <f t="shared" si="11"/>
        <v>17.066666666666666</v>
      </c>
      <c r="BB25" s="1">
        <f t="shared" si="11"/>
        <v>17.574999999999999</v>
      </c>
      <c r="BC25" s="1">
        <f t="shared" si="11"/>
        <v>18.083333333333332</v>
      </c>
      <c r="BD25" s="1">
        <f t="shared" si="11"/>
        <v>18.588888888888889</v>
      </c>
      <c r="BE25" s="1">
        <f t="shared" si="11"/>
        <v>18.588888888888889</v>
      </c>
      <c r="BF25" s="1">
        <f t="shared" si="11"/>
        <v>27.213888888888889</v>
      </c>
      <c r="BG25" s="1">
        <f t="shared" si="11"/>
        <v>27.719444444444445</v>
      </c>
      <c r="BH25" s="1">
        <f t="shared" si="11"/>
        <v>28.227777777777778</v>
      </c>
      <c r="BI25" s="1">
        <f t="shared" si="11"/>
        <v>28.733333333333334</v>
      </c>
      <c r="BJ25" s="1">
        <f t="shared" si="11"/>
        <v>29.241666666666667</v>
      </c>
      <c r="BK25" s="1">
        <f t="shared" si="11"/>
        <v>29.75</v>
      </c>
      <c r="BL25" s="1">
        <f t="shared" si="11"/>
        <v>30.258333333333333</v>
      </c>
      <c r="BM25" s="1">
        <f t="shared" si="11"/>
        <v>30.763888888888889</v>
      </c>
      <c r="BN25" s="1">
        <f t="shared" si="11"/>
        <v>31.272222222222222</v>
      </c>
      <c r="BO25" s="1">
        <f t="shared" si="12"/>
        <v>31.272222222222222</v>
      </c>
      <c r="BP25" s="1">
        <f t="shared" si="12"/>
        <v>31.777777777777779</v>
      </c>
      <c r="BQ25" s="1">
        <f t="shared" si="12"/>
        <v>32.286111111111111</v>
      </c>
      <c r="BR25" s="1">
        <f t="shared" si="12"/>
        <v>32.791666666666664</v>
      </c>
      <c r="BS25" s="1">
        <f t="shared" si="12"/>
        <v>33.299999999999997</v>
      </c>
      <c r="BT25" s="1">
        <f t="shared" si="12"/>
        <v>33.80833333333333</v>
      </c>
      <c r="BU25" s="1">
        <f t="shared" si="12"/>
        <v>34.31666666666667</v>
      </c>
      <c r="BV25" s="1">
        <f t="shared" si="12"/>
        <v>34.31666666666667</v>
      </c>
      <c r="BW25" s="1">
        <f t="shared" si="12"/>
        <v>34.822222222222223</v>
      </c>
      <c r="BX25" s="1">
        <f t="shared" si="12"/>
        <v>35.330555555555556</v>
      </c>
      <c r="BY25" s="1">
        <f t="shared" si="12"/>
        <v>35.836111111111109</v>
      </c>
      <c r="BZ25" s="1">
        <f t="shared" si="12"/>
        <v>36.344444444444441</v>
      </c>
      <c r="CA25" s="1">
        <f t="shared" si="12"/>
        <v>36.85</v>
      </c>
      <c r="CB25" s="1">
        <f t="shared" si="12"/>
        <v>37.358333333333334</v>
      </c>
      <c r="CC25" s="1">
        <f t="shared" si="12"/>
        <v>37.866666666666667</v>
      </c>
      <c r="CD25" s="1">
        <f t="shared" si="12"/>
        <v>38.375</v>
      </c>
      <c r="CE25" s="1">
        <f t="shared" si="13"/>
        <v>38.880555555555553</v>
      </c>
      <c r="CF25" s="1">
        <f t="shared" si="13"/>
        <v>39.388888888888886</v>
      </c>
      <c r="CG25" s="1">
        <f t="shared" si="13"/>
        <v>39.894444444444446</v>
      </c>
      <c r="CH25" s="1">
        <f t="shared" si="13"/>
        <v>40.402777777777779</v>
      </c>
      <c r="CI25" s="1">
        <f t="shared" si="13"/>
        <v>40.908333333333331</v>
      </c>
      <c r="CJ25" s="1">
        <f t="shared" si="13"/>
        <v>41.416666666666664</v>
      </c>
      <c r="CK25" s="1">
        <f t="shared" si="13"/>
        <v>41.924999999999997</v>
      </c>
      <c r="CL25" s="1">
        <f t="shared" si="13"/>
        <v>42.43333333333333</v>
      </c>
      <c r="CM25" s="1">
        <f t="shared" si="13"/>
        <v>42.93888888888889</v>
      </c>
      <c r="CN25" s="1">
        <f t="shared" si="13"/>
        <v>43.447222222222223</v>
      </c>
      <c r="CO25" s="1">
        <f t="shared" si="13"/>
        <v>43.952777777777776</v>
      </c>
      <c r="CP25" s="1">
        <f t="shared" si="13"/>
        <v>44.461111111111109</v>
      </c>
      <c r="CQ25" s="1">
        <f t="shared" si="13"/>
        <v>44.966666666666669</v>
      </c>
      <c r="CR25" s="1">
        <f t="shared" si="13"/>
        <v>45.475000000000001</v>
      </c>
      <c r="CS25" s="1">
        <f t="shared" si="13"/>
        <v>45.983333333333334</v>
      </c>
      <c r="CT25" s="1">
        <f t="shared" si="13"/>
        <v>46.491666666666667</v>
      </c>
      <c r="CU25" s="1">
        <f t="shared" si="14"/>
        <v>46.99722222222222</v>
      </c>
      <c r="CV25" s="1">
        <f t="shared" si="14"/>
        <v>47.505555555555553</v>
      </c>
      <c r="CW25" s="1">
        <f t="shared" si="14"/>
        <v>48.011111111111113</v>
      </c>
      <c r="CX25" s="1">
        <f t="shared" si="14"/>
        <v>48.519444444444446</v>
      </c>
      <c r="CY25" s="1">
        <f t="shared" si="14"/>
        <v>49.024999999999999</v>
      </c>
      <c r="CZ25" s="1">
        <f t="shared" si="14"/>
        <v>49.533333333333331</v>
      </c>
      <c r="DA25" s="1">
        <f t="shared" si="14"/>
        <v>50.041666666666664</v>
      </c>
      <c r="DB25" s="1">
        <f t="shared" si="14"/>
        <v>50.55</v>
      </c>
      <c r="DC25" s="1">
        <f t="shared" si="14"/>
        <v>50.55</v>
      </c>
    </row>
    <row r="26" spans="1:107" x14ac:dyDescent="0.25">
      <c r="A26">
        <f t="shared" si="7"/>
        <v>5</v>
      </c>
      <c r="B26" s="2">
        <f>yields_BRUTE!B26</f>
        <v>42040</v>
      </c>
      <c r="C26" s="1">
        <f t="shared" si="15"/>
        <v>6.6666666666666666E-2</v>
      </c>
      <c r="D26" s="1">
        <f t="shared" si="15"/>
        <v>0.10555555555555556</v>
      </c>
      <c r="E26" s="1">
        <f t="shared" si="15"/>
        <v>0.32222222222222224</v>
      </c>
      <c r="F26" s="1">
        <f t="shared" si="15"/>
        <v>0.57777777777777772</v>
      </c>
      <c r="G26" s="1">
        <f t="shared" si="15"/>
        <v>0.6166666666666667</v>
      </c>
      <c r="H26" s="1">
        <f t="shared" si="15"/>
        <v>0.8305555555555556</v>
      </c>
      <c r="I26" s="1">
        <f t="shared" si="15"/>
        <v>0.8305555555555556</v>
      </c>
      <c r="J26" s="1">
        <f t="shared" si="15"/>
        <v>1.0833333333333333</v>
      </c>
      <c r="K26" s="1">
        <f t="shared" si="15"/>
        <v>1.1222222222222222</v>
      </c>
      <c r="L26" s="1">
        <f t="shared" si="15"/>
        <v>1.3388888888888888</v>
      </c>
      <c r="M26" s="1">
        <f t="shared" si="15"/>
        <v>1.5944444444444446</v>
      </c>
      <c r="N26" s="1">
        <f t="shared" si="15"/>
        <v>1.5944444444444446</v>
      </c>
      <c r="O26" s="1">
        <f t="shared" si="15"/>
        <v>1.6333333333333333</v>
      </c>
      <c r="P26" s="1">
        <f t="shared" si="15"/>
        <v>1.8472222222222223</v>
      </c>
      <c r="Q26" s="1">
        <f t="shared" si="15"/>
        <v>2.1361111111111111</v>
      </c>
      <c r="R26" s="1">
        <f t="shared" si="15"/>
        <v>2.3527777777777779</v>
      </c>
      <c r="S26" s="1">
        <f t="shared" si="9"/>
        <v>2.6472222222222221</v>
      </c>
      <c r="T26" s="1">
        <f t="shared" si="9"/>
        <v>2.8611111111111112</v>
      </c>
      <c r="U26" s="1">
        <f t="shared" si="9"/>
        <v>3.15</v>
      </c>
      <c r="V26" s="1">
        <f t="shared" si="9"/>
        <v>3.3666666666666667</v>
      </c>
      <c r="W26" s="1">
        <f t="shared" si="9"/>
        <v>3.661111111111111</v>
      </c>
      <c r="X26" s="1">
        <f t="shared" si="9"/>
        <v>3.875</v>
      </c>
      <c r="Y26" s="1">
        <f t="shared" si="9"/>
        <v>4.1638888888888888</v>
      </c>
      <c r="Z26" s="1">
        <f t="shared" si="9"/>
        <v>4.3805555555555555</v>
      </c>
      <c r="AA26" s="1">
        <f t="shared" si="9"/>
        <v>4.6749999999999998</v>
      </c>
      <c r="AB26" s="1">
        <f t="shared" si="9"/>
        <v>4.8888888888888893</v>
      </c>
      <c r="AC26" s="1">
        <f t="shared" si="9"/>
        <v>5.1805555555555554</v>
      </c>
      <c r="AD26" s="1">
        <f t="shared" si="9"/>
        <v>5.3972222222222221</v>
      </c>
      <c r="AE26" s="1">
        <f t="shared" si="9"/>
        <v>5.3972222222222221</v>
      </c>
      <c r="AF26" s="3">
        <f t="shared" si="9"/>
        <v>5.6916666666666664</v>
      </c>
      <c r="AG26" s="1">
        <f t="shared" si="9"/>
        <v>5.9055555555555559</v>
      </c>
      <c r="AH26" s="1">
        <f t="shared" si="9"/>
        <v>6.1944444444444446</v>
      </c>
      <c r="AI26" s="1">
        <f t="shared" si="10"/>
        <v>6.1944444444444446</v>
      </c>
      <c r="AJ26" s="1">
        <f t="shared" si="10"/>
        <v>6.4111111111111114</v>
      </c>
      <c r="AK26" s="1">
        <f t="shared" si="10"/>
        <v>6.4111111111111114</v>
      </c>
      <c r="AL26" s="1">
        <f t="shared" si="10"/>
        <v>6.9194444444444443</v>
      </c>
      <c r="AM26" s="1">
        <f t="shared" si="10"/>
        <v>7.4249999999999998</v>
      </c>
      <c r="AN26" s="1">
        <f t="shared" si="10"/>
        <v>7.4249999999999998</v>
      </c>
      <c r="AO26" s="1">
        <f t="shared" si="10"/>
        <v>7.9333333333333336</v>
      </c>
      <c r="AP26" s="1">
        <f t="shared" si="10"/>
        <v>8.4388888888888882</v>
      </c>
      <c r="AQ26" s="1">
        <f t="shared" si="10"/>
        <v>8.4388888888888882</v>
      </c>
      <c r="AR26" s="1">
        <f t="shared" si="10"/>
        <v>8.9472222222222229</v>
      </c>
      <c r="AS26" s="1">
        <f t="shared" si="10"/>
        <v>9.4555555555555557</v>
      </c>
      <c r="AT26" s="1">
        <f t="shared" si="10"/>
        <v>9.9638888888888886</v>
      </c>
      <c r="AU26" s="1">
        <f t="shared" si="10"/>
        <v>10.469444444444445</v>
      </c>
      <c r="AV26" s="1">
        <f t="shared" si="10"/>
        <v>10.469444444444445</v>
      </c>
      <c r="AW26" s="1">
        <f t="shared" si="10"/>
        <v>15.036111111111111</v>
      </c>
      <c r="AX26" s="1">
        <f t="shared" si="10"/>
        <v>15.541666666666666</v>
      </c>
      <c r="AY26" s="1">
        <f t="shared" si="11"/>
        <v>16.05</v>
      </c>
      <c r="AZ26" s="1">
        <f t="shared" si="11"/>
        <v>16.555555555555557</v>
      </c>
      <c r="BA26" s="1">
        <f t="shared" si="11"/>
        <v>17.06388888888889</v>
      </c>
      <c r="BB26" s="1">
        <f t="shared" si="11"/>
        <v>17.572222222222223</v>
      </c>
      <c r="BC26" s="1">
        <f t="shared" si="11"/>
        <v>18.080555555555556</v>
      </c>
      <c r="BD26" s="1">
        <f t="shared" si="11"/>
        <v>18.586111111111112</v>
      </c>
      <c r="BE26" s="1">
        <f t="shared" si="11"/>
        <v>18.586111111111112</v>
      </c>
      <c r="BF26" s="1">
        <f t="shared" si="11"/>
        <v>27.211111111111112</v>
      </c>
      <c r="BG26" s="1">
        <f t="shared" si="11"/>
        <v>27.716666666666665</v>
      </c>
      <c r="BH26" s="1">
        <f t="shared" si="11"/>
        <v>28.225000000000001</v>
      </c>
      <c r="BI26" s="1">
        <f t="shared" si="11"/>
        <v>28.730555555555554</v>
      </c>
      <c r="BJ26" s="1">
        <f t="shared" si="11"/>
        <v>29.238888888888887</v>
      </c>
      <c r="BK26" s="1">
        <f t="shared" si="11"/>
        <v>29.747222222222224</v>
      </c>
      <c r="BL26" s="1">
        <f t="shared" si="11"/>
        <v>30.255555555555556</v>
      </c>
      <c r="BM26" s="1">
        <f t="shared" si="11"/>
        <v>30.761111111111113</v>
      </c>
      <c r="BN26" s="1">
        <f t="shared" si="11"/>
        <v>31.269444444444446</v>
      </c>
      <c r="BO26" s="1">
        <f t="shared" si="12"/>
        <v>31.269444444444446</v>
      </c>
      <c r="BP26" s="1">
        <f t="shared" si="12"/>
        <v>31.774999999999999</v>
      </c>
      <c r="BQ26" s="1">
        <f t="shared" si="12"/>
        <v>32.283333333333331</v>
      </c>
      <c r="BR26" s="1">
        <f t="shared" si="12"/>
        <v>32.788888888888891</v>
      </c>
      <c r="BS26" s="1">
        <f t="shared" si="12"/>
        <v>33.297222222222224</v>
      </c>
      <c r="BT26" s="1">
        <f t="shared" si="12"/>
        <v>33.805555555555557</v>
      </c>
      <c r="BU26" s="1">
        <f t="shared" si="12"/>
        <v>34.31388888888889</v>
      </c>
      <c r="BV26" s="1">
        <f t="shared" si="12"/>
        <v>34.31388888888889</v>
      </c>
      <c r="BW26" s="1">
        <f t="shared" si="12"/>
        <v>34.819444444444443</v>
      </c>
      <c r="BX26" s="1">
        <f t="shared" si="12"/>
        <v>35.327777777777776</v>
      </c>
      <c r="BY26" s="1">
        <f t="shared" si="12"/>
        <v>35.833333333333336</v>
      </c>
      <c r="BZ26" s="1">
        <f t="shared" si="12"/>
        <v>36.341666666666669</v>
      </c>
      <c r="CA26" s="1">
        <f t="shared" si="12"/>
        <v>36.847222222222221</v>
      </c>
      <c r="CB26" s="1">
        <f t="shared" si="12"/>
        <v>37.355555555555554</v>
      </c>
      <c r="CC26" s="1">
        <f t="shared" si="12"/>
        <v>37.863888888888887</v>
      </c>
      <c r="CD26" s="1">
        <f t="shared" si="12"/>
        <v>38.37222222222222</v>
      </c>
      <c r="CE26" s="1">
        <f t="shared" si="13"/>
        <v>38.87777777777778</v>
      </c>
      <c r="CF26" s="1">
        <f t="shared" si="13"/>
        <v>39.386111111111113</v>
      </c>
      <c r="CG26" s="1">
        <f t="shared" si="13"/>
        <v>39.891666666666666</v>
      </c>
      <c r="CH26" s="1">
        <f t="shared" si="13"/>
        <v>40.4</v>
      </c>
      <c r="CI26" s="1">
        <f t="shared" si="13"/>
        <v>40.905555555555559</v>
      </c>
      <c r="CJ26" s="1">
        <f t="shared" si="13"/>
        <v>41.413888888888891</v>
      </c>
      <c r="CK26" s="1">
        <f t="shared" si="13"/>
        <v>41.922222222222224</v>
      </c>
      <c r="CL26" s="1">
        <f t="shared" si="13"/>
        <v>42.430555555555557</v>
      </c>
      <c r="CM26" s="1">
        <f t="shared" si="13"/>
        <v>42.93611111111111</v>
      </c>
      <c r="CN26" s="1">
        <f t="shared" si="13"/>
        <v>43.444444444444443</v>
      </c>
      <c r="CO26" s="1">
        <f t="shared" si="13"/>
        <v>43.95</v>
      </c>
      <c r="CP26" s="1">
        <f t="shared" si="13"/>
        <v>44.458333333333336</v>
      </c>
      <c r="CQ26" s="1">
        <f t="shared" si="13"/>
        <v>44.963888888888889</v>
      </c>
      <c r="CR26" s="1">
        <f t="shared" si="13"/>
        <v>45.472222222222221</v>
      </c>
      <c r="CS26" s="1">
        <f t="shared" si="13"/>
        <v>45.980555555555554</v>
      </c>
      <c r="CT26" s="1">
        <f t="shared" si="13"/>
        <v>46.488888888888887</v>
      </c>
      <c r="CU26" s="1">
        <f t="shared" si="14"/>
        <v>46.994444444444447</v>
      </c>
      <c r="CV26" s="1">
        <f t="shared" si="14"/>
        <v>47.50277777777778</v>
      </c>
      <c r="CW26" s="1">
        <f t="shared" si="14"/>
        <v>48.008333333333333</v>
      </c>
      <c r="CX26" s="1">
        <f t="shared" si="14"/>
        <v>48.516666666666666</v>
      </c>
      <c r="CY26" s="1">
        <f t="shared" si="14"/>
        <v>49.022222222222226</v>
      </c>
      <c r="CZ26" s="1">
        <f t="shared" si="14"/>
        <v>49.530555555555559</v>
      </c>
      <c r="DA26" s="1">
        <f t="shared" si="14"/>
        <v>50.038888888888891</v>
      </c>
      <c r="DB26" s="1">
        <f t="shared" si="14"/>
        <v>50.547222222222224</v>
      </c>
      <c r="DC26" s="1">
        <f t="shared" si="14"/>
        <v>50.547222222222224</v>
      </c>
    </row>
    <row r="27" spans="1:107" x14ac:dyDescent="0.25">
      <c r="A27">
        <f t="shared" si="7"/>
        <v>6</v>
      </c>
      <c r="B27" s="2">
        <f>yields_BRUTE!B27</f>
        <v>42041</v>
      </c>
      <c r="C27" s="1">
        <f t="shared" si="15"/>
        <v>6.3888888888888884E-2</v>
      </c>
      <c r="D27" s="1">
        <f t="shared" si="15"/>
        <v>0.10277777777777777</v>
      </c>
      <c r="E27" s="1">
        <f t="shared" si="15"/>
        <v>0.31944444444444442</v>
      </c>
      <c r="F27" s="1">
        <f t="shared" si="15"/>
        <v>0.57499999999999996</v>
      </c>
      <c r="G27" s="1">
        <f t="shared" si="15"/>
        <v>0.61388888888888893</v>
      </c>
      <c r="H27" s="1">
        <f t="shared" si="15"/>
        <v>0.82777777777777772</v>
      </c>
      <c r="I27" s="1">
        <f t="shared" si="15"/>
        <v>0.82777777777777772</v>
      </c>
      <c r="J27" s="1">
        <f t="shared" si="15"/>
        <v>1.0805555555555555</v>
      </c>
      <c r="K27" s="1">
        <f t="shared" si="15"/>
        <v>1.1194444444444445</v>
      </c>
      <c r="L27" s="1">
        <f t="shared" si="15"/>
        <v>1.336111111111111</v>
      </c>
      <c r="M27" s="1">
        <f t="shared" si="15"/>
        <v>1.5916666666666666</v>
      </c>
      <c r="N27" s="1">
        <f t="shared" si="15"/>
        <v>1.5916666666666666</v>
      </c>
      <c r="O27" s="1">
        <f t="shared" si="15"/>
        <v>1.6305555555555555</v>
      </c>
      <c r="P27" s="1">
        <f t="shared" si="15"/>
        <v>1.8444444444444446</v>
      </c>
      <c r="Q27" s="1">
        <f t="shared" si="15"/>
        <v>2.1333333333333333</v>
      </c>
      <c r="R27" s="1">
        <f t="shared" si="15"/>
        <v>2.35</v>
      </c>
      <c r="S27" s="1">
        <f t="shared" si="9"/>
        <v>2.6444444444444444</v>
      </c>
      <c r="T27" s="1">
        <f t="shared" si="9"/>
        <v>2.8583333333333334</v>
      </c>
      <c r="U27" s="1">
        <f t="shared" si="9"/>
        <v>3.1472222222222221</v>
      </c>
      <c r="V27" s="1">
        <f t="shared" si="9"/>
        <v>3.3638888888888889</v>
      </c>
      <c r="W27" s="1">
        <f t="shared" si="9"/>
        <v>3.6583333333333332</v>
      </c>
      <c r="X27" s="1">
        <f t="shared" si="9"/>
        <v>3.8722222222222222</v>
      </c>
      <c r="Y27" s="1">
        <f t="shared" si="9"/>
        <v>4.1611111111111114</v>
      </c>
      <c r="Z27" s="1">
        <f t="shared" si="9"/>
        <v>4.3777777777777782</v>
      </c>
      <c r="AA27" s="1">
        <f t="shared" si="9"/>
        <v>4.6722222222222225</v>
      </c>
      <c r="AB27" s="1">
        <f t="shared" si="9"/>
        <v>4.8861111111111111</v>
      </c>
      <c r="AC27" s="1">
        <f t="shared" si="9"/>
        <v>5.177777777777778</v>
      </c>
      <c r="AD27" s="1">
        <f t="shared" si="9"/>
        <v>5.3944444444444448</v>
      </c>
      <c r="AE27" s="1">
        <f t="shared" si="9"/>
        <v>5.3944444444444448</v>
      </c>
      <c r="AF27" s="3">
        <f t="shared" si="9"/>
        <v>5.6888888888888891</v>
      </c>
      <c r="AG27" s="1">
        <f t="shared" si="9"/>
        <v>5.9027777777777777</v>
      </c>
      <c r="AH27" s="1">
        <f t="shared" si="9"/>
        <v>6.1916666666666664</v>
      </c>
      <c r="AI27" s="1">
        <f t="shared" si="10"/>
        <v>6.1916666666666664</v>
      </c>
      <c r="AJ27" s="1">
        <f t="shared" si="10"/>
        <v>6.4083333333333332</v>
      </c>
      <c r="AK27" s="1">
        <f t="shared" si="10"/>
        <v>6.4083333333333332</v>
      </c>
      <c r="AL27" s="1">
        <f t="shared" si="10"/>
        <v>6.916666666666667</v>
      </c>
      <c r="AM27" s="1">
        <f t="shared" si="10"/>
        <v>7.4222222222222225</v>
      </c>
      <c r="AN27" s="1">
        <f t="shared" si="10"/>
        <v>7.4222222222222225</v>
      </c>
      <c r="AO27" s="1">
        <f t="shared" si="10"/>
        <v>7.9305555555555554</v>
      </c>
      <c r="AP27" s="1">
        <f t="shared" si="10"/>
        <v>8.4361111111111118</v>
      </c>
      <c r="AQ27" s="1">
        <f t="shared" si="10"/>
        <v>8.4361111111111118</v>
      </c>
      <c r="AR27" s="1">
        <f t="shared" si="10"/>
        <v>8.9444444444444446</v>
      </c>
      <c r="AS27" s="1">
        <f t="shared" si="10"/>
        <v>9.4527777777777775</v>
      </c>
      <c r="AT27" s="1">
        <f t="shared" si="10"/>
        <v>9.9611111111111104</v>
      </c>
      <c r="AU27" s="1">
        <f t="shared" si="10"/>
        <v>10.466666666666667</v>
      </c>
      <c r="AV27" s="1">
        <f t="shared" si="10"/>
        <v>10.466666666666667</v>
      </c>
      <c r="AW27" s="1">
        <f t="shared" si="10"/>
        <v>15.033333333333333</v>
      </c>
      <c r="AX27" s="1">
        <f t="shared" si="10"/>
        <v>15.53888888888889</v>
      </c>
      <c r="AY27" s="1">
        <f t="shared" si="11"/>
        <v>16.047222222222221</v>
      </c>
      <c r="AZ27" s="1">
        <f t="shared" si="11"/>
        <v>16.552777777777777</v>
      </c>
      <c r="BA27" s="1">
        <f t="shared" si="11"/>
        <v>17.06111111111111</v>
      </c>
      <c r="BB27" s="1">
        <f t="shared" si="11"/>
        <v>17.569444444444443</v>
      </c>
      <c r="BC27" s="1">
        <f t="shared" si="11"/>
        <v>18.077777777777779</v>
      </c>
      <c r="BD27" s="1">
        <f t="shared" si="11"/>
        <v>18.583333333333332</v>
      </c>
      <c r="BE27" s="1">
        <f t="shared" si="11"/>
        <v>18.583333333333332</v>
      </c>
      <c r="BF27" s="1">
        <f t="shared" si="11"/>
        <v>27.208333333333332</v>
      </c>
      <c r="BG27" s="1">
        <f t="shared" si="11"/>
        <v>27.713888888888889</v>
      </c>
      <c r="BH27" s="1">
        <f t="shared" si="11"/>
        <v>28.222222222222221</v>
      </c>
      <c r="BI27" s="1">
        <f t="shared" si="11"/>
        <v>28.727777777777778</v>
      </c>
      <c r="BJ27" s="1">
        <f t="shared" si="11"/>
        <v>29.236111111111111</v>
      </c>
      <c r="BK27" s="1">
        <f t="shared" si="11"/>
        <v>29.744444444444444</v>
      </c>
      <c r="BL27" s="1">
        <f t="shared" si="11"/>
        <v>30.252777777777776</v>
      </c>
      <c r="BM27" s="1">
        <f t="shared" si="11"/>
        <v>30.758333333333333</v>
      </c>
      <c r="BN27" s="1">
        <f t="shared" si="11"/>
        <v>31.266666666666666</v>
      </c>
      <c r="BO27" s="1">
        <f t="shared" si="12"/>
        <v>31.266666666666666</v>
      </c>
      <c r="BP27" s="1">
        <f t="shared" si="12"/>
        <v>31.772222222222222</v>
      </c>
      <c r="BQ27" s="1">
        <f t="shared" si="12"/>
        <v>32.280555555555559</v>
      </c>
      <c r="BR27" s="1">
        <f t="shared" si="12"/>
        <v>32.786111111111111</v>
      </c>
      <c r="BS27" s="1">
        <f t="shared" si="12"/>
        <v>33.294444444444444</v>
      </c>
      <c r="BT27" s="1">
        <f t="shared" si="12"/>
        <v>33.802777777777777</v>
      </c>
      <c r="BU27" s="1">
        <f t="shared" si="12"/>
        <v>34.31111111111111</v>
      </c>
      <c r="BV27" s="1">
        <f t="shared" si="12"/>
        <v>34.31111111111111</v>
      </c>
      <c r="BW27" s="1">
        <f t="shared" si="12"/>
        <v>34.81666666666667</v>
      </c>
      <c r="BX27" s="1">
        <f t="shared" si="12"/>
        <v>35.325000000000003</v>
      </c>
      <c r="BY27" s="1">
        <f t="shared" si="12"/>
        <v>35.830555555555556</v>
      </c>
      <c r="BZ27" s="1">
        <f t="shared" si="12"/>
        <v>36.338888888888889</v>
      </c>
      <c r="CA27" s="1">
        <f t="shared" si="12"/>
        <v>36.844444444444441</v>
      </c>
      <c r="CB27" s="1">
        <f t="shared" si="12"/>
        <v>37.352777777777774</v>
      </c>
      <c r="CC27" s="1">
        <f t="shared" si="12"/>
        <v>37.861111111111114</v>
      </c>
      <c r="CD27" s="1">
        <f t="shared" si="12"/>
        <v>38.369444444444447</v>
      </c>
      <c r="CE27" s="1">
        <f t="shared" si="13"/>
        <v>38.875</v>
      </c>
      <c r="CF27" s="1">
        <f t="shared" si="13"/>
        <v>39.383333333333333</v>
      </c>
      <c r="CG27" s="1">
        <f t="shared" si="13"/>
        <v>39.888888888888886</v>
      </c>
      <c r="CH27" s="1">
        <f t="shared" si="13"/>
        <v>40.397222222222226</v>
      </c>
      <c r="CI27" s="1">
        <f t="shared" si="13"/>
        <v>40.902777777777779</v>
      </c>
      <c r="CJ27" s="1">
        <f t="shared" si="13"/>
        <v>41.411111111111111</v>
      </c>
      <c r="CK27" s="1">
        <f t="shared" si="13"/>
        <v>41.919444444444444</v>
      </c>
      <c r="CL27" s="1">
        <f t="shared" si="13"/>
        <v>42.427777777777777</v>
      </c>
      <c r="CM27" s="1">
        <f t="shared" si="13"/>
        <v>42.93333333333333</v>
      </c>
      <c r="CN27" s="1">
        <f t="shared" si="13"/>
        <v>43.44166666666667</v>
      </c>
      <c r="CO27" s="1">
        <f t="shared" si="13"/>
        <v>43.947222222222223</v>
      </c>
      <c r="CP27" s="1">
        <f t="shared" si="13"/>
        <v>44.455555555555556</v>
      </c>
      <c r="CQ27" s="1">
        <f t="shared" si="13"/>
        <v>44.961111111111109</v>
      </c>
      <c r="CR27" s="1">
        <f t="shared" si="13"/>
        <v>45.469444444444441</v>
      </c>
      <c r="CS27" s="1">
        <f t="shared" si="13"/>
        <v>45.977777777777774</v>
      </c>
      <c r="CT27" s="1">
        <f t="shared" si="13"/>
        <v>46.486111111111114</v>
      </c>
      <c r="CU27" s="1">
        <f t="shared" si="14"/>
        <v>46.991666666666667</v>
      </c>
      <c r="CV27" s="1">
        <f t="shared" si="14"/>
        <v>47.5</v>
      </c>
      <c r="CW27" s="1">
        <f t="shared" si="14"/>
        <v>48.005555555555553</v>
      </c>
      <c r="CX27" s="1">
        <f t="shared" si="14"/>
        <v>48.513888888888886</v>
      </c>
      <c r="CY27" s="1">
        <f t="shared" si="14"/>
        <v>49.019444444444446</v>
      </c>
      <c r="CZ27" s="1">
        <f t="shared" si="14"/>
        <v>49.527777777777779</v>
      </c>
      <c r="DA27" s="1">
        <f t="shared" si="14"/>
        <v>50.036111111111111</v>
      </c>
      <c r="DB27" s="1">
        <f t="shared" si="14"/>
        <v>50.544444444444444</v>
      </c>
      <c r="DC27" s="1">
        <f t="shared" si="14"/>
        <v>50.544444444444444</v>
      </c>
    </row>
    <row r="28" spans="1:107" x14ac:dyDescent="0.25">
      <c r="A28">
        <f t="shared" si="7"/>
        <v>2</v>
      </c>
      <c r="B28" s="2">
        <f>yields_BRUTE!B28</f>
        <v>42044</v>
      </c>
      <c r="C28" s="1">
        <f t="shared" si="15"/>
        <v>5.5555555555555552E-2</v>
      </c>
      <c r="D28" s="1">
        <f t="shared" si="15"/>
        <v>9.4444444444444442E-2</v>
      </c>
      <c r="E28" s="1">
        <f t="shared" si="15"/>
        <v>0.31111111111111112</v>
      </c>
      <c r="F28" s="1">
        <f t="shared" si="15"/>
        <v>0.56666666666666665</v>
      </c>
      <c r="G28" s="1">
        <f t="shared" si="15"/>
        <v>0.60555555555555551</v>
      </c>
      <c r="H28" s="1">
        <f t="shared" si="15"/>
        <v>0.81944444444444442</v>
      </c>
      <c r="I28" s="1">
        <f t="shared" si="15"/>
        <v>0.81944444444444442</v>
      </c>
      <c r="J28" s="1">
        <f t="shared" si="15"/>
        <v>1.0722222222222222</v>
      </c>
      <c r="K28" s="1">
        <f t="shared" si="15"/>
        <v>1.1111111111111112</v>
      </c>
      <c r="L28" s="1">
        <f t="shared" si="15"/>
        <v>1.3277777777777777</v>
      </c>
      <c r="M28" s="1">
        <f t="shared" si="15"/>
        <v>1.5833333333333333</v>
      </c>
      <c r="N28" s="1">
        <f t="shared" si="15"/>
        <v>1.5833333333333333</v>
      </c>
      <c r="O28" s="1">
        <f t="shared" si="15"/>
        <v>1.6222222222222222</v>
      </c>
      <c r="P28" s="1">
        <f t="shared" si="15"/>
        <v>1.836111111111111</v>
      </c>
      <c r="Q28" s="1">
        <f t="shared" si="15"/>
        <v>2.125</v>
      </c>
      <c r="R28" s="1">
        <f t="shared" si="15"/>
        <v>2.3416666666666668</v>
      </c>
      <c r="S28" s="1">
        <f t="shared" si="9"/>
        <v>2.6361111111111111</v>
      </c>
      <c r="T28" s="1">
        <f t="shared" si="9"/>
        <v>2.85</v>
      </c>
      <c r="U28" s="1">
        <f t="shared" si="9"/>
        <v>3.1388888888888888</v>
      </c>
      <c r="V28" s="1">
        <f t="shared" si="9"/>
        <v>3.3555555555555556</v>
      </c>
      <c r="W28" s="1">
        <f t="shared" si="9"/>
        <v>3.65</v>
      </c>
      <c r="X28" s="1">
        <f t="shared" si="9"/>
        <v>3.8638888888888889</v>
      </c>
      <c r="Y28" s="1">
        <f t="shared" si="9"/>
        <v>4.1527777777777777</v>
      </c>
      <c r="Z28" s="1">
        <f t="shared" si="9"/>
        <v>4.3694444444444445</v>
      </c>
      <c r="AA28" s="1">
        <f t="shared" si="9"/>
        <v>4.6638888888888888</v>
      </c>
      <c r="AB28" s="1">
        <f t="shared" si="9"/>
        <v>4.8777777777777782</v>
      </c>
      <c r="AC28" s="1">
        <f t="shared" si="9"/>
        <v>5.1694444444444443</v>
      </c>
      <c r="AD28" s="1">
        <f t="shared" si="9"/>
        <v>5.3861111111111111</v>
      </c>
      <c r="AE28" s="1">
        <f t="shared" si="9"/>
        <v>5.3861111111111111</v>
      </c>
      <c r="AF28" s="3">
        <f t="shared" si="9"/>
        <v>5.6805555555555554</v>
      </c>
      <c r="AG28" s="1">
        <f t="shared" si="9"/>
        <v>5.8944444444444448</v>
      </c>
      <c r="AH28" s="1">
        <f t="shared" si="9"/>
        <v>6.1833333333333336</v>
      </c>
      <c r="AI28" s="1">
        <f t="shared" si="10"/>
        <v>6.1833333333333336</v>
      </c>
      <c r="AJ28" s="1">
        <f t="shared" si="10"/>
        <v>6.4</v>
      </c>
      <c r="AK28" s="1">
        <f t="shared" si="10"/>
        <v>6.4</v>
      </c>
      <c r="AL28" s="1">
        <f t="shared" si="10"/>
        <v>6.9083333333333332</v>
      </c>
      <c r="AM28" s="1">
        <f t="shared" si="10"/>
        <v>7.4138888888888888</v>
      </c>
      <c r="AN28" s="1">
        <f t="shared" si="10"/>
        <v>7.4138888888888888</v>
      </c>
      <c r="AO28" s="1">
        <f t="shared" si="10"/>
        <v>7.9222222222222225</v>
      </c>
      <c r="AP28" s="1">
        <f t="shared" si="10"/>
        <v>8.4277777777777771</v>
      </c>
      <c r="AQ28" s="1">
        <f t="shared" si="10"/>
        <v>8.4277777777777771</v>
      </c>
      <c r="AR28" s="1">
        <f t="shared" si="10"/>
        <v>8.9361111111111118</v>
      </c>
      <c r="AS28" s="1">
        <f t="shared" si="10"/>
        <v>9.4444444444444446</v>
      </c>
      <c r="AT28" s="1">
        <f t="shared" si="10"/>
        <v>9.9527777777777775</v>
      </c>
      <c r="AU28" s="1">
        <f t="shared" si="10"/>
        <v>10.458333333333334</v>
      </c>
      <c r="AV28" s="1">
        <f t="shared" si="10"/>
        <v>10.458333333333334</v>
      </c>
      <c r="AW28" s="1">
        <f t="shared" si="10"/>
        <v>15.025</v>
      </c>
      <c r="AX28" s="1">
        <f t="shared" si="10"/>
        <v>15.530555555555555</v>
      </c>
      <c r="AY28" s="1">
        <f t="shared" si="11"/>
        <v>16.038888888888888</v>
      </c>
      <c r="AZ28" s="1">
        <f t="shared" si="11"/>
        <v>16.544444444444444</v>
      </c>
      <c r="BA28" s="1">
        <f t="shared" si="11"/>
        <v>17.052777777777777</v>
      </c>
      <c r="BB28" s="1">
        <f t="shared" si="11"/>
        <v>17.56111111111111</v>
      </c>
      <c r="BC28" s="1">
        <f t="shared" si="11"/>
        <v>18.069444444444443</v>
      </c>
      <c r="BD28" s="1">
        <f t="shared" si="11"/>
        <v>18.574999999999999</v>
      </c>
      <c r="BE28" s="1">
        <f t="shared" si="11"/>
        <v>18.574999999999999</v>
      </c>
      <c r="BF28" s="1">
        <f t="shared" si="11"/>
        <v>27.2</v>
      </c>
      <c r="BG28" s="1">
        <f t="shared" si="11"/>
        <v>27.705555555555556</v>
      </c>
      <c r="BH28" s="1">
        <f t="shared" si="11"/>
        <v>28.213888888888889</v>
      </c>
      <c r="BI28" s="1">
        <f t="shared" si="11"/>
        <v>28.719444444444445</v>
      </c>
      <c r="BJ28" s="1">
        <f t="shared" si="11"/>
        <v>29.227777777777778</v>
      </c>
      <c r="BK28" s="1">
        <f t="shared" si="11"/>
        <v>29.736111111111111</v>
      </c>
      <c r="BL28" s="1">
        <f t="shared" si="11"/>
        <v>30.244444444444444</v>
      </c>
      <c r="BM28" s="1">
        <f t="shared" si="11"/>
        <v>30.75</v>
      </c>
      <c r="BN28" s="1">
        <f t="shared" si="11"/>
        <v>31.258333333333333</v>
      </c>
      <c r="BO28" s="1">
        <f t="shared" si="12"/>
        <v>31.258333333333333</v>
      </c>
      <c r="BP28" s="1">
        <f t="shared" si="12"/>
        <v>31.763888888888889</v>
      </c>
      <c r="BQ28" s="1">
        <f t="shared" si="12"/>
        <v>32.272222222222226</v>
      </c>
      <c r="BR28" s="1">
        <f t="shared" si="12"/>
        <v>32.777777777777779</v>
      </c>
      <c r="BS28" s="1">
        <f t="shared" si="12"/>
        <v>33.286111111111111</v>
      </c>
      <c r="BT28" s="1">
        <f t="shared" si="12"/>
        <v>33.794444444444444</v>
      </c>
      <c r="BU28" s="1">
        <f t="shared" si="12"/>
        <v>34.302777777777777</v>
      </c>
      <c r="BV28" s="1">
        <f t="shared" si="12"/>
        <v>34.302777777777777</v>
      </c>
      <c r="BW28" s="1">
        <f t="shared" si="12"/>
        <v>34.80833333333333</v>
      </c>
      <c r="BX28" s="1">
        <f t="shared" si="12"/>
        <v>35.31666666666667</v>
      </c>
      <c r="BY28" s="1">
        <f t="shared" si="12"/>
        <v>35.822222222222223</v>
      </c>
      <c r="BZ28" s="1">
        <f t="shared" si="12"/>
        <v>36.330555555555556</v>
      </c>
      <c r="CA28" s="1">
        <f t="shared" si="12"/>
        <v>36.836111111111109</v>
      </c>
      <c r="CB28" s="1">
        <f t="shared" si="12"/>
        <v>37.344444444444441</v>
      </c>
      <c r="CC28" s="1">
        <f t="shared" si="12"/>
        <v>37.852777777777774</v>
      </c>
      <c r="CD28" s="1">
        <f t="shared" si="12"/>
        <v>38.361111111111114</v>
      </c>
      <c r="CE28" s="1">
        <f t="shared" si="13"/>
        <v>38.866666666666667</v>
      </c>
      <c r="CF28" s="1">
        <f t="shared" si="13"/>
        <v>39.375</v>
      </c>
      <c r="CG28" s="1">
        <f t="shared" si="13"/>
        <v>39.880555555555553</v>
      </c>
      <c r="CH28" s="1">
        <f t="shared" si="13"/>
        <v>40.388888888888886</v>
      </c>
      <c r="CI28" s="1">
        <f t="shared" si="13"/>
        <v>40.894444444444446</v>
      </c>
      <c r="CJ28" s="1">
        <f t="shared" si="13"/>
        <v>41.402777777777779</v>
      </c>
      <c r="CK28" s="1">
        <f t="shared" si="13"/>
        <v>41.911111111111111</v>
      </c>
      <c r="CL28" s="1">
        <f t="shared" si="13"/>
        <v>42.419444444444444</v>
      </c>
      <c r="CM28" s="1">
        <f t="shared" si="13"/>
        <v>42.924999999999997</v>
      </c>
      <c r="CN28" s="1">
        <f t="shared" si="13"/>
        <v>43.43333333333333</v>
      </c>
      <c r="CO28" s="1">
        <f t="shared" si="13"/>
        <v>43.93888888888889</v>
      </c>
      <c r="CP28" s="1">
        <f t="shared" si="13"/>
        <v>44.447222222222223</v>
      </c>
      <c r="CQ28" s="1">
        <f t="shared" si="13"/>
        <v>44.952777777777776</v>
      </c>
      <c r="CR28" s="1">
        <f t="shared" si="13"/>
        <v>45.461111111111109</v>
      </c>
      <c r="CS28" s="1">
        <f t="shared" si="13"/>
        <v>45.969444444444441</v>
      </c>
      <c r="CT28" s="1">
        <f t="shared" si="13"/>
        <v>46.477777777777774</v>
      </c>
      <c r="CU28" s="1">
        <f t="shared" si="14"/>
        <v>46.983333333333334</v>
      </c>
      <c r="CV28" s="1">
        <f t="shared" si="14"/>
        <v>47.491666666666667</v>
      </c>
      <c r="CW28" s="1">
        <f t="shared" si="14"/>
        <v>47.99722222222222</v>
      </c>
      <c r="CX28" s="1">
        <f t="shared" si="14"/>
        <v>48.505555555555553</v>
      </c>
      <c r="CY28" s="1">
        <f t="shared" si="14"/>
        <v>49.011111111111113</v>
      </c>
      <c r="CZ28" s="1">
        <f t="shared" si="14"/>
        <v>49.519444444444446</v>
      </c>
      <c r="DA28" s="1">
        <f t="shared" si="14"/>
        <v>50.027777777777779</v>
      </c>
      <c r="DB28" s="1">
        <f t="shared" si="14"/>
        <v>50.536111111111111</v>
      </c>
      <c r="DC28" s="1">
        <f t="shared" si="14"/>
        <v>50.536111111111111</v>
      </c>
    </row>
    <row r="29" spans="1:107" x14ac:dyDescent="0.25">
      <c r="A29">
        <f t="shared" si="7"/>
        <v>3</v>
      </c>
      <c r="B29" s="2">
        <f>yields_BRUTE!B29</f>
        <v>42045</v>
      </c>
      <c r="C29" s="1">
        <f t="shared" si="15"/>
        <v>5.2777777777777778E-2</v>
      </c>
      <c r="D29" s="1">
        <f t="shared" si="15"/>
        <v>9.166666666666666E-2</v>
      </c>
      <c r="E29" s="1">
        <f t="shared" si="15"/>
        <v>0.30833333333333335</v>
      </c>
      <c r="F29" s="1">
        <f t="shared" si="15"/>
        <v>0.56388888888888888</v>
      </c>
      <c r="G29" s="1">
        <f t="shared" si="15"/>
        <v>0.60277777777777775</v>
      </c>
      <c r="H29" s="1">
        <f t="shared" si="15"/>
        <v>0.81666666666666665</v>
      </c>
      <c r="I29" s="1">
        <f t="shared" si="15"/>
        <v>0.81666666666666665</v>
      </c>
      <c r="J29" s="1">
        <f t="shared" si="15"/>
        <v>1.0694444444444444</v>
      </c>
      <c r="K29" s="1">
        <f t="shared" si="15"/>
        <v>1.1083333333333334</v>
      </c>
      <c r="L29" s="1">
        <f t="shared" si="15"/>
        <v>1.325</v>
      </c>
      <c r="M29" s="1">
        <f t="shared" si="15"/>
        <v>1.5805555555555555</v>
      </c>
      <c r="N29" s="1">
        <f t="shared" si="15"/>
        <v>1.5805555555555555</v>
      </c>
      <c r="O29" s="1">
        <f t="shared" si="15"/>
        <v>1.6194444444444445</v>
      </c>
      <c r="P29" s="1">
        <f t="shared" si="15"/>
        <v>1.8333333333333333</v>
      </c>
      <c r="Q29" s="1">
        <f t="shared" si="15"/>
        <v>2.1222222222222222</v>
      </c>
      <c r="R29" s="1">
        <f t="shared" si="15"/>
        <v>2.338888888888889</v>
      </c>
      <c r="S29" s="1">
        <f t="shared" si="9"/>
        <v>2.6333333333333333</v>
      </c>
      <c r="T29" s="1">
        <f t="shared" si="9"/>
        <v>2.8472222222222223</v>
      </c>
      <c r="U29" s="1">
        <f t="shared" si="9"/>
        <v>3.1361111111111111</v>
      </c>
      <c r="V29" s="1">
        <f t="shared" si="9"/>
        <v>3.3527777777777779</v>
      </c>
      <c r="W29" s="1">
        <f t="shared" si="9"/>
        <v>3.6472222222222221</v>
      </c>
      <c r="X29" s="1">
        <f t="shared" si="9"/>
        <v>3.8611111111111112</v>
      </c>
      <c r="Y29" s="1">
        <f t="shared" si="9"/>
        <v>4.1500000000000004</v>
      </c>
      <c r="Z29" s="1">
        <f t="shared" si="9"/>
        <v>4.3666666666666663</v>
      </c>
      <c r="AA29" s="1">
        <f t="shared" si="9"/>
        <v>4.6611111111111114</v>
      </c>
      <c r="AB29" s="1">
        <f t="shared" si="9"/>
        <v>4.875</v>
      </c>
      <c r="AC29" s="1">
        <f t="shared" si="9"/>
        <v>5.166666666666667</v>
      </c>
      <c r="AD29" s="1">
        <f t="shared" si="9"/>
        <v>5.3833333333333337</v>
      </c>
      <c r="AE29" s="1">
        <f t="shared" si="9"/>
        <v>5.3833333333333337</v>
      </c>
      <c r="AF29" s="3">
        <f t="shared" si="9"/>
        <v>5.677777777777778</v>
      </c>
      <c r="AG29" s="1">
        <f t="shared" si="9"/>
        <v>5.8916666666666666</v>
      </c>
      <c r="AH29" s="1">
        <f t="shared" si="9"/>
        <v>6.1805555555555554</v>
      </c>
      <c r="AI29" s="1">
        <f t="shared" si="10"/>
        <v>6.1805555555555554</v>
      </c>
      <c r="AJ29" s="1">
        <f t="shared" si="10"/>
        <v>6.3972222222222221</v>
      </c>
      <c r="AK29" s="1">
        <f t="shared" si="10"/>
        <v>6.3972222222222221</v>
      </c>
      <c r="AL29" s="1">
        <f t="shared" si="10"/>
        <v>6.9055555555555559</v>
      </c>
      <c r="AM29" s="1">
        <f t="shared" si="10"/>
        <v>7.4111111111111114</v>
      </c>
      <c r="AN29" s="1">
        <f t="shared" si="10"/>
        <v>7.4111111111111114</v>
      </c>
      <c r="AO29" s="1">
        <f t="shared" si="10"/>
        <v>7.9194444444444443</v>
      </c>
      <c r="AP29" s="1">
        <f t="shared" si="10"/>
        <v>8.4250000000000007</v>
      </c>
      <c r="AQ29" s="1">
        <f t="shared" si="10"/>
        <v>8.4250000000000007</v>
      </c>
      <c r="AR29" s="1">
        <f t="shared" si="10"/>
        <v>8.9333333333333336</v>
      </c>
      <c r="AS29" s="1">
        <f t="shared" si="10"/>
        <v>9.4416666666666664</v>
      </c>
      <c r="AT29" s="1">
        <f t="shared" si="10"/>
        <v>9.9499999999999993</v>
      </c>
      <c r="AU29" s="1">
        <f t="shared" si="10"/>
        <v>10.455555555555556</v>
      </c>
      <c r="AV29" s="1">
        <f t="shared" si="10"/>
        <v>10.455555555555556</v>
      </c>
      <c r="AW29" s="1">
        <f t="shared" si="10"/>
        <v>15.022222222222222</v>
      </c>
      <c r="AX29" s="1">
        <f t="shared" si="10"/>
        <v>15.527777777777779</v>
      </c>
      <c r="AY29" s="1">
        <f t="shared" si="11"/>
        <v>16.036111111111111</v>
      </c>
      <c r="AZ29" s="1">
        <f t="shared" si="11"/>
        <v>16.541666666666668</v>
      </c>
      <c r="BA29" s="1">
        <f t="shared" si="11"/>
        <v>17.05</v>
      </c>
      <c r="BB29" s="1">
        <f t="shared" si="11"/>
        <v>17.558333333333334</v>
      </c>
      <c r="BC29" s="1">
        <f t="shared" si="11"/>
        <v>18.066666666666666</v>
      </c>
      <c r="BD29" s="1">
        <f t="shared" si="11"/>
        <v>18.572222222222223</v>
      </c>
      <c r="BE29" s="1">
        <f t="shared" si="11"/>
        <v>18.572222222222223</v>
      </c>
      <c r="BF29" s="1">
        <f t="shared" si="11"/>
        <v>27.197222222222223</v>
      </c>
      <c r="BG29" s="1">
        <f t="shared" si="11"/>
        <v>27.702777777777779</v>
      </c>
      <c r="BH29" s="1">
        <f t="shared" si="11"/>
        <v>28.211111111111112</v>
      </c>
      <c r="BI29" s="1">
        <f t="shared" si="11"/>
        <v>28.716666666666665</v>
      </c>
      <c r="BJ29" s="1">
        <f t="shared" si="11"/>
        <v>29.225000000000001</v>
      </c>
      <c r="BK29" s="1">
        <f t="shared" si="11"/>
        <v>29.733333333333334</v>
      </c>
      <c r="BL29" s="1">
        <f t="shared" si="11"/>
        <v>30.241666666666667</v>
      </c>
      <c r="BM29" s="1">
        <f t="shared" si="11"/>
        <v>30.747222222222224</v>
      </c>
      <c r="BN29" s="1">
        <f t="shared" si="11"/>
        <v>31.255555555555556</v>
      </c>
      <c r="BO29" s="1">
        <f t="shared" si="12"/>
        <v>31.255555555555556</v>
      </c>
      <c r="BP29" s="1">
        <f t="shared" si="12"/>
        <v>31.761111111111113</v>
      </c>
      <c r="BQ29" s="1">
        <f t="shared" si="12"/>
        <v>32.269444444444446</v>
      </c>
      <c r="BR29" s="1">
        <f t="shared" si="12"/>
        <v>32.774999999999999</v>
      </c>
      <c r="BS29" s="1">
        <f t="shared" si="12"/>
        <v>33.283333333333331</v>
      </c>
      <c r="BT29" s="1">
        <f t="shared" si="12"/>
        <v>33.791666666666664</v>
      </c>
      <c r="BU29" s="1">
        <f t="shared" si="12"/>
        <v>34.299999999999997</v>
      </c>
      <c r="BV29" s="1">
        <f t="shared" si="12"/>
        <v>34.299999999999997</v>
      </c>
      <c r="BW29" s="1">
        <f t="shared" si="12"/>
        <v>34.805555555555557</v>
      </c>
      <c r="BX29" s="1">
        <f t="shared" si="12"/>
        <v>35.31388888888889</v>
      </c>
      <c r="BY29" s="1">
        <f t="shared" si="12"/>
        <v>35.819444444444443</v>
      </c>
      <c r="BZ29" s="1">
        <f t="shared" si="12"/>
        <v>36.327777777777776</v>
      </c>
      <c r="CA29" s="1">
        <f t="shared" si="12"/>
        <v>36.833333333333336</v>
      </c>
      <c r="CB29" s="1">
        <f t="shared" si="12"/>
        <v>37.341666666666669</v>
      </c>
      <c r="CC29" s="1">
        <f t="shared" si="12"/>
        <v>37.85</v>
      </c>
      <c r="CD29" s="1">
        <f t="shared" si="12"/>
        <v>38.358333333333334</v>
      </c>
      <c r="CE29" s="1">
        <f t="shared" si="13"/>
        <v>38.863888888888887</v>
      </c>
      <c r="CF29" s="1">
        <f t="shared" si="13"/>
        <v>39.37222222222222</v>
      </c>
      <c r="CG29" s="1">
        <f t="shared" si="13"/>
        <v>39.87777777777778</v>
      </c>
      <c r="CH29" s="1">
        <f t="shared" si="13"/>
        <v>40.386111111111113</v>
      </c>
      <c r="CI29" s="1">
        <f t="shared" si="13"/>
        <v>40.891666666666666</v>
      </c>
      <c r="CJ29" s="1">
        <f t="shared" si="13"/>
        <v>41.4</v>
      </c>
      <c r="CK29" s="1">
        <f t="shared" si="13"/>
        <v>41.908333333333331</v>
      </c>
      <c r="CL29" s="1">
        <f t="shared" si="13"/>
        <v>42.416666666666664</v>
      </c>
      <c r="CM29" s="1">
        <f t="shared" si="13"/>
        <v>42.922222222222224</v>
      </c>
      <c r="CN29" s="1">
        <f t="shared" si="13"/>
        <v>43.430555555555557</v>
      </c>
      <c r="CO29" s="1">
        <f t="shared" si="13"/>
        <v>43.93611111111111</v>
      </c>
      <c r="CP29" s="1">
        <f t="shared" si="13"/>
        <v>44.444444444444443</v>
      </c>
      <c r="CQ29" s="1">
        <f t="shared" si="13"/>
        <v>44.95</v>
      </c>
      <c r="CR29" s="1">
        <f t="shared" si="13"/>
        <v>45.458333333333336</v>
      </c>
      <c r="CS29" s="1">
        <f t="shared" si="13"/>
        <v>45.966666666666669</v>
      </c>
      <c r="CT29" s="1">
        <f t="shared" si="13"/>
        <v>46.475000000000001</v>
      </c>
      <c r="CU29" s="1">
        <f t="shared" si="14"/>
        <v>46.980555555555554</v>
      </c>
      <c r="CV29" s="1">
        <f t="shared" si="14"/>
        <v>47.488888888888887</v>
      </c>
      <c r="CW29" s="1">
        <f t="shared" si="14"/>
        <v>47.994444444444447</v>
      </c>
      <c r="CX29" s="1">
        <f t="shared" si="14"/>
        <v>48.50277777777778</v>
      </c>
      <c r="CY29" s="1">
        <f t="shared" si="14"/>
        <v>49.008333333333333</v>
      </c>
      <c r="CZ29" s="1">
        <f t="shared" si="14"/>
        <v>49.516666666666666</v>
      </c>
      <c r="DA29" s="1">
        <f t="shared" si="14"/>
        <v>50.024999999999999</v>
      </c>
      <c r="DB29" s="1">
        <f t="shared" si="14"/>
        <v>50.533333333333331</v>
      </c>
      <c r="DC29" s="1">
        <f t="shared" si="14"/>
        <v>50.533333333333331</v>
      </c>
    </row>
    <row r="30" spans="1:107" x14ac:dyDescent="0.25">
      <c r="A30">
        <f t="shared" si="7"/>
        <v>4</v>
      </c>
      <c r="B30" s="2">
        <f>yields_BRUTE!B30</f>
        <v>42046</v>
      </c>
      <c r="C30" s="1">
        <f t="shared" si="15"/>
        <v>0.05</v>
      </c>
      <c r="D30" s="1">
        <f t="shared" si="15"/>
        <v>8.8888888888888892E-2</v>
      </c>
      <c r="E30" s="1">
        <f t="shared" si="15"/>
        <v>0.30555555555555558</v>
      </c>
      <c r="F30" s="1">
        <f t="shared" si="15"/>
        <v>0.56111111111111112</v>
      </c>
      <c r="G30" s="1">
        <f t="shared" si="15"/>
        <v>0.6</v>
      </c>
      <c r="H30" s="1">
        <f t="shared" si="15"/>
        <v>0.81388888888888888</v>
      </c>
      <c r="I30" s="1">
        <f t="shared" si="15"/>
        <v>0.81388888888888888</v>
      </c>
      <c r="J30" s="1">
        <f t="shared" si="15"/>
        <v>1.0666666666666667</v>
      </c>
      <c r="K30" s="1">
        <f t="shared" si="15"/>
        <v>1.1055555555555556</v>
      </c>
      <c r="L30" s="1">
        <f t="shared" si="15"/>
        <v>1.3222222222222222</v>
      </c>
      <c r="M30" s="1">
        <f t="shared" si="15"/>
        <v>1.5777777777777777</v>
      </c>
      <c r="N30" s="1">
        <f t="shared" si="15"/>
        <v>1.5777777777777777</v>
      </c>
      <c r="O30" s="1">
        <f t="shared" si="15"/>
        <v>1.6166666666666667</v>
      </c>
      <c r="P30" s="1">
        <f t="shared" si="15"/>
        <v>1.8305555555555555</v>
      </c>
      <c r="Q30" s="1">
        <f t="shared" si="15"/>
        <v>2.1194444444444445</v>
      </c>
      <c r="R30" s="1">
        <f t="shared" si="15"/>
        <v>2.3361111111111112</v>
      </c>
      <c r="S30" s="1">
        <f t="shared" si="9"/>
        <v>2.6305555555555555</v>
      </c>
      <c r="T30" s="1">
        <f t="shared" si="9"/>
        <v>2.8444444444444446</v>
      </c>
      <c r="U30" s="1">
        <f t="shared" si="9"/>
        <v>3.1333333333333333</v>
      </c>
      <c r="V30" s="1">
        <f t="shared" si="9"/>
        <v>3.35</v>
      </c>
      <c r="W30" s="1">
        <f t="shared" si="9"/>
        <v>3.6444444444444444</v>
      </c>
      <c r="X30" s="1">
        <f t="shared" si="9"/>
        <v>3.8583333333333334</v>
      </c>
      <c r="Y30" s="1">
        <f t="shared" si="9"/>
        <v>4.1472222222222221</v>
      </c>
      <c r="Z30" s="1">
        <f t="shared" si="9"/>
        <v>4.3638888888888889</v>
      </c>
      <c r="AA30" s="1">
        <f t="shared" si="9"/>
        <v>4.6583333333333332</v>
      </c>
      <c r="AB30" s="1">
        <f t="shared" si="9"/>
        <v>4.8722222222222218</v>
      </c>
      <c r="AC30" s="1">
        <f t="shared" si="9"/>
        <v>5.1638888888888888</v>
      </c>
      <c r="AD30" s="1">
        <f t="shared" si="9"/>
        <v>5.3805555555555555</v>
      </c>
      <c r="AE30" s="1">
        <f t="shared" si="9"/>
        <v>5.3805555555555555</v>
      </c>
      <c r="AF30" s="3">
        <f t="shared" si="9"/>
        <v>5.6749999999999998</v>
      </c>
      <c r="AG30" s="1">
        <f t="shared" si="9"/>
        <v>5.8888888888888893</v>
      </c>
      <c r="AH30" s="1">
        <f t="shared" si="9"/>
        <v>6.177777777777778</v>
      </c>
      <c r="AI30" s="1">
        <f t="shared" si="10"/>
        <v>6.177777777777778</v>
      </c>
      <c r="AJ30" s="1">
        <f t="shared" si="10"/>
        <v>6.3944444444444448</v>
      </c>
      <c r="AK30" s="1">
        <f t="shared" si="10"/>
        <v>6.3944444444444448</v>
      </c>
      <c r="AL30" s="1">
        <f t="shared" si="10"/>
        <v>6.9027777777777777</v>
      </c>
      <c r="AM30" s="1">
        <f t="shared" si="10"/>
        <v>7.4083333333333332</v>
      </c>
      <c r="AN30" s="1">
        <f t="shared" si="10"/>
        <v>7.4083333333333332</v>
      </c>
      <c r="AO30" s="1">
        <f t="shared" si="10"/>
        <v>7.916666666666667</v>
      </c>
      <c r="AP30" s="1">
        <f t="shared" si="10"/>
        <v>8.4222222222222225</v>
      </c>
      <c r="AQ30" s="1">
        <f t="shared" si="10"/>
        <v>8.4222222222222225</v>
      </c>
      <c r="AR30" s="1">
        <f t="shared" si="10"/>
        <v>8.9305555555555554</v>
      </c>
      <c r="AS30" s="1">
        <f t="shared" si="10"/>
        <v>9.4388888888888882</v>
      </c>
      <c r="AT30" s="1">
        <f t="shared" si="10"/>
        <v>9.9472222222222229</v>
      </c>
      <c r="AU30" s="1">
        <f t="shared" si="10"/>
        <v>10.452777777777778</v>
      </c>
      <c r="AV30" s="1">
        <f t="shared" si="10"/>
        <v>10.452777777777778</v>
      </c>
      <c r="AW30" s="1">
        <f t="shared" si="10"/>
        <v>15.019444444444444</v>
      </c>
      <c r="AX30" s="1">
        <f t="shared" si="10"/>
        <v>15.525</v>
      </c>
      <c r="AY30" s="1">
        <f t="shared" si="11"/>
        <v>16.033333333333335</v>
      </c>
      <c r="AZ30" s="1">
        <f t="shared" si="11"/>
        <v>16.538888888888888</v>
      </c>
      <c r="BA30" s="1">
        <f t="shared" si="11"/>
        <v>17.047222222222221</v>
      </c>
      <c r="BB30" s="1">
        <f t="shared" si="11"/>
        <v>17.555555555555557</v>
      </c>
      <c r="BC30" s="1">
        <f t="shared" si="11"/>
        <v>18.06388888888889</v>
      </c>
      <c r="BD30" s="1">
        <f t="shared" si="11"/>
        <v>18.569444444444443</v>
      </c>
      <c r="BE30" s="1">
        <f t="shared" si="11"/>
        <v>18.569444444444443</v>
      </c>
      <c r="BF30" s="1">
        <f t="shared" si="11"/>
        <v>27.194444444444443</v>
      </c>
      <c r="BG30" s="1">
        <f t="shared" si="11"/>
        <v>27.7</v>
      </c>
      <c r="BH30" s="1">
        <f t="shared" si="11"/>
        <v>28.208333333333332</v>
      </c>
      <c r="BI30" s="1">
        <f t="shared" si="11"/>
        <v>28.713888888888889</v>
      </c>
      <c r="BJ30" s="1">
        <f t="shared" si="11"/>
        <v>29.222222222222221</v>
      </c>
      <c r="BK30" s="1">
        <f t="shared" si="11"/>
        <v>29.730555555555554</v>
      </c>
      <c r="BL30" s="1">
        <f t="shared" si="11"/>
        <v>30.238888888888887</v>
      </c>
      <c r="BM30" s="1">
        <f t="shared" si="11"/>
        <v>30.744444444444444</v>
      </c>
      <c r="BN30" s="1">
        <f t="shared" si="11"/>
        <v>31.252777777777776</v>
      </c>
      <c r="BO30" s="1">
        <f t="shared" si="12"/>
        <v>31.252777777777776</v>
      </c>
      <c r="BP30" s="1">
        <f t="shared" si="12"/>
        <v>31.758333333333333</v>
      </c>
      <c r="BQ30" s="1">
        <f t="shared" si="12"/>
        <v>32.266666666666666</v>
      </c>
      <c r="BR30" s="1">
        <f t="shared" si="12"/>
        <v>32.772222222222226</v>
      </c>
      <c r="BS30" s="1">
        <f t="shared" si="12"/>
        <v>33.280555555555559</v>
      </c>
      <c r="BT30" s="1">
        <f t="shared" si="12"/>
        <v>33.788888888888891</v>
      </c>
      <c r="BU30" s="1">
        <f t="shared" si="12"/>
        <v>34.297222222222224</v>
      </c>
      <c r="BV30" s="1">
        <f t="shared" si="12"/>
        <v>34.297222222222224</v>
      </c>
      <c r="BW30" s="1">
        <f t="shared" si="12"/>
        <v>34.802777777777777</v>
      </c>
      <c r="BX30" s="1">
        <f t="shared" si="12"/>
        <v>35.31111111111111</v>
      </c>
      <c r="BY30" s="1">
        <f t="shared" si="12"/>
        <v>35.81666666666667</v>
      </c>
      <c r="BZ30" s="1">
        <f t="shared" si="12"/>
        <v>36.325000000000003</v>
      </c>
      <c r="CA30" s="1">
        <f t="shared" si="12"/>
        <v>36.830555555555556</v>
      </c>
      <c r="CB30" s="1">
        <f t="shared" si="12"/>
        <v>37.338888888888889</v>
      </c>
      <c r="CC30" s="1">
        <f t="shared" si="12"/>
        <v>37.847222222222221</v>
      </c>
      <c r="CD30" s="1">
        <f t="shared" si="12"/>
        <v>38.355555555555554</v>
      </c>
      <c r="CE30" s="1">
        <f t="shared" si="13"/>
        <v>38.861111111111114</v>
      </c>
      <c r="CF30" s="1">
        <f t="shared" si="13"/>
        <v>39.369444444444447</v>
      </c>
      <c r="CG30" s="1">
        <f t="shared" si="13"/>
        <v>39.875</v>
      </c>
      <c r="CH30" s="1">
        <f t="shared" si="13"/>
        <v>40.383333333333333</v>
      </c>
      <c r="CI30" s="1">
        <f t="shared" si="13"/>
        <v>40.888888888888886</v>
      </c>
      <c r="CJ30" s="1">
        <f t="shared" si="13"/>
        <v>41.397222222222226</v>
      </c>
      <c r="CK30" s="1">
        <f t="shared" si="13"/>
        <v>41.905555555555559</v>
      </c>
      <c r="CL30" s="1">
        <f t="shared" si="13"/>
        <v>42.413888888888891</v>
      </c>
      <c r="CM30" s="1">
        <f t="shared" si="13"/>
        <v>42.919444444444444</v>
      </c>
      <c r="CN30" s="1">
        <f t="shared" si="13"/>
        <v>43.427777777777777</v>
      </c>
      <c r="CO30" s="1">
        <f t="shared" si="13"/>
        <v>43.93333333333333</v>
      </c>
      <c r="CP30" s="1">
        <f t="shared" si="13"/>
        <v>44.44166666666667</v>
      </c>
      <c r="CQ30" s="1">
        <f t="shared" si="13"/>
        <v>44.947222222222223</v>
      </c>
      <c r="CR30" s="1">
        <f t="shared" si="13"/>
        <v>45.455555555555556</v>
      </c>
      <c r="CS30" s="1">
        <f t="shared" si="13"/>
        <v>45.963888888888889</v>
      </c>
      <c r="CT30" s="1">
        <f t="shared" si="13"/>
        <v>46.472222222222221</v>
      </c>
      <c r="CU30" s="1">
        <f t="shared" si="14"/>
        <v>46.977777777777774</v>
      </c>
      <c r="CV30" s="1">
        <f t="shared" si="14"/>
        <v>47.486111111111114</v>
      </c>
      <c r="CW30" s="1">
        <f t="shared" si="14"/>
        <v>47.991666666666667</v>
      </c>
      <c r="CX30" s="1">
        <f t="shared" si="14"/>
        <v>48.5</v>
      </c>
      <c r="CY30" s="1">
        <f t="shared" si="14"/>
        <v>49.005555555555553</v>
      </c>
      <c r="CZ30" s="1">
        <f t="shared" si="14"/>
        <v>49.513888888888886</v>
      </c>
      <c r="DA30" s="1">
        <f t="shared" si="14"/>
        <v>50.022222222222226</v>
      </c>
      <c r="DB30" s="1">
        <f t="shared" si="14"/>
        <v>50.530555555555559</v>
      </c>
      <c r="DC30" s="1">
        <f t="shared" si="14"/>
        <v>50.530555555555559</v>
      </c>
    </row>
    <row r="31" spans="1:107" x14ac:dyDescent="0.25">
      <c r="A31">
        <f t="shared" si="7"/>
        <v>5</v>
      </c>
      <c r="B31" s="2">
        <f>yields_BRUTE!B31</f>
        <v>42047</v>
      </c>
      <c r="C31" s="1">
        <f t="shared" si="15"/>
        <v>4.7222222222222221E-2</v>
      </c>
      <c r="D31" s="1">
        <f t="shared" si="15"/>
        <v>8.611111111111111E-2</v>
      </c>
      <c r="E31" s="1">
        <f t="shared" si="15"/>
        <v>0.30277777777777776</v>
      </c>
      <c r="F31" s="1">
        <f t="shared" si="15"/>
        <v>0.55833333333333335</v>
      </c>
      <c r="G31" s="1">
        <f t="shared" si="15"/>
        <v>0.59722222222222221</v>
      </c>
      <c r="H31" s="1">
        <f t="shared" si="15"/>
        <v>0.81111111111111112</v>
      </c>
      <c r="I31" s="1">
        <f t="shared" si="15"/>
        <v>0.81111111111111112</v>
      </c>
      <c r="J31" s="1">
        <f t="shared" si="15"/>
        <v>1.0638888888888889</v>
      </c>
      <c r="K31" s="1">
        <f t="shared" si="15"/>
        <v>1.1027777777777779</v>
      </c>
      <c r="L31" s="1">
        <f t="shared" si="15"/>
        <v>1.3194444444444444</v>
      </c>
      <c r="M31" s="1">
        <f t="shared" si="15"/>
        <v>1.575</v>
      </c>
      <c r="N31" s="1">
        <f t="shared" si="15"/>
        <v>1.575</v>
      </c>
      <c r="O31" s="1">
        <f t="shared" si="15"/>
        <v>1.6138888888888889</v>
      </c>
      <c r="P31" s="1">
        <f t="shared" si="15"/>
        <v>1.8277777777777777</v>
      </c>
      <c r="Q31" s="1">
        <f t="shared" si="15"/>
        <v>2.1166666666666667</v>
      </c>
      <c r="R31" s="1">
        <f t="shared" si="15"/>
        <v>2.3333333333333335</v>
      </c>
      <c r="S31" s="1">
        <f t="shared" si="9"/>
        <v>2.6277777777777778</v>
      </c>
      <c r="T31" s="1">
        <f t="shared" si="9"/>
        <v>2.8416666666666668</v>
      </c>
      <c r="U31" s="1">
        <f t="shared" si="9"/>
        <v>3.1305555555555555</v>
      </c>
      <c r="V31" s="1">
        <f t="shared" si="9"/>
        <v>3.3472222222222223</v>
      </c>
      <c r="W31" s="1">
        <f t="shared" si="9"/>
        <v>3.6416666666666666</v>
      </c>
      <c r="X31" s="1">
        <f t="shared" si="9"/>
        <v>3.8555555555555556</v>
      </c>
      <c r="Y31" s="1">
        <f t="shared" si="9"/>
        <v>4.1444444444444448</v>
      </c>
      <c r="Z31" s="1">
        <f t="shared" si="9"/>
        <v>4.3611111111111107</v>
      </c>
      <c r="AA31" s="1">
        <f t="shared" si="9"/>
        <v>4.6555555555555559</v>
      </c>
      <c r="AB31" s="1">
        <f t="shared" si="9"/>
        <v>4.8694444444444445</v>
      </c>
      <c r="AC31" s="1">
        <f t="shared" si="9"/>
        <v>5.1611111111111114</v>
      </c>
      <c r="AD31" s="1">
        <f t="shared" si="9"/>
        <v>5.3777777777777782</v>
      </c>
      <c r="AE31" s="1">
        <f t="shared" si="9"/>
        <v>5.3777777777777782</v>
      </c>
      <c r="AF31" s="3">
        <f t="shared" si="9"/>
        <v>5.6722222222222225</v>
      </c>
      <c r="AG31" s="1">
        <f t="shared" si="9"/>
        <v>5.8861111111111111</v>
      </c>
      <c r="AH31" s="1">
        <f t="shared" si="9"/>
        <v>6.1749999999999998</v>
      </c>
      <c r="AI31" s="1">
        <f t="shared" si="10"/>
        <v>6.1749999999999998</v>
      </c>
      <c r="AJ31" s="1">
        <f t="shared" si="10"/>
        <v>6.3916666666666666</v>
      </c>
      <c r="AK31" s="1">
        <f t="shared" si="10"/>
        <v>6.3916666666666666</v>
      </c>
      <c r="AL31" s="1">
        <f t="shared" si="10"/>
        <v>6.9</v>
      </c>
      <c r="AM31" s="1">
        <f t="shared" si="10"/>
        <v>7.4055555555555559</v>
      </c>
      <c r="AN31" s="1">
        <f t="shared" si="10"/>
        <v>7.4055555555555559</v>
      </c>
      <c r="AO31" s="1">
        <f t="shared" si="10"/>
        <v>7.9138888888888888</v>
      </c>
      <c r="AP31" s="1">
        <f t="shared" si="10"/>
        <v>8.4194444444444443</v>
      </c>
      <c r="AQ31" s="1">
        <f t="shared" si="10"/>
        <v>8.4194444444444443</v>
      </c>
      <c r="AR31" s="1">
        <f t="shared" si="10"/>
        <v>8.9277777777777771</v>
      </c>
      <c r="AS31" s="1">
        <f t="shared" si="10"/>
        <v>9.4361111111111118</v>
      </c>
      <c r="AT31" s="1">
        <f t="shared" si="10"/>
        <v>9.9444444444444446</v>
      </c>
      <c r="AU31" s="1">
        <f t="shared" si="10"/>
        <v>10.45</v>
      </c>
      <c r="AV31" s="1">
        <f t="shared" si="10"/>
        <v>10.45</v>
      </c>
      <c r="AW31" s="1">
        <f t="shared" si="10"/>
        <v>15.016666666666667</v>
      </c>
      <c r="AX31" s="1">
        <f t="shared" si="10"/>
        <v>15.522222222222222</v>
      </c>
      <c r="AY31" s="1">
        <f t="shared" si="11"/>
        <v>16.030555555555555</v>
      </c>
      <c r="AZ31" s="1">
        <f t="shared" si="11"/>
        <v>16.536111111111111</v>
      </c>
      <c r="BA31" s="1">
        <f t="shared" si="11"/>
        <v>17.044444444444444</v>
      </c>
      <c r="BB31" s="1">
        <f t="shared" si="11"/>
        <v>17.552777777777777</v>
      </c>
      <c r="BC31" s="1">
        <f t="shared" si="11"/>
        <v>18.06111111111111</v>
      </c>
      <c r="BD31" s="1">
        <f t="shared" si="11"/>
        <v>18.566666666666666</v>
      </c>
      <c r="BE31" s="1">
        <f t="shared" si="11"/>
        <v>18.566666666666666</v>
      </c>
      <c r="BF31" s="1">
        <f t="shared" si="11"/>
        <v>27.191666666666666</v>
      </c>
      <c r="BG31" s="1">
        <f t="shared" si="11"/>
        <v>27.697222222222223</v>
      </c>
      <c r="BH31" s="1">
        <f t="shared" si="11"/>
        <v>28.205555555555556</v>
      </c>
      <c r="BI31" s="1">
        <f t="shared" si="11"/>
        <v>28.711111111111112</v>
      </c>
      <c r="BJ31" s="1">
        <f t="shared" si="11"/>
        <v>29.219444444444445</v>
      </c>
      <c r="BK31" s="1">
        <f t="shared" si="11"/>
        <v>29.727777777777778</v>
      </c>
      <c r="BL31" s="1">
        <f t="shared" si="11"/>
        <v>30.236111111111111</v>
      </c>
      <c r="BM31" s="1">
        <f t="shared" si="11"/>
        <v>30.741666666666667</v>
      </c>
      <c r="BN31" s="1">
        <f t="shared" si="11"/>
        <v>31.25</v>
      </c>
      <c r="BO31" s="1">
        <f t="shared" si="12"/>
        <v>31.25</v>
      </c>
      <c r="BP31" s="1">
        <f t="shared" si="12"/>
        <v>31.755555555555556</v>
      </c>
      <c r="BQ31" s="1">
        <f t="shared" si="12"/>
        <v>32.263888888888886</v>
      </c>
      <c r="BR31" s="1">
        <f t="shared" si="12"/>
        <v>32.769444444444446</v>
      </c>
      <c r="BS31" s="1">
        <f t="shared" si="12"/>
        <v>33.277777777777779</v>
      </c>
      <c r="BT31" s="1">
        <f t="shared" si="12"/>
        <v>33.786111111111111</v>
      </c>
      <c r="BU31" s="1">
        <f t="shared" si="12"/>
        <v>34.294444444444444</v>
      </c>
      <c r="BV31" s="1">
        <f t="shared" si="12"/>
        <v>34.294444444444444</v>
      </c>
      <c r="BW31" s="1">
        <f t="shared" si="12"/>
        <v>34.799999999999997</v>
      </c>
      <c r="BX31" s="1">
        <f t="shared" si="12"/>
        <v>35.30833333333333</v>
      </c>
      <c r="BY31" s="1">
        <f t="shared" si="12"/>
        <v>35.81388888888889</v>
      </c>
      <c r="BZ31" s="1">
        <f t="shared" si="12"/>
        <v>36.322222222222223</v>
      </c>
      <c r="CA31" s="1">
        <f t="shared" si="12"/>
        <v>36.827777777777776</v>
      </c>
      <c r="CB31" s="1">
        <f t="shared" si="12"/>
        <v>37.336111111111109</v>
      </c>
      <c r="CC31" s="1">
        <f t="shared" si="12"/>
        <v>37.844444444444441</v>
      </c>
      <c r="CD31" s="1">
        <f t="shared" si="12"/>
        <v>38.352777777777774</v>
      </c>
      <c r="CE31" s="1">
        <f t="shared" si="13"/>
        <v>38.858333333333334</v>
      </c>
      <c r="CF31" s="1">
        <f t="shared" si="13"/>
        <v>39.366666666666667</v>
      </c>
      <c r="CG31" s="1">
        <f t="shared" si="13"/>
        <v>39.87222222222222</v>
      </c>
      <c r="CH31" s="1">
        <f t="shared" si="13"/>
        <v>40.380555555555553</v>
      </c>
      <c r="CI31" s="1">
        <f t="shared" si="13"/>
        <v>40.886111111111113</v>
      </c>
      <c r="CJ31" s="1">
        <f t="shared" si="13"/>
        <v>41.394444444444446</v>
      </c>
      <c r="CK31" s="1">
        <f t="shared" si="13"/>
        <v>41.902777777777779</v>
      </c>
      <c r="CL31" s="1">
        <f t="shared" si="13"/>
        <v>42.411111111111111</v>
      </c>
      <c r="CM31" s="1">
        <f t="shared" si="13"/>
        <v>42.916666666666664</v>
      </c>
      <c r="CN31" s="1">
        <f t="shared" si="13"/>
        <v>43.424999999999997</v>
      </c>
      <c r="CO31" s="1">
        <f t="shared" si="13"/>
        <v>43.930555555555557</v>
      </c>
      <c r="CP31" s="1">
        <f t="shared" si="13"/>
        <v>44.43888888888889</v>
      </c>
      <c r="CQ31" s="1">
        <f t="shared" si="13"/>
        <v>44.944444444444443</v>
      </c>
      <c r="CR31" s="1">
        <f t="shared" si="13"/>
        <v>45.452777777777776</v>
      </c>
      <c r="CS31" s="1">
        <f t="shared" si="13"/>
        <v>45.961111111111109</v>
      </c>
      <c r="CT31" s="1">
        <f t="shared" si="13"/>
        <v>46.469444444444441</v>
      </c>
      <c r="CU31" s="1">
        <f t="shared" si="14"/>
        <v>46.975000000000001</v>
      </c>
      <c r="CV31" s="1">
        <f t="shared" si="14"/>
        <v>47.483333333333334</v>
      </c>
      <c r="CW31" s="1">
        <f t="shared" si="14"/>
        <v>47.988888888888887</v>
      </c>
      <c r="CX31" s="1">
        <f t="shared" si="14"/>
        <v>48.49722222222222</v>
      </c>
      <c r="CY31" s="1">
        <f t="shared" si="14"/>
        <v>49.00277777777778</v>
      </c>
      <c r="CZ31" s="1">
        <f t="shared" si="14"/>
        <v>49.511111111111113</v>
      </c>
      <c r="DA31" s="1">
        <f t="shared" si="14"/>
        <v>50.019444444444446</v>
      </c>
      <c r="DB31" s="1">
        <f t="shared" si="14"/>
        <v>50.527777777777779</v>
      </c>
      <c r="DC31" s="1">
        <f t="shared" si="14"/>
        <v>50.527777777777779</v>
      </c>
    </row>
    <row r="32" spans="1:107" x14ac:dyDescent="0.25">
      <c r="A32">
        <f t="shared" si="7"/>
        <v>6</v>
      </c>
      <c r="B32" s="2">
        <f>yields_BRUTE!B32</f>
        <v>42048</v>
      </c>
      <c r="C32" s="1">
        <f t="shared" si="15"/>
        <v>4.4444444444444446E-2</v>
      </c>
      <c r="D32" s="1">
        <f t="shared" si="15"/>
        <v>8.3333333333333329E-2</v>
      </c>
      <c r="E32" s="1">
        <f t="shared" si="15"/>
        <v>0.3</v>
      </c>
      <c r="F32" s="1">
        <f t="shared" si="15"/>
        <v>0.55555555555555558</v>
      </c>
      <c r="G32" s="1">
        <f t="shared" si="15"/>
        <v>0.59444444444444444</v>
      </c>
      <c r="H32" s="1">
        <f t="shared" si="15"/>
        <v>0.80833333333333335</v>
      </c>
      <c r="I32" s="1">
        <f t="shared" si="15"/>
        <v>0.80833333333333335</v>
      </c>
      <c r="J32" s="1">
        <f t="shared" si="15"/>
        <v>1.0611111111111111</v>
      </c>
      <c r="K32" s="1">
        <f t="shared" si="15"/>
        <v>1.1000000000000001</v>
      </c>
      <c r="L32" s="1">
        <f t="shared" si="15"/>
        <v>1.3166666666666667</v>
      </c>
      <c r="M32" s="1">
        <f t="shared" si="15"/>
        <v>1.5722222222222222</v>
      </c>
      <c r="N32" s="1">
        <f t="shared" si="15"/>
        <v>1.5722222222222222</v>
      </c>
      <c r="O32" s="1">
        <f t="shared" si="15"/>
        <v>1.6111111111111112</v>
      </c>
      <c r="P32" s="1">
        <f t="shared" si="15"/>
        <v>1.825</v>
      </c>
      <c r="Q32" s="1">
        <f t="shared" si="15"/>
        <v>2.1138888888888889</v>
      </c>
      <c r="R32" s="1">
        <f t="shared" si="15"/>
        <v>2.3305555555555557</v>
      </c>
      <c r="S32" s="1">
        <f t="shared" si="9"/>
        <v>2.625</v>
      </c>
      <c r="T32" s="1">
        <f t="shared" si="9"/>
        <v>2.838888888888889</v>
      </c>
      <c r="U32" s="1">
        <f t="shared" si="9"/>
        <v>3.1277777777777778</v>
      </c>
      <c r="V32" s="1">
        <f t="shared" si="9"/>
        <v>3.3444444444444446</v>
      </c>
      <c r="W32" s="1">
        <f t="shared" si="9"/>
        <v>3.6388888888888888</v>
      </c>
      <c r="X32" s="1">
        <f t="shared" si="9"/>
        <v>3.8527777777777779</v>
      </c>
      <c r="Y32" s="1">
        <f t="shared" si="9"/>
        <v>4.1416666666666666</v>
      </c>
      <c r="Z32" s="1">
        <f t="shared" si="9"/>
        <v>4.3583333333333334</v>
      </c>
      <c r="AA32" s="1">
        <f t="shared" si="9"/>
        <v>4.6527777777777777</v>
      </c>
      <c r="AB32" s="1">
        <f t="shared" si="9"/>
        <v>4.8666666666666663</v>
      </c>
      <c r="AC32" s="1">
        <f t="shared" si="9"/>
        <v>5.1583333333333332</v>
      </c>
      <c r="AD32" s="1">
        <f t="shared" si="9"/>
        <v>5.375</v>
      </c>
      <c r="AE32" s="1">
        <f t="shared" si="9"/>
        <v>5.375</v>
      </c>
      <c r="AF32" s="3">
        <f t="shared" si="9"/>
        <v>5.6694444444444443</v>
      </c>
      <c r="AG32" s="1">
        <f t="shared" si="9"/>
        <v>5.8833333333333337</v>
      </c>
      <c r="AH32" s="1">
        <f t="shared" si="9"/>
        <v>6.1722222222222225</v>
      </c>
      <c r="AI32" s="1">
        <f t="shared" si="10"/>
        <v>6.1722222222222225</v>
      </c>
      <c r="AJ32" s="1">
        <f t="shared" si="10"/>
        <v>6.3888888888888893</v>
      </c>
      <c r="AK32" s="1">
        <f t="shared" si="10"/>
        <v>6.3888888888888893</v>
      </c>
      <c r="AL32" s="1">
        <f t="shared" si="10"/>
        <v>6.8972222222222221</v>
      </c>
      <c r="AM32" s="1">
        <f t="shared" si="10"/>
        <v>7.4027777777777777</v>
      </c>
      <c r="AN32" s="1">
        <f t="shared" si="10"/>
        <v>7.4027777777777777</v>
      </c>
      <c r="AO32" s="1">
        <f t="shared" si="10"/>
        <v>7.9111111111111114</v>
      </c>
      <c r="AP32" s="1">
        <f t="shared" si="10"/>
        <v>8.4166666666666661</v>
      </c>
      <c r="AQ32" s="1">
        <f t="shared" si="10"/>
        <v>8.4166666666666661</v>
      </c>
      <c r="AR32" s="1">
        <f t="shared" si="10"/>
        <v>8.9250000000000007</v>
      </c>
      <c r="AS32" s="1">
        <f t="shared" si="10"/>
        <v>9.4333333333333336</v>
      </c>
      <c r="AT32" s="1">
        <f t="shared" si="10"/>
        <v>9.9416666666666664</v>
      </c>
      <c r="AU32" s="1">
        <f t="shared" si="10"/>
        <v>10.447222222222223</v>
      </c>
      <c r="AV32" s="1">
        <f t="shared" si="10"/>
        <v>10.447222222222223</v>
      </c>
      <c r="AW32" s="1">
        <f t="shared" si="10"/>
        <v>15.013888888888889</v>
      </c>
      <c r="AX32" s="1">
        <f t="shared" si="10"/>
        <v>15.519444444444444</v>
      </c>
      <c r="AY32" s="1">
        <f t="shared" si="11"/>
        <v>16.027777777777779</v>
      </c>
      <c r="AZ32" s="1">
        <f t="shared" si="11"/>
        <v>16.533333333333335</v>
      </c>
      <c r="BA32" s="1">
        <f t="shared" si="11"/>
        <v>17.041666666666668</v>
      </c>
      <c r="BB32" s="1">
        <f t="shared" si="11"/>
        <v>17.55</v>
      </c>
      <c r="BC32" s="1">
        <f t="shared" si="11"/>
        <v>18.058333333333334</v>
      </c>
      <c r="BD32" s="1">
        <f t="shared" si="11"/>
        <v>18.56388888888889</v>
      </c>
      <c r="BE32" s="1">
        <f t="shared" si="11"/>
        <v>18.56388888888889</v>
      </c>
      <c r="BF32" s="1">
        <f t="shared" si="11"/>
        <v>27.18888888888889</v>
      </c>
      <c r="BG32" s="1">
        <f t="shared" si="11"/>
        <v>27.694444444444443</v>
      </c>
      <c r="BH32" s="1">
        <f t="shared" si="11"/>
        <v>28.202777777777779</v>
      </c>
      <c r="BI32" s="1">
        <f t="shared" si="11"/>
        <v>28.708333333333332</v>
      </c>
      <c r="BJ32" s="1">
        <f t="shared" si="11"/>
        <v>29.216666666666665</v>
      </c>
      <c r="BK32" s="1">
        <f t="shared" si="11"/>
        <v>29.725000000000001</v>
      </c>
      <c r="BL32" s="1">
        <f t="shared" si="11"/>
        <v>30.233333333333334</v>
      </c>
      <c r="BM32" s="1">
        <f t="shared" si="11"/>
        <v>30.738888888888887</v>
      </c>
      <c r="BN32" s="1">
        <f t="shared" si="11"/>
        <v>31.247222222222224</v>
      </c>
      <c r="BO32" s="1">
        <f t="shared" si="12"/>
        <v>31.247222222222224</v>
      </c>
      <c r="BP32" s="1">
        <f t="shared" si="12"/>
        <v>31.752777777777776</v>
      </c>
      <c r="BQ32" s="1">
        <f t="shared" si="12"/>
        <v>32.261111111111113</v>
      </c>
      <c r="BR32" s="1">
        <f t="shared" si="12"/>
        <v>32.766666666666666</v>
      </c>
      <c r="BS32" s="1">
        <f t="shared" si="12"/>
        <v>33.274999999999999</v>
      </c>
      <c r="BT32" s="1">
        <f t="shared" si="12"/>
        <v>33.783333333333331</v>
      </c>
      <c r="BU32" s="1">
        <f t="shared" si="12"/>
        <v>34.291666666666664</v>
      </c>
      <c r="BV32" s="1">
        <f t="shared" si="12"/>
        <v>34.291666666666664</v>
      </c>
      <c r="BW32" s="1">
        <f t="shared" si="12"/>
        <v>34.797222222222224</v>
      </c>
      <c r="BX32" s="1">
        <f t="shared" si="12"/>
        <v>35.305555555555557</v>
      </c>
      <c r="BY32" s="1">
        <f t="shared" si="12"/>
        <v>35.81111111111111</v>
      </c>
      <c r="BZ32" s="1">
        <f t="shared" si="12"/>
        <v>36.319444444444443</v>
      </c>
      <c r="CA32" s="1">
        <f t="shared" si="12"/>
        <v>36.825000000000003</v>
      </c>
      <c r="CB32" s="1">
        <f t="shared" si="12"/>
        <v>37.333333333333336</v>
      </c>
      <c r="CC32" s="1">
        <f t="shared" si="12"/>
        <v>37.841666666666669</v>
      </c>
      <c r="CD32" s="1">
        <f t="shared" si="12"/>
        <v>38.35</v>
      </c>
      <c r="CE32" s="1">
        <f t="shared" si="13"/>
        <v>38.855555555555554</v>
      </c>
      <c r="CF32" s="1">
        <f t="shared" si="13"/>
        <v>39.363888888888887</v>
      </c>
      <c r="CG32" s="1">
        <f t="shared" si="13"/>
        <v>39.869444444444447</v>
      </c>
      <c r="CH32" s="1">
        <f t="shared" si="13"/>
        <v>40.37777777777778</v>
      </c>
      <c r="CI32" s="1">
        <f t="shared" si="13"/>
        <v>40.883333333333333</v>
      </c>
      <c r="CJ32" s="1">
        <f t="shared" si="13"/>
        <v>41.391666666666666</v>
      </c>
      <c r="CK32" s="1">
        <f t="shared" si="13"/>
        <v>41.9</v>
      </c>
      <c r="CL32" s="1">
        <f t="shared" si="13"/>
        <v>42.408333333333331</v>
      </c>
      <c r="CM32" s="1">
        <f t="shared" si="13"/>
        <v>42.913888888888891</v>
      </c>
      <c r="CN32" s="1">
        <f t="shared" si="13"/>
        <v>43.422222222222224</v>
      </c>
      <c r="CO32" s="1">
        <f t="shared" si="13"/>
        <v>43.927777777777777</v>
      </c>
      <c r="CP32" s="1">
        <f t="shared" si="13"/>
        <v>44.43611111111111</v>
      </c>
      <c r="CQ32" s="1">
        <f t="shared" si="13"/>
        <v>44.94166666666667</v>
      </c>
      <c r="CR32" s="1">
        <f t="shared" si="13"/>
        <v>45.45</v>
      </c>
      <c r="CS32" s="1">
        <f t="shared" si="13"/>
        <v>45.958333333333336</v>
      </c>
      <c r="CT32" s="1">
        <f t="shared" si="13"/>
        <v>46.466666666666669</v>
      </c>
      <c r="CU32" s="1">
        <f t="shared" si="14"/>
        <v>46.972222222222221</v>
      </c>
      <c r="CV32" s="1">
        <f t="shared" si="14"/>
        <v>47.480555555555554</v>
      </c>
      <c r="CW32" s="1">
        <f t="shared" si="14"/>
        <v>47.986111111111114</v>
      </c>
      <c r="CX32" s="1">
        <f t="shared" si="14"/>
        <v>48.494444444444447</v>
      </c>
      <c r="CY32" s="1">
        <f t="shared" si="14"/>
        <v>49</v>
      </c>
      <c r="CZ32" s="1">
        <f t="shared" si="14"/>
        <v>49.508333333333333</v>
      </c>
      <c r="DA32" s="1">
        <f t="shared" si="14"/>
        <v>50.016666666666666</v>
      </c>
      <c r="DB32" s="1">
        <f t="shared" si="14"/>
        <v>50.524999999999999</v>
      </c>
      <c r="DC32" s="1">
        <f t="shared" si="14"/>
        <v>50.524999999999999</v>
      </c>
    </row>
    <row r="33" spans="1:107" x14ac:dyDescent="0.25">
      <c r="A33">
        <f t="shared" si="7"/>
        <v>3</v>
      </c>
      <c r="B33" s="2">
        <f>yields_BRUTE!B33</f>
        <v>42052</v>
      </c>
      <c r="C33" s="1">
        <f t="shared" si="15"/>
        <v>3.3333333333333333E-2</v>
      </c>
      <c r="D33" s="1">
        <f t="shared" si="15"/>
        <v>7.2222222222222215E-2</v>
      </c>
      <c r="E33" s="1">
        <f t="shared" si="15"/>
        <v>0.28888888888888886</v>
      </c>
      <c r="F33" s="1">
        <f t="shared" si="15"/>
        <v>0.5444444444444444</v>
      </c>
      <c r="G33" s="1">
        <f t="shared" si="15"/>
        <v>0.58333333333333337</v>
      </c>
      <c r="H33" s="1">
        <f t="shared" si="15"/>
        <v>0.79722222222222228</v>
      </c>
      <c r="I33" s="1">
        <f t="shared" si="15"/>
        <v>0.79722222222222228</v>
      </c>
      <c r="J33" s="1">
        <f t="shared" si="15"/>
        <v>1.05</v>
      </c>
      <c r="K33" s="1">
        <f t="shared" si="15"/>
        <v>1.0888888888888888</v>
      </c>
      <c r="L33" s="1">
        <f t="shared" si="15"/>
        <v>1.3055555555555556</v>
      </c>
      <c r="M33" s="1">
        <f t="shared" si="15"/>
        <v>1.5611111111111111</v>
      </c>
      <c r="N33" s="1">
        <f t="shared" si="15"/>
        <v>1.5611111111111111</v>
      </c>
      <c r="O33" s="1">
        <f t="shared" si="15"/>
        <v>1.6</v>
      </c>
      <c r="P33" s="1">
        <f t="shared" si="15"/>
        <v>1.8138888888888889</v>
      </c>
      <c r="Q33" s="1">
        <f t="shared" si="15"/>
        <v>2.1027777777777779</v>
      </c>
      <c r="R33" s="1">
        <f t="shared" si="15"/>
        <v>2.3194444444444446</v>
      </c>
      <c r="S33" s="1">
        <f t="shared" ref="S33:AH48" si="16">(S$1-$B33)/360</f>
        <v>2.6138888888888889</v>
      </c>
      <c r="T33" s="1">
        <f t="shared" si="16"/>
        <v>2.8277777777777779</v>
      </c>
      <c r="U33" s="1">
        <f t="shared" si="16"/>
        <v>3.1166666666666667</v>
      </c>
      <c r="V33" s="1">
        <f t="shared" si="16"/>
        <v>3.3333333333333335</v>
      </c>
      <c r="W33" s="1">
        <f t="shared" si="16"/>
        <v>3.6277777777777778</v>
      </c>
      <c r="X33" s="1">
        <f t="shared" si="16"/>
        <v>3.8416666666666668</v>
      </c>
      <c r="Y33" s="1">
        <f t="shared" si="16"/>
        <v>4.1305555555555555</v>
      </c>
      <c r="Z33" s="1">
        <f t="shared" si="16"/>
        <v>4.3472222222222223</v>
      </c>
      <c r="AA33" s="1">
        <f t="shared" si="16"/>
        <v>4.6416666666666666</v>
      </c>
      <c r="AB33" s="1">
        <f t="shared" si="16"/>
        <v>4.8555555555555552</v>
      </c>
      <c r="AC33" s="1">
        <f t="shared" si="16"/>
        <v>5.1472222222222221</v>
      </c>
      <c r="AD33" s="1">
        <f t="shared" si="16"/>
        <v>5.3638888888888889</v>
      </c>
      <c r="AE33" s="1">
        <f t="shared" si="16"/>
        <v>5.3638888888888889</v>
      </c>
      <c r="AF33" s="3">
        <f t="shared" si="16"/>
        <v>5.6583333333333332</v>
      </c>
      <c r="AG33" s="1">
        <f t="shared" si="16"/>
        <v>5.8722222222222218</v>
      </c>
      <c r="AH33" s="1">
        <f t="shared" si="16"/>
        <v>6.1611111111111114</v>
      </c>
      <c r="AI33" s="1">
        <f t="shared" ref="AI33:AX48" si="17">(AI$1-$B33)/360</f>
        <v>6.1611111111111114</v>
      </c>
      <c r="AJ33" s="1">
        <f t="shared" si="17"/>
        <v>6.3777777777777782</v>
      </c>
      <c r="AK33" s="1">
        <f t="shared" si="17"/>
        <v>6.3777777777777782</v>
      </c>
      <c r="AL33" s="1">
        <f t="shared" si="17"/>
        <v>6.8861111111111111</v>
      </c>
      <c r="AM33" s="1">
        <f t="shared" si="17"/>
        <v>7.3916666666666666</v>
      </c>
      <c r="AN33" s="1">
        <f t="shared" si="17"/>
        <v>7.3916666666666666</v>
      </c>
      <c r="AO33" s="1">
        <f t="shared" si="17"/>
        <v>7.9</v>
      </c>
      <c r="AP33" s="1">
        <f t="shared" si="17"/>
        <v>8.405555555555555</v>
      </c>
      <c r="AQ33" s="1">
        <f t="shared" si="17"/>
        <v>8.405555555555555</v>
      </c>
      <c r="AR33" s="1">
        <f t="shared" si="17"/>
        <v>8.9138888888888896</v>
      </c>
      <c r="AS33" s="1">
        <f t="shared" si="17"/>
        <v>9.4222222222222225</v>
      </c>
      <c r="AT33" s="1">
        <f t="shared" si="17"/>
        <v>9.9305555555555554</v>
      </c>
      <c r="AU33" s="1">
        <f t="shared" si="17"/>
        <v>10.436111111111112</v>
      </c>
      <c r="AV33" s="1">
        <f t="shared" si="17"/>
        <v>10.436111111111112</v>
      </c>
      <c r="AW33" s="1">
        <f t="shared" si="17"/>
        <v>15.002777777777778</v>
      </c>
      <c r="AX33" s="1">
        <f t="shared" si="17"/>
        <v>15.508333333333333</v>
      </c>
      <c r="AY33" s="1">
        <f t="shared" ref="AY33:BN48" si="18">(AY$1-$B33)/360</f>
        <v>16.016666666666666</v>
      </c>
      <c r="AZ33" s="1">
        <f t="shared" si="18"/>
        <v>16.522222222222222</v>
      </c>
      <c r="BA33" s="1">
        <f t="shared" si="18"/>
        <v>17.030555555555555</v>
      </c>
      <c r="BB33" s="1">
        <f t="shared" si="18"/>
        <v>17.538888888888888</v>
      </c>
      <c r="BC33" s="1">
        <f t="shared" si="18"/>
        <v>18.047222222222221</v>
      </c>
      <c r="BD33" s="1">
        <f t="shared" si="18"/>
        <v>18.552777777777777</v>
      </c>
      <c r="BE33" s="1">
        <f t="shared" si="18"/>
        <v>18.552777777777777</v>
      </c>
      <c r="BF33" s="1">
        <f t="shared" si="18"/>
        <v>27.177777777777777</v>
      </c>
      <c r="BG33" s="1">
        <f t="shared" si="18"/>
        <v>27.683333333333334</v>
      </c>
      <c r="BH33" s="1">
        <f t="shared" si="18"/>
        <v>28.191666666666666</v>
      </c>
      <c r="BI33" s="1">
        <f t="shared" si="18"/>
        <v>28.697222222222223</v>
      </c>
      <c r="BJ33" s="1">
        <f t="shared" si="18"/>
        <v>29.205555555555556</v>
      </c>
      <c r="BK33" s="1">
        <f t="shared" si="18"/>
        <v>29.713888888888889</v>
      </c>
      <c r="BL33" s="1">
        <f t="shared" si="18"/>
        <v>30.222222222222221</v>
      </c>
      <c r="BM33" s="1">
        <f t="shared" si="18"/>
        <v>30.727777777777778</v>
      </c>
      <c r="BN33" s="1">
        <f t="shared" si="18"/>
        <v>31.236111111111111</v>
      </c>
      <c r="BO33" s="1">
        <f t="shared" ref="BO33:CD48" si="19">(BO$1-$B33)/360</f>
        <v>31.236111111111111</v>
      </c>
      <c r="BP33" s="1">
        <f t="shared" si="19"/>
        <v>31.741666666666667</v>
      </c>
      <c r="BQ33" s="1">
        <f t="shared" si="19"/>
        <v>32.25</v>
      </c>
      <c r="BR33" s="1">
        <f t="shared" si="19"/>
        <v>32.755555555555553</v>
      </c>
      <c r="BS33" s="1">
        <f t="shared" si="19"/>
        <v>33.263888888888886</v>
      </c>
      <c r="BT33" s="1">
        <f t="shared" si="19"/>
        <v>33.772222222222226</v>
      </c>
      <c r="BU33" s="1">
        <f t="shared" si="19"/>
        <v>34.280555555555559</v>
      </c>
      <c r="BV33" s="1">
        <f t="shared" si="19"/>
        <v>34.280555555555559</v>
      </c>
      <c r="BW33" s="1">
        <f t="shared" si="19"/>
        <v>34.786111111111111</v>
      </c>
      <c r="BX33" s="1">
        <f t="shared" si="19"/>
        <v>35.294444444444444</v>
      </c>
      <c r="BY33" s="1">
        <f t="shared" si="19"/>
        <v>35.799999999999997</v>
      </c>
      <c r="BZ33" s="1">
        <f t="shared" si="19"/>
        <v>36.30833333333333</v>
      </c>
      <c r="CA33" s="1">
        <f t="shared" si="19"/>
        <v>36.81388888888889</v>
      </c>
      <c r="CB33" s="1">
        <f t="shared" si="19"/>
        <v>37.322222222222223</v>
      </c>
      <c r="CC33" s="1">
        <f t="shared" si="19"/>
        <v>37.830555555555556</v>
      </c>
      <c r="CD33" s="1">
        <f t="shared" si="19"/>
        <v>38.338888888888889</v>
      </c>
      <c r="CE33" s="1">
        <f t="shared" ref="CE33:CT48" si="20">(CE$1-$B33)/360</f>
        <v>38.844444444444441</v>
      </c>
      <c r="CF33" s="1">
        <f t="shared" si="20"/>
        <v>39.352777777777774</v>
      </c>
      <c r="CG33" s="1">
        <f t="shared" si="20"/>
        <v>39.858333333333334</v>
      </c>
      <c r="CH33" s="1">
        <f t="shared" si="20"/>
        <v>40.366666666666667</v>
      </c>
      <c r="CI33" s="1">
        <f t="shared" si="20"/>
        <v>40.87222222222222</v>
      </c>
      <c r="CJ33" s="1">
        <f t="shared" si="20"/>
        <v>41.380555555555553</v>
      </c>
      <c r="CK33" s="1">
        <f t="shared" si="20"/>
        <v>41.888888888888886</v>
      </c>
      <c r="CL33" s="1">
        <f t="shared" si="20"/>
        <v>42.397222222222226</v>
      </c>
      <c r="CM33" s="1">
        <f t="shared" si="20"/>
        <v>42.902777777777779</v>
      </c>
      <c r="CN33" s="1">
        <f t="shared" si="20"/>
        <v>43.411111111111111</v>
      </c>
      <c r="CO33" s="1">
        <f t="shared" si="20"/>
        <v>43.916666666666664</v>
      </c>
      <c r="CP33" s="1">
        <f t="shared" si="20"/>
        <v>44.424999999999997</v>
      </c>
      <c r="CQ33" s="1">
        <f t="shared" si="20"/>
        <v>44.930555555555557</v>
      </c>
      <c r="CR33" s="1">
        <f t="shared" si="20"/>
        <v>45.43888888888889</v>
      </c>
      <c r="CS33" s="1">
        <f t="shared" si="20"/>
        <v>45.947222222222223</v>
      </c>
      <c r="CT33" s="1">
        <f t="shared" si="20"/>
        <v>46.455555555555556</v>
      </c>
      <c r="CU33" s="1">
        <f t="shared" ref="CU33:DC48" si="21">(CU$1-$B33)/360</f>
        <v>46.961111111111109</v>
      </c>
      <c r="CV33" s="1">
        <f t="shared" si="21"/>
        <v>47.469444444444441</v>
      </c>
      <c r="CW33" s="1">
        <f t="shared" si="21"/>
        <v>47.975000000000001</v>
      </c>
      <c r="CX33" s="1">
        <f t="shared" si="21"/>
        <v>48.483333333333334</v>
      </c>
      <c r="CY33" s="1">
        <f t="shared" si="21"/>
        <v>48.988888888888887</v>
      </c>
      <c r="CZ33" s="1">
        <f t="shared" si="21"/>
        <v>49.49722222222222</v>
      </c>
      <c r="DA33" s="1">
        <f t="shared" si="21"/>
        <v>50.005555555555553</v>
      </c>
      <c r="DB33" s="1">
        <f t="shared" si="21"/>
        <v>50.513888888888886</v>
      </c>
      <c r="DC33" s="1">
        <f t="shared" si="21"/>
        <v>50.513888888888886</v>
      </c>
    </row>
    <row r="34" spans="1:107" x14ac:dyDescent="0.25">
      <c r="A34">
        <f t="shared" si="7"/>
        <v>4</v>
      </c>
      <c r="B34" s="2">
        <f>yields_BRUTE!B34</f>
        <v>42053</v>
      </c>
      <c r="C34" s="1">
        <f t="shared" si="15"/>
        <v>3.0555555555555555E-2</v>
      </c>
      <c r="D34" s="1">
        <f t="shared" si="15"/>
        <v>6.9444444444444448E-2</v>
      </c>
      <c r="E34" s="1">
        <f t="shared" si="15"/>
        <v>0.28611111111111109</v>
      </c>
      <c r="F34" s="1">
        <f t="shared" si="15"/>
        <v>0.54166666666666663</v>
      </c>
      <c r="G34" s="1">
        <f t="shared" si="15"/>
        <v>0.5805555555555556</v>
      </c>
      <c r="H34" s="1">
        <f t="shared" si="15"/>
        <v>0.7944444444444444</v>
      </c>
      <c r="I34" s="1">
        <f t="shared" si="15"/>
        <v>0.7944444444444444</v>
      </c>
      <c r="J34" s="1">
        <f t="shared" si="15"/>
        <v>1.0472222222222223</v>
      </c>
      <c r="K34" s="1">
        <f t="shared" si="15"/>
        <v>1.086111111111111</v>
      </c>
      <c r="L34" s="1">
        <f t="shared" si="15"/>
        <v>1.3027777777777778</v>
      </c>
      <c r="M34" s="1">
        <f t="shared" si="15"/>
        <v>1.5583333333333333</v>
      </c>
      <c r="N34" s="1">
        <f t="shared" si="15"/>
        <v>1.5583333333333333</v>
      </c>
      <c r="O34" s="1">
        <f t="shared" si="15"/>
        <v>1.5972222222222223</v>
      </c>
      <c r="P34" s="1">
        <f t="shared" si="15"/>
        <v>1.8111111111111111</v>
      </c>
      <c r="Q34" s="1">
        <f t="shared" si="15"/>
        <v>2.1</v>
      </c>
      <c r="R34" s="1">
        <f t="shared" ref="R34:AG49" si="22">(R$1-$B34)/360</f>
        <v>2.3166666666666669</v>
      </c>
      <c r="S34" s="1">
        <f t="shared" si="16"/>
        <v>2.6111111111111112</v>
      </c>
      <c r="T34" s="1">
        <f t="shared" si="16"/>
        <v>2.8250000000000002</v>
      </c>
      <c r="U34" s="1">
        <f t="shared" si="16"/>
        <v>3.1138888888888889</v>
      </c>
      <c r="V34" s="1">
        <f t="shared" si="16"/>
        <v>3.3305555555555557</v>
      </c>
      <c r="W34" s="1">
        <f t="shared" si="16"/>
        <v>3.625</v>
      </c>
      <c r="X34" s="1">
        <f t="shared" si="16"/>
        <v>3.838888888888889</v>
      </c>
      <c r="Y34" s="1">
        <f t="shared" si="16"/>
        <v>4.1277777777777782</v>
      </c>
      <c r="Z34" s="1">
        <f t="shared" si="16"/>
        <v>4.3444444444444441</v>
      </c>
      <c r="AA34" s="1">
        <f t="shared" si="16"/>
        <v>4.6388888888888893</v>
      </c>
      <c r="AB34" s="1">
        <f t="shared" si="16"/>
        <v>4.8527777777777779</v>
      </c>
      <c r="AC34" s="1">
        <f t="shared" si="16"/>
        <v>5.1444444444444448</v>
      </c>
      <c r="AD34" s="1">
        <f t="shared" si="16"/>
        <v>5.3611111111111107</v>
      </c>
      <c r="AE34" s="1">
        <f t="shared" si="16"/>
        <v>5.3611111111111107</v>
      </c>
      <c r="AF34" s="3">
        <f t="shared" si="16"/>
        <v>5.6555555555555559</v>
      </c>
      <c r="AG34" s="1">
        <f t="shared" si="16"/>
        <v>5.8694444444444445</v>
      </c>
      <c r="AH34" s="1">
        <f t="shared" si="16"/>
        <v>6.1583333333333332</v>
      </c>
      <c r="AI34" s="1">
        <f t="shared" si="17"/>
        <v>6.1583333333333332</v>
      </c>
      <c r="AJ34" s="1">
        <f t="shared" si="17"/>
        <v>6.375</v>
      </c>
      <c r="AK34" s="1">
        <f t="shared" si="17"/>
        <v>6.375</v>
      </c>
      <c r="AL34" s="1">
        <f t="shared" si="17"/>
        <v>6.8833333333333337</v>
      </c>
      <c r="AM34" s="1">
        <f t="shared" si="17"/>
        <v>7.3888888888888893</v>
      </c>
      <c r="AN34" s="1">
        <f t="shared" si="17"/>
        <v>7.3888888888888893</v>
      </c>
      <c r="AO34" s="1">
        <f t="shared" si="17"/>
        <v>7.8972222222222221</v>
      </c>
      <c r="AP34" s="1">
        <f t="shared" si="17"/>
        <v>8.4027777777777786</v>
      </c>
      <c r="AQ34" s="1">
        <f t="shared" si="17"/>
        <v>8.4027777777777786</v>
      </c>
      <c r="AR34" s="1">
        <f t="shared" si="17"/>
        <v>8.9111111111111114</v>
      </c>
      <c r="AS34" s="1">
        <f t="shared" si="17"/>
        <v>9.4194444444444443</v>
      </c>
      <c r="AT34" s="1">
        <f t="shared" si="17"/>
        <v>9.9277777777777771</v>
      </c>
      <c r="AU34" s="1">
        <f t="shared" si="17"/>
        <v>10.433333333333334</v>
      </c>
      <c r="AV34" s="1">
        <f t="shared" si="17"/>
        <v>10.433333333333334</v>
      </c>
      <c r="AW34" s="1">
        <f t="shared" si="17"/>
        <v>15</v>
      </c>
      <c r="AX34" s="1">
        <f t="shared" si="17"/>
        <v>15.505555555555556</v>
      </c>
      <c r="AY34" s="1">
        <f t="shared" si="18"/>
        <v>16.013888888888889</v>
      </c>
      <c r="AZ34" s="1">
        <f t="shared" si="18"/>
        <v>16.519444444444446</v>
      </c>
      <c r="BA34" s="1">
        <f t="shared" si="18"/>
        <v>17.027777777777779</v>
      </c>
      <c r="BB34" s="1">
        <f t="shared" si="18"/>
        <v>17.536111111111111</v>
      </c>
      <c r="BC34" s="1">
        <f t="shared" si="18"/>
        <v>18.044444444444444</v>
      </c>
      <c r="BD34" s="1">
        <f t="shared" si="18"/>
        <v>18.55</v>
      </c>
      <c r="BE34" s="1">
        <f t="shared" si="18"/>
        <v>18.55</v>
      </c>
      <c r="BF34" s="1">
        <f t="shared" si="18"/>
        <v>27.175000000000001</v>
      </c>
      <c r="BG34" s="1">
        <f t="shared" si="18"/>
        <v>27.680555555555557</v>
      </c>
      <c r="BH34" s="1">
        <f t="shared" si="18"/>
        <v>28.18888888888889</v>
      </c>
      <c r="BI34" s="1">
        <f t="shared" si="18"/>
        <v>28.694444444444443</v>
      </c>
      <c r="BJ34" s="1">
        <f t="shared" si="18"/>
        <v>29.202777777777779</v>
      </c>
      <c r="BK34" s="1">
        <f t="shared" si="18"/>
        <v>29.711111111111112</v>
      </c>
      <c r="BL34" s="1">
        <f t="shared" si="18"/>
        <v>30.219444444444445</v>
      </c>
      <c r="BM34" s="1">
        <f t="shared" si="18"/>
        <v>30.725000000000001</v>
      </c>
      <c r="BN34" s="1">
        <f t="shared" si="18"/>
        <v>31.233333333333334</v>
      </c>
      <c r="BO34" s="1">
        <f t="shared" si="19"/>
        <v>31.233333333333334</v>
      </c>
      <c r="BP34" s="1">
        <f t="shared" si="19"/>
        <v>31.738888888888887</v>
      </c>
      <c r="BQ34" s="1">
        <f t="shared" si="19"/>
        <v>32.24722222222222</v>
      </c>
      <c r="BR34" s="1">
        <f t="shared" si="19"/>
        <v>32.75277777777778</v>
      </c>
      <c r="BS34" s="1">
        <f t="shared" si="19"/>
        <v>33.261111111111113</v>
      </c>
      <c r="BT34" s="1">
        <f t="shared" si="19"/>
        <v>33.769444444444446</v>
      </c>
      <c r="BU34" s="1">
        <f t="shared" si="19"/>
        <v>34.277777777777779</v>
      </c>
      <c r="BV34" s="1">
        <f t="shared" si="19"/>
        <v>34.277777777777779</v>
      </c>
      <c r="BW34" s="1">
        <f t="shared" si="19"/>
        <v>34.783333333333331</v>
      </c>
      <c r="BX34" s="1">
        <f t="shared" si="19"/>
        <v>35.291666666666664</v>
      </c>
      <c r="BY34" s="1">
        <f t="shared" si="19"/>
        <v>35.797222222222224</v>
      </c>
      <c r="BZ34" s="1">
        <f t="shared" si="19"/>
        <v>36.305555555555557</v>
      </c>
      <c r="CA34" s="1">
        <f t="shared" si="19"/>
        <v>36.81111111111111</v>
      </c>
      <c r="CB34" s="1">
        <f t="shared" si="19"/>
        <v>37.319444444444443</v>
      </c>
      <c r="CC34" s="1">
        <f t="shared" si="19"/>
        <v>37.827777777777776</v>
      </c>
      <c r="CD34" s="1">
        <f t="shared" si="19"/>
        <v>38.336111111111109</v>
      </c>
      <c r="CE34" s="1">
        <f t="shared" si="20"/>
        <v>38.841666666666669</v>
      </c>
      <c r="CF34" s="1">
        <f t="shared" si="20"/>
        <v>39.35</v>
      </c>
      <c r="CG34" s="1">
        <f t="shared" si="20"/>
        <v>39.855555555555554</v>
      </c>
      <c r="CH34" s="1">
        <f t="shared" si="20"/>
        <v>40.363888888888887</v>
      </c>
      <c r="CI34" s="1">
        <f t="shared" si="20"/>
        <v>40.869444444444447</v>
      </c>
      <c r="CJ34" s="1">
        <f t="shared" si="20"/>
        <v>41.37777777777778</v>
      </c>
      <c r="CK34" s="1">
        <f t="shared" si="20"/>
        <v>41.886111111111113</v>
      </c>
      <c r="CL34" s="1">
        <f t="shared" si="20"/>
        <v>42.394444444444446</v>
      </c>
      <c r="CM34" s="1">
        <f t="shared" si="20"/>
        <v>42.9</v>
      </c>
      <c r="CN34" s="1">
        <f t="shared" si="20"/>
        <v>43.408333333333331</v>
      </c>
      <c r="CO34" s="1">
        <f t="shared" si="20"/>
        <v>43.913888888888891</v>
      </c>
      <c r="CP34" s="1">
        <f t="shared" si="20"/>
        <v>44.422222222222224</v>
      </c>
      <c r="CQ34" s="1">
        <f t="shared" si="20"/>
        <v>44.927777777777777</v>
      </c>
      <c r="CR34" s="1">
        <f t="shared" si="20"/>
        <v>45.43611111111111</v>
      </c>
      <c r="CS34" s="1">
        <f t="shared" si="20"/>
        <v>45.944444444444443</v>
      </c>
      <c r="CT34" s="1">
        <f t="shared" si="20"/>
        <v>46.452777777777776</v>
      </c>
      <c r="CU34" s="1">
        <f t="shared" si="21"/>
        <v>46.958333333333336</v>
      </c>
      <c r="CV34" s="1">
        <f t="shared" si="21"/>
        <v>47.466666666666669</v>
      </c>
      <c r="CW34" s="1">
        <f t="shared" si="21"/>
        <v>47.972222222222221</v>
      </c>
      <c r="CX34" s="1">
        <f t="shared" si="21"/>
        <v>48.480555555555554</v>
      </c>
      <c r="CY34" s="1">
        <f t="shared" si="21"/>
        <v>48.986111111111114</v>
      </c>
      <c r="CZ34" s="1">
        <f t="shared" si="21"/>
        <v>49.494444444444447</v>
      </c>
      <c r="DA34" s="1">
        <f t="shared" si="21"/>
        <v>50.00277777777778</v>
      </c>
      <c r="DB34" s="1">
        <f t="shared" si="21"/>
        <v>50.511111111111113</v>
      </c>
      <c r="DC34" s="1">
        <f t="shared" si="21"/>
        <v>50.511111111111113</v>
      </c>
    </row>
    <row r="35" spans="1:107" x14ac:dyDescent="0.25">
      <c r="A35">
        <f t="shared" si="7"/>
        <v>5</v>
      </c>
      <c r="B35" s="2">
        <f>yields_BRUTE!B35</f>
        <v>42054</v>
      </c>
      <c r="C35" s="1">
        <f t="shared" ref="C35:R50" si="23">(C$1-$B35)/360</f>
        <v>2.7777777777777776E-2</v>
      </c>
      <c r="D35" s="1">
        <f t="shared" si="23"/>
        <v>6.6666666666666666E-2</v>
      </c>
      <c r="E35" s="1">
        <f t="shared" si="23"/>
        <v>0.28333333333333333</v>
      </c>
      <c r="F35" s="1">
        <f t="shared" si="23"/>
        <v>0.53888888888888886</v>
      </c>
      <c r="G35" s="1">
        <f t="shared" si="23"/>
        <v>0.57777777777777772</v>
      </c>
      <c r="H35" s="1">
        <f t="shared" si="23"/>
        <v>0.79166666666666663</v>
      </c>
      <c r="I35" s="1">
        <f t="shared" si="23"/>
        <v>0.79166666666666663</v>
      </c>
      <c r="J35" s="1">
        <f t="shared" si="23"/>
        <v>1.0444444444444445</v>
      </c>
      <c r="K35" s="1">
        <f t="shared" si="23"/>
        <v>1.0833333333333333</v>
      </c>
      <c r="L35" s="1">
        <f t="shared" si="23"/>
        <v>1.3</v>
      </c>
      <c r="M35" s="1">
        <f t="shared" si="23"/>
        <v>1.5555555555555556</v>
      </c>
      <c r="N35" s="1">
        <f t="shared" si="23"/>
        <v>1.5555555555555556</v>
      </c>
      <c r="O35" s="1">
        <f t="shared" si="23"/>
        <v>1.5944444444444446</v>
      </c>
      <c r="P35" s="1">
        <f t="shared" si="23"/>
        <v>1.8083333333333333</v>
      </c>
      <c r="Q35" s="1">
        <f t="shared" si="23"/>
        <v>2.0972222222222223</v>
      </c>
      <c r="R35" s="1">
        <f t="shared" si="22"/>
        <v>2.3138888888888891</v>
      </c>
      <c r="S35" s="1">
        <f t="shared" si="16"/>
        <v>2.6083333333333334</v>
      </c>
      <c r="T35" s="1">
        <f t="shared" si="16"/>
        <v>2.8222222222222224</v>
      </c>
      <c r="U35" s="1">
        <f t="shared" si="16"/>
        <v>3.1111111111111112</v>
      </c>
      <c r="V35" s="1">
        <f t="shared" si="16"/>
        <v>3.3277777777777779</v>
      </c>
      <c r="W35" s="1">
        <f t="shared" si="16"/>
        <v>3.6222222222222222</v>
      </c>
      <c r="X35" s="1">
        <f t="shared" si="16"/>
        <v>3.8361111111111112</v>
      </c>
      <c r="Y35" s="1">
        <f t="shared" si="16"/>
        <v>4.125</v>
      </c>
      <c r="Z35" s="1">
        <f t="shared" si="16"/>
        <v>4.3416666666666668</v>
      </c>
      <c r="AA35" s="1">
        <f t="shared" si="16"/>
        <v>4.6361111111111111</v>
      </c>
      <c r="AB35" s="1">
        <f t="shared" si="16"/>
        <v>4.8499999999999996</v>
      </c>
      <c r="AC35" s="1">
        <f t="shared" si="16"/>
        <v>5.1416666666666666</v>
      </c>
      <c r="AD35" s="1">
        <f t="shared" si="16"/>
        <v>5.3583333333333334</v>
      </c>
      <c r="AE35" s="1">
        <f t="shared" si="16"/>
        <v>5.3583333333333334</v>
      </c>
      <c r="AF35" s="3">
        <f t="shared" si="16"/>
        <v>5.6527777777777777</v>
      </c>
      <c r="AG35" s="1">
        <f t="shared" si="16"/>
        <v>5.8666666666666663</v>
      </c>
      <c r="AH35" s="1">
        <f t="shared" si="16"/>
        <v>6.1555555555555559</v>
      </c>
      <c r="AI35" s="1">
        <f t="shared" si="17"/>
        <v>6.1555555555555559</v>
      </c>
      <c r="AJ35" s="1">
        <f t="shared" si="17"/>
        <v>6.3722222222222218</v>
      </c>
      <c r="AK35" s="1">
        <f t="shared" si="17"/>
        <v>6.3722222222222218</v>
      </c>
      <c r="AL35" s="1">
        <f t="shared" si="17"/>
        <v>6.8805555555555555</v>
      </c>
      <c r="AM35" s="1">
        <f t="shared" si="17"/>
        <v>7.3861111111111111</v>
      </c>
      <c r="AN35" s="1">
        <f t="shared" si="17"/>
        <v>7.3861111111111111</v>
      </c>
      <c r="AO35" s="1">
        <f t="shared" si="17"/>
        <v>7.8944444444444448</v>
      </c>
      <c r="AP35" s="1">
        <f t="shared" si="17"/>
        <v>8.4</v>
      </c>
      <c r="AQ35" s="1">
        <f t="shared" si="17"/>
        <v>8.4</v>
      </c>
      <c r="AR35" s="1">
        <f t="shared" si="17"/>
        <v>8.9083333333333332</v>
      </c>
      <c r="AS35" s="1">
        <f t="shared" si="17"/>
        <v>9.4166666666666661</v>
      </c>
      <c r="AT35" s="1">
        <f t="shared" si="17"/>
        <v>9.9250000000000007</v>
      </c>
      <c r="AU35" s="1">
        <f t="shared" si="17"/>
        <v>10.430555555555555</v>
      </c>
      <c r="AV35" s="1">
        <f t="shared" si="17"/>
        <v>10.430555555555555</v>
      </c>
      <c r="AW35" s="1">
        <f t="shared" si="17"/>
        <v>14.997222222222222</v>
      </c>
      <c r="AX35" s="1">
        <f t="shared" si="17"/>
        <v>15.502777777777778</v>
      </c>
      <c r="AY35" s="1">
        <f t="shared" si="18"/>
        <v>16.011111111111113</v>
      </c>
      <c r="AZ35" s="1">
        <f t="shared" si="18"/>
        <v>16.516666666666666</v>
      </c>
      <c r="BA35" s="1">
        <f t="shared" si="18"/>
        <v>17.024999999999999</v>
      </c>
      <c r="BB35" s="1">
        <f t="shared" si="18"/>
        <v>17.533333333333335</v>
      </c>
      <c r="BC35" s="1">
        <f t="shared" si="18"/>
        <v>18.041666666666668</v>
      </c>
      <c r="BD35" s="1">
        <f t="shared" si="18"/>
        <v>18.547222222222221</v>
      </c>
      <c r="BE35" s="1">
        <f t="shared" si="18"/>
        <v>18.547222222222221</v>
      </c>
      <c r="BF35" s="1">
        <f t="shared" si="18"/>
        <v>27.172222222222221</v>
      </c>
      <c r="BG35" s="1">
        <f t="shared" si="18"/>
        <v>27.677777777777777</v>
      </c>
      <c r="BH35" s="1">
        <f t="shared" si="18"/>
        <v>28.18611111111111</v>
      </c>
      <c r="BI35" s="1">
        <f t="shared" si="18"/>
        <v>28.691666666666666</v>
      </c>
      <c r="BJ35" s="1">
        <f t="shared" si="18"/>
        <v>29.2</v>
      </c>
      <c r="BK35" s="1">
        <f t="shared" si="18"/>
        <v>29.708333333333332</v>
      </c>
      <c r="BL35" s="1">
        <f t="shared" si="18"/>
        <v>30.216666666666665</v>
      </c>
      <c r="BM35" s="1">
        <f t="shared" si="18"/>
        <v>30.722222222222221</v>
      </c>
      <c r="BN35" s="1">
        <f t="shared" si="18"/>
        <v>31.230555555555554</v>
      </c>
      <c r="BO35" s="1">
        <f t="shared" si="19"/>
        <v>31.230555555555554</v>
      </c>
      <c r="BP35" s="1">
        <f t="shared" si="19"/>
        <v>31.736111111111111</v>
      </c>
      <c r="BQ35" s="1">
        <f t="shared" si="19"/>
        <v>32.244444444444447</v>
      </c>
      <c r="BR35" s="1">
        <f t="shared" si="19"/>
        <v>32.75</v>
      </c>
      <c r="BS35" s="1">
        <f t="shared" si="19"/>
        <v>33.258333333333333</v>
      </c>
      <c r="BT35" s="1">
        <f t="shared" si="19"/>
        <v>33.766666666666666</v>
      </c>
      <c r="BU35" s="1">
        <f t="shared" si="19"/>
        <v>34.274999999999999</v>
      </c>
      <c r="BV35" s="1">
        <f t="shared" si="19"/>
        <v>34.274999999999999</v>
      </c>
      <c r="BW35" s="1">
        <f t="shared" si="19"/>
        <v>34.780555555555559</v>
      </c>
      <c r="BX35" s="1">
        <f t="shared" si="19"/>
        <v>35.288888888888891</v>
      </c>
      <c r="BY35" s="1">
        <f t="shared" si="19"/>
        <v>35.794444444444444</v>
      </c>
      <c r="BZ35" s="1">
        <f t="shared" si="19"/>
        <v>36.302777777777777</v>
      </c>
      <c r="CA35" s="1">
        <f t="shared" si="19"/>
        <v>36.80833333333333</v>
      </c>
      <c r="CB35" s="1">
        <f t="shared" si="19"/>
        <v>37.31666666666667</v>
      </c>
      <c r="CC35" s="1">
        <f t="shared" si="19"/>
        <v>37.825000000000003</v>
      </c>
      <c r="CD35" s="1">
        <f t="shared" si="19"/>
        <v>38.333333333333336</v>
      </c>
      <c r="CE35" s="1">
        <f t="shared" si="20"/>
        <v>38.838888888888889</v>
      </c>
      <c r="CF35" s="1">
        <f t="shared" si="20"/>
        <v>39.347222222222221</v>
      </c>
      <c r="CG35" s="1">
        <f t="shared" si="20"/>
        <v>39.852777777777774</v>
      </c>
      <c r="CH35" s="1">
        <f t="shared" si="20"/>
        <v>40.361111111111114</v>
      </c>
      <c r="CI35" s="1">
        <f t="shared" si="20"/>
        <v>40.866666666666667</v>
      </c>
      <c r="CJ35" s="1">
        <f t="shared" si="20"/>
        <v>41.375</v>
      </c>
      <c r="CK35" s="1">
        <f t="shared" si="20"/>
        <v>41.883333333333333</v>
      </c>
      <c r="CL35" s="1">
        <f t="shared" si="20"/>
        <v>42.391666666666666</v>
      </c>
      <c r="CM35" s="1">
        <f t="shared" si="20"/>
        <v>42.897222222222226</v>
      </c>
      <c r="CN35" s="1">
        <f t="shared" si="20"/>
        <v>43.405555555555559</v>
      </c>
      <c r="CO35" s="1">
        <f t="shared" si="20"/>
        <v>43.911111111111111</v>
      </c>
      <c r="CP35" s="1">
        <f t="shared" si="20"/>
        <v>44.419444444444444</v>
      </c>
      <c r="CQ35" s="1">
        <f t="shared" si="20"/>
        <v>44.924999999999997</v>
      </c>
      <c r="CR35" s="1">
        <f t="shared" si="20"/>
        <v>45.43333333333333</v>
      </c>
      <c r="CS35" s="1">
        <f t="shared" si="20"/>
        <v>45.94166666666667</v>
      </c>
      <c r="CT35" s="1">
        <f t="shared" si="20"/>
        <v>46.45</v>
      </c>
      <c r="CU35" s="1">
        <f t="shared" si="21"/>
        <v>46.955555555555556</v>
      </c>
      <c r="CV35" s="1">
        <f t="shared" si="21"/>
        <v>47.463888888888889</v>
      </c>
      <c r="CW35" s="1">
        <f t="shared" si="21"/>
        <v>47.969444444444441</v>
      </c>
      <c r="CX35" s="1">
        <f t="shared" si="21"/>
        <v>48.477777777777774</v>
      </c>
      <c r="CY35" s="1">
        <f t="shared" si="21"/>
        <v>48.983333333333334</v>
      </c>
      <c r="CZ35" s="1">
        <f t="shared" si="21"/>
        <v>49.491666666666667</v>
      </c>
      <c r="DA35" s="1">
        <f t="shared" si="21"/>
        <v>50</v>
      </c>
      <c r="DB35" s="1">
        <f t="shared" si="21"/>
        <v>50.508333333333333</v>
      </c>
      <c r="DC35" s="1">
        <f t="shared" si="21"/>
        <v>50.508333333333333</v>
      </c>
    </row>
    <row r="36" spans="1:107" x14ac:dyDescent="0.25">
      <c r="A36">
        <f t="shared" si="7"/>
        <v>6</v>
      </c>
      <c r="B36" s="2">
        <f>yields_BRUTE!B36</f>
        <v>42055</v>
      </c>
      <c r="C36" s="1">
        <f t="shared" si="23"/>
        <v>2.5000000000000001E-2</v>
      </c>
      <c r="D36" s="1">
        <f t="shared" si="23"/>
        <v>6.3888888888888884E-2</v>
      </c>
      <c r="E36" s="1">
        <f t="shared" si="23"/>
        <v>0.28055555555555556</v>
      </c>
      <c r="F36" s="1">
        <f t="shared" si="23"/>
        <v>0.53611111111111109</v>
      </c>
      <c r="G36" s="1">
        <f t="shared" si="23"/>
        <v>0.57499999999999996</v>
      </c>
      <c r="H36" s="1">
        <f t="shared" si="23"/>
        <v>0.78888888888888886</v>
      </c>
      <c r="I36" s="1">
        <f t="shared" si="23"/>
        <v>0.78888888888888886</v>
      </c>
      <c r="J36" s="1">
        <f t="shared" si="23"/>
        <v>1.0416666666666667</v>
      </c>
      <c r="K36" s="1">
        <f t="shared" si="23"/>
        <v>1.0805555555555555</v>
      </c>
      <c r="L36" s="1">
        <f t="shared" si="23"/>
        <v>1.2972222222222223</v>
      </c>
      <c r="M36" s="1">
        <f t="shared" si="23"/>
        <v>1.5527777777777778</v>
      </c>
      <c r="N36" s="1">
        <f t="shared" si="23"/>
        <v>1.5527777777777778</v>
      </c>
      <c r="O36" s="1">
        <f t="shared" si="23"/>
        <v>1.5916666666666666</v>
      </c>
      <c r="P36" s="1">
        <f t="shared" si="23"/>
        <v>1.8055555555555556</v>
      </c>
      <c r="Q36" s="1">
        <f t="shared" si="23"/>
        <v>2.0944444444444446</v>
      </c>
      <c r="R36" s="1">
        <f t="shared" si="22"/>
        <v>2.3111111111111109</v>
      </c>
      <c r="S36" s="1">
        <f t="shared" si="16"/>
        <v>2.6055555555555556</v>
      </c>
      <c r="T36" s="1">
        <f t="shared" si="16"/>
        <v>2.8194444444444446</v>
      </c>
      <c r="U36" s="1">
        <f t="shared" si="16"/>
        <v>3.1083333333333334</v>
      </c>
      <c r="V36" s="1">
        <f t="shared" si="16"/>
        <v>3.3250000000000002</v>
      </c>
      <c r="W36" s="1">
        <f t="shared" si="16"/>
        <v>3.6194444444444445</v>
      </c>
      <c r="X36" s="1">
        <f t="shared" si="16"/>
        <v>3.8333333333333335</v>
      </c>
      <c r="Y36" s="1">
        <f t="shared" si="16"/>
        <v>4.1222222222222218</v>
      </c>
      <c r="Z36" s="1">
        <f t="shared" si="16"/>
        <v>4.3388888888888886</v>
      </c>
      <c r="AA36" s="1">
        <f t="shared" si="16"/>
        <v>4.6333333333333337</v>
      </c>
      <c r="AB36" s="1">
        <f t="shared" si="16"/>
        <v>4.8472222222222223</v>
      </c>
      <c r="AC36" s="1">
        <f t="shared" si="16"/>
        <v>5.1388888888888893</v>
      </c>
      <c r="AD36" s="1">
        <f t="shared" si="16"/>
        <v>5.3555555555555552</v>
      </c>
      <c r="AE36" s="1">
        <f t="shared" si="16"/>
        <v>5.3555555555555552</v>
      </c>
      <c r="AF36" s="3">
        <f t="shared" si="16"/>
        <v>5.65</v>
      </c>
      <c r="AG36" s="1">
        <f t="shared" si="16"/>
        <v>5.8638888888888889</v>
      </c>
      <c r="AH36" s="1">
        <f t="shared" si="16"/>
        <v>6.1527777777777777</v>
      </c>
      <c r="AI36" s="1">
        <f t="shared" si="17"/>
        <v>6.1527777777777777</v>
      </c>
      <c r="AJ36" s="1">
        <f t="shared" si="17"/>
        <v>6.3694444444444445</v>
      </c>
      <c r="AK36" s="1">
        <f t="shared" si="17"/>
        <v>6.3694444444444445</v>
      </c>
      <c r="AL36" s="1">
        <f t="shared" si="17"/>
        <v>6.8777777777777782</v>
      </c>
      <c r="AM36" s="1">
        <f t="shared" si="17"/>
        <v>7.3833333333333337</v>
      </c>
      <c r="AN36" s="1">
        <f t="shared" si="17"/>
        <v>7.3833333333333337</v>
      </c>
      <c r="AO36" s="1">
        <f t="shared" si="17"/>
        <v>7.8916666666666666</v>
      </c>
      <c r="AP36" s="1">
        <f t="shared" si="17"/>
        <v>8.3972222222222221</v>
      </c>
      <c r="AQ36" s="1">
        <f t="shared" si="17"/>
        <v>8.3972222222222221</v>
      </c>
      <c r="AR36" s="1">
        <f t="shared" si="17"/>
        <v>8.905555555555555</v>
      </c>
      <c r="AS36" s="1">
        <f t="shared" si="17"/>
        <v>9.4138888888888896</v>
      </c>
      <c r="AT36" s="1">
        <f t="shared" si="17"/>
        <v>9.9222222222222225</v>
      </c>
      <c r="AU36" s="1">
        <f t="shared" si="17"/>
        <v>10.427777777777777</v>
      </c>
      <c r="AV36" s="1">
        <f t="shared" si="17"/>
        <v>10.427777777777777</v>
      </c>
      <c r="AW36" s="1">
        <f t="shared" si="17"/>
        <v>14.994444444444444</v>
      </c>
      <c r="AX36" s="1">
        <f t="shared" si="17"/>
        <v>15.5</v>
      </c>
      <c r="AY36" s="1">
        <f t="shared" si="18"/>
        <v>16.008333333333333</v>
      </c>
      <c r="AZ36" s="1">
        <f t="shared" si="18"/>
        <v>16.513888888888889</v>
      </c>
      <c r="BA36" s="1">
        <f t="shared" si="18"/>
        <v>17.022222222222222</v>
      </c>
      <c r="BB36" s="1">
        <f t="shared" si="18"/>
        <v>17.530555555555555</v>
      </c>
      <c r="BC36" s="1">
        <f t="shared" si="18"/>
        <v>18.038888888888888</v>
      </c>
      <c r="BD36" s="1">
        <f t="shared" si="18"/>
        <v>18.544444444444444</v>
      </c>
      <c r="BE36" s="1">
        <f t="shared" si="18"/>
        <v>18.544444444444444</v>
      </c>
      <c r="BF36" s="1">
        <f t="shared" si="18"/>
        <v>27.169444444444444</v>
      </c>
      <c r="BG36" s="1">
        <f t="shared" si="18"/>
        <v>27.675000000000001</v>
      </c>
      <c r="BH36" s="1">
        <f t="shared" si="18"/>
        <v>28.183333333333334</v>
      </c>
      <c r="BI36" s="1">
        <f t="shared" si="18"/>
        <v>28.68888888888889</v>
      </c>
      <c r="BJ36" s="1">
        <f t="shared" si="18"/>
        <v>29.197222222222223</v>
      </c>
      <c r="BK36" s="1">
        <f t="shared" si="18"/>
        <v>29.705555555555556</v>
      </c>
      <c r="BL36" s="1">
        <f t="shared" si="18"/>
        <v>30.213888888888889</v>
      </c>
      <c r="BM36" s="1">
        <f t="shared" si="18"/>
        <v>30.719444444444445</v>
      </c>
      <c r="BN36" s="1">
        <f t="shared" si="18"/>
        <v>31.227777777777778</v>
      </c>
      <c r="BO36" s="1">
        <f t="shared" si="19"/>
        <v>31.227777777777778</v>
      </c>
      <c r="BP36" s="1">
        <f t="shared" si="19"/>
        <v>31.733333333333334</v>
      </c>
      <c r="BQ36" s="1">
        <f t="shared" si="19"/>
        <v>32.241666666666667</v>
      </c>
      <c r="BR36" s="1">
        <f t="shared" si="19"/>
        <v>32.74722222222222</v>
      </c>
      <c r="BS36" s="1">
        <f t="shared" si="19"/>
        <v>33.255555555555553</v>
      </c>
      <c r="BT36" s="1">
        <f t="shared" si="19"/>
        <v>33.763888888888886</v>
      </c>
      <c r="BU36" s="1">
        <f t="shared" si="19"/>
        <v>34.272222222222226</v>
      </c>
      <c r="BV36" s="1">
        <f t="shared" si="19"/>
        <v>34.272222222222226</v>
      </c>
      <c r="BW36" s="1">
        <f t="shared" si="19"/>
        <v>34.777777777777779</v>
      </c>
      <c r="BX36" s="1">
        <f t="shared" si="19"/>
        <v>35.286111111111111</v>
      </c>
      <c r="BY36" s="1">
        <f t="shared" si="19"/>
        <v>35.791666666666664</v>
      </c>
      <c r="BZ36" s="1">
        <f t="shared" si="19"/>
        <v>36.299999999999997</v>
      </c>
      <c r="CA36" s="1">
        <f t="shared" si="19"/>
        <v>36.805555555555557</v>
      </c>
      <c r="CB36" s="1">
        <f t="shared" si="19"/>
        <v>37.31388888888889</v>
      </c>
      <c r="CC36" s="1">
        <f t="shared" si="19"/>
        <v>37.822222222222223</v>
      </c>
      <c r="CD36" s="1">
        <f t="shared" si="19"/>
        <v>38.330555555555556</v>
      </c>
      <c r="CE36" s="1">
        <f t="shared" si="20"/>
        <v>38.836111111111109</v>
      </c>
      <c r="CF36" s="1">
        <f t="shared" si="20"/>
        <v>39.344444444444441</v>
      </c>
      <c r="CG36" s="1">
        <f t="shared" si="20"/>
        <v>39.85</v>
      </c>
      <c r="CH36" s="1">
        <f t="shared" si="20"/>
        <v>40.358333333333334</v>
      </c>
      <c r="CI36" s="1">
        <f t="shared" si="20"/>
        <v>40.863888888888887</v>
      </c>
      <c r="CJ36" s="1">
        <f t="shared" si="20"/>
        <v>41.37222222222222</v>
      </c>
      <c r="CK36" s="1">
        <f t="shared" si="20"/>
        <v>41.880555555555553</v>
      </c>
      <c r="CL36" s="1">
        <f t="shared" si="20"/>
        <v>42.388888888888886</v>
      </c>
      <c r="CM36" s="1">
        <f t="shared" si="20"/>
        <v>42.894444444444446</v>
      </c>
      <c r="CN36" s="1">
        <f t="shared" si="20"/>
        <v>43.402777777777779</v>
      </c>
      <c r="CO36" s="1">
        <f t="shared" si="20"/>
        <v>43.908333333333331</v>
      </c>
      <c r="CP36" s="1">
        <f t="shared" si="20"/>
        <v>44.416666666666664</v>
      </c>
      <c r="CQ36" s="1">
        <f t="shared" si="20"/>
        <v>44.922222222222224</v>
      </c>
      <c r="CR36" s="1">
        <f t="shared" si="20"/>
        <v>45.430555555555557</v>
      </c>
      <c r="CS36" s="1">
        <f t="shared" si="20"/>
        <v>45.93888888888889</v>
      </c>
      <c r="CT36" s="1">
        <f t="shared" si="20"/>
        <v>46.447222222222223</v>
      </c>
      <c r="CU36" s="1">
        <f t="shared" si="21"/>
        <v>46.952777777777776</v>
      </c>
      <c r="CV36" s="1">
        <f t="shared" si="21"/>
        <v>47.461111111111109</v>
      </c>
      <c r="CW36" s="1">
        <f t="shared" si="21"/>
        <v>47.966666666666669</v>
      </c>
      <c r="CX36" s="1">
        <f t="shared" si="21"/>
        <v>48.475000000000001</v>
      </c>
      <c r="CY36" s="1">
        <f t="shared" si="21"/>
        <v>48.980555555555554</v>
      </c>
      <c r="CZ36" s="1">
        <f t="shared" si="21"/>
        <v>49.488888888888887</v>
      </c>
      <c r="DA36" s="1">
        <f t="shared" si="21"/>
        <v>49.99722222222222</v>
      </c>
      <c r="DB36" s="1">
        <f t="shared" si="21"/>
        <v>50.505555555555553</v>
      </c>
      <c r="DC36" s="1">
        <f t="shared" si="21"/>
        <v>50.505555555555553</v>
      </c>
    </row>
    <row r="37" spans="1:107" x14ac:dyDescent="0.25">
      <c r="A37">
        <f t="shared" si="7"/>
        <v>2</v>
      </c>
      <c r="B37" s="2">
        <f>yields_BRUTE!B37</f>
        <v>42058</v>
      </c>
      <c r="C37" s="1">
        <f t="shared" si="23"/>
        <v>1.6666666666666666E-2</v>
      </c>
      <c r="D37" s="1">
        <f t="shared" si="23"/>
        <v>5.5555555555555552E-2</v>
      </c>
      <c r="E37" s="1">
        <f t="shared" si="23"/>
        <v>0.2722222222222222</v>
      </c>
      <c r="F37" s="1">
        <f t="shared" si="23"/>
        <v>0.52777777777777779</v>
      </c>
      <c r="G37" s="1">
        <f t="shared" si="23"/>
        <v>0.56666666666666665</v>
      </c>
      <c r="H37" s="1">
        <f t="shared" si="23"/>
        <v>0.78055555555555556</v>
      </c>
      <c r="I37" s="1">
        <f t="shared" si="23"/>
        <v>0.78055555555555556</v>
      </c>
      <c r="J37" s="1">
        <f t="shared" si="23"/>
        <v>1.0333333333333334</v>
      </c>
      <c r="K37" s="1">
        <f t="shared" si="23"/>
        <v>1.0722222222222222</v>
      </c>
      <c r="L37" s="1">
        <f t="shared" si="23"/>
        <v>1.288888888888889</v>
      </c>
      <c r="M37" s="1">
        <f t="shared" si="23"/>
        <v>1.5444444444444445</v>
      </c>
      <c r="N37" s="1">
        <f t="shared" si="23"/>
        <v>1.5444444444444445</v>
      </c>
      <c r="O37" s="1">
        <f t="shared" si="23"/>
        <v>1.5833333333333333</v>
      </c>
      <c r="P37" s="1">
        <f t="shared" si="23"/>
        <v>1.7972222222222223</v>
      </c>
      <c r="Q37" s="1">
        <f t="shared" si="23"/>
        <v>2.0861111111111112</v>
      </c>
      <c r="R37" s="1">
        <f t="shared" si="22"/>
        <v>2.3027777777777776</v>
      </c>
      <c r="S37" s="1">
        <f t="shared" si="16"/>
        <v>2.5972222222222223</v>
      </c>
      <c r="T37" s="1">
        <f t="shared" si="16"/>
        <v>2.8111111111111109</v>
      </c>
      <c r="U37" s="1">
        <f t="shared" si="16"/>
        <v>3.1</v>
      </c>
      <c r="V37" s="1">
        <f t="shared" si="16"/>
        <v>3.3166666666666669</v>
      </c>
      <c r="W37" s="1">
        <f t="shared" si="16"/>
        <v>3.6111111111111112</v>
      </c>
      <c r="X37" s="1">
        <f t="shared" si="16"/>
        <v>3.8250000000000002</v>
      </c>
      <c r="Y37" s="1">
        <f t="shared" si="16"/>
        <v>4.1138888888888889</v>
      </c>
      <c r="Z37" s="1">
        <f t="shared" si="16"/>
        <v>4.3305555555555557</v>
      </c>
      <c r="AA37" s="1">
        <f t="shared" si="16"/>
        <v>4.625</v>
      </c>
      <c r="AB37" s="1">
        <f t="shared" si="16"/>
        <v>4.8388888888888886</v>
      </c>
      <c r="AC37" s="1">
        <f t="shared" si="16"/>
        <v>5.1305555555555555</v>
      </c>
      <c r="AD37" s="1">
        <f t="shared" si="16"/>
        <v>5.3472222222222223</v>
      </c>
      <c r="AE37" s="1">
        <f t="shared" si="16"/>
        <v>5.3472222222222223</v>
      </c>
      <c r="AF37" s="3">
        <f t="shared" si="16"/>
        <v>5.6416666666666666</v>
      </c>
      <c r="AG37" s="1">
        <f t="shared" si="16"/>
        <v>5.8555555555555552</v>
      </c>
      <c r="AH37" s="1">
        <f t="shared" si="16"/>
        <v>6.1444444444444448</v>
      </c>
      <c r="AI37" s="1">
        <f t="shared" si="17"/>
        <v>6.1444444444444448</v>
      </c>
      <c r="AJ37" s="1">
        <f t="shared" si="17"/>
        <v>6.3611111111111107</v>
      </c>
      <c r="AK37" s="1">
        <f t="shared" si="17"/>
        <v>6.3611111111111107</v>
      </c>
      <c r="AL37" s="1">
        <f t="shared" si="17"/>
        <v>6.8694444444444445</v>
      </c>
      <c r="AM37" s="1">
        <f t="shared" si="17"/>
        <v>7.375</v>
      </c>
      <c r="AN37" s="1">
        <f t="shared" si="17"/>
        <v>7.375</v>
      </c>
      <c r="AO37" s="1">
        <f t="shared" si="17"/>
        <v>7.8833333333333337</v>
      </c>
      <c r="AP37" s="1">
        <f t="shared" si="17"/>
        <v>8.3888888888888893</v>
      </c>
      <c r="AQ37" s="1">
        <f t="shared" si="17"/>
        <v>8.3888888888888893</v>
      </c>
      <c r="AR37" s="1">
        <f t="shared" si="17"/>
        <v>8.8972222222222221</v>
      </c>
      <c r="AS37" s="1">
        <f t="shared" si="17"/>
        <v>9.405555555555555</v>
      </c>
      <c r="AT37" s="1">
        <f t="shared" si="17"/>
        <v>9.9138888888888896</v>
      </c>
      <c r="AU37" s="1">
        <f t="shared" si="17"/>
        <v>10.419444444444444</v>
      </c>
      <c r="AV37" s="1">
        <f t="shared" si="17"/>
        <v>10.419444444444444</v>
      </c>
      <c r="AW37" s="1">
        <f t="shared" si="17"/>
        <v>14.986111111111111</v>
      </c>
      <c r="AX37" s="1">
        <f t="shared" si="17"/>
        <v>15.491666666666667</v>
      </c>
      <c r="AY37" s="1">
        <f t="shared" si="18"/>
        <v>16</v>
      </c>
      <c r="AZ37" s="1">
        <f t="shared" si="18"/>
        <v>16.505555555555556</v>
      </c>
      <c r="BA37" s="1">
        <f t="shared" si="18"/>
        <v>17.013888888888889</v>
      </c>
      <c r="BB37" s="1">
        <f t="shared" si="18"/>
        <v>17.522222222222222</v>
      </c>
      <c r="BC37" s="1">
        <f t="shared" si="18"/>
        <v>18.030555555555555</v>
      </c>
      <c r="BD37" s="1">
        <f t="shared" si="18"/>
        <v>18.536111111111111</v>
      </c>
      <c r="BE37" s="1">
        <f t="shared" si="18"/>
        <v>18.536111111111111</v>
      </c>
      <c r="BF37" s="1">
        <f t="shared" si="18"/>
        <v>27.161111111111111</v>
      </c>
      <c r="BG37" s="1">
        <f t="shared" si="18"/>
        <v>27.666666666666668</v>
      </c>
      <c r="BH37" s="1">
        <f t="shared" si="18"/>
        <v>28.175000000000001</v>
      </c>
      <c r="BI37" s="1">
        <f t="shared" si="18"/>
        <v>28.680555555555557</v>
      </c>
      <c r="BJ37" s="1">
        <f t="shared" si="18"/>
        <v>29.18888888888889</v>
      </c>
      <c r="BK37" s="1">
        <f t="shared" si="18"/>
        <v>29.697222222222223</v>
      </c>
      <c r="BL37" s="1">
        <f t="shared" si="18"/>
        <v>30.205555555555556</v>
      </c>
      <c r="BM37" s="1">
        <f t="shared" si="18"/>
        <v>30.711111111111112</v>
      </c>
      <c r="BN37" s="1">
        <f t="shared" si="18"/>
        <v>31.219444444444445</v>
      </c>
      <c r="BO37" s="1">
        <f t="shared" si="19"/>
        <v>31.219444444444445</v>
      </c>
      <c r="BP37" s="1">
        <f t="shared" si="19"/>
        <v>31.725000000000001</v>
      </c>
      <c r="BQ37" s="1">
        <f t="shared" si="19"/>
        <v>32.233333333333334</v>
      </c>
      <c r="BR37" s="1">
        <f t="shared" si="19"/>
        <v>32.738888888888887</v>
      </c>
      <c r="BS37" s="1">
        <f t="shared" si="19"/>
        <v>33.24722222222222</v>
      </c>
      <c r="BT37" s="1">
        <f t="shared" si="19"/>
        <v>33.755555555555553</v>
      </c>
      <c r="BU37" s="1">
        <f t="shared" si="19"/>
        <v>34.263888888888886</v>
      </c>
      <c r="BV37" s="1">
        <f t="shared" si="19"/>
        <v>34.263888888888886</v>
      </c>
      <c r="BW37" s="1">
        <f t="shared" si="19"/>
        <v>34.769444444444446</v>
      </c>
      <c r="BX37" s="1">
        <f t="shared" si="19"/>
        <v>35.277777777777779</v>
      </c>
      <c r="BY37" s="1">
        <f t="shared" si="19"/>
        <v>35.783333333333331</v>
      </c>
      <c r="BZ37" s="1">
        <f t="shared" si="19"/>
        <v>36.291666666666664</v>
      </c>
      <c r="CA37" s="1">
        <f t="shared" si="19"/>
        <v>36.797222222222224</v>
      </c>
      <c r="CB37" s="1">
        <f t="shared" si="19"/>
        <v>37.305555555555557</v>
      </c>
      <c r="CC37" s="1">
        <f t="shared" si="19"/>
        <v>37.81388888888889</v>
      </c>
      <c r="CD37" s="1">
        <f t="shared" si="19"/>
        <v>38.322222222222223</v>
      </c>
      <c r="CE37" s="1">
        <f t="shared" si="20"/>
        <v>38.827777777777776</v>
      </c>
      <c r="CF37" s="1">
        <f t="shared" si="20"/>
        <v>39.336111111111109</v>
      </c>
      <c r="CG37" s="1">
        <f t="shared" si="20"/>
        <v>39.841666666666669</v>
      </c>
      <c r="CH37" s="1">
        <f t="shared" si="20"/>
        <v>40.35</v>
      </c>
      <c r="CI37" s="1">
        <f t="shared" si="20"/>
        <v>40.855555555555554</v>
      </c>
      <c r="CJ37" s="1">
        <f t="shared" si="20"/>
        <v>41.363888888888887</v>
      </c>
      <c r="CK37" s="1">
        <f t="shared" si="20"/>
        <v>41.87222222222222</v>
      </c>
      <c r="CL37" s="1">
        <f t="shared" si="20"/>
        <v>42.380555555555553</v>
      </c>
      <c r="CM37" s="1">
        <f t="shared" si="20"/>
        <v>42.886111111111113</v>
      </c>
      <c r="CN37" s="1">
        <f t="shared" si="20"/>
        <v>43.394444444444446</v>
      </c>
      <c r="CO37" s="1">
        <f t="shared" si="20"/>
        <v>43.9</v>
      </c>
      <c r="CP37" s="1">
        <f t="shared" si="20"/>
        <v>44.408333333333331</v>
      </c>
      <c r="CQ37" s="1">
        <f t="shared" si="20"/>
        <v>44.913888888888891</v>
      </c>
      <c r="CR37" s="1">
        <f t="shared" si="20"/>
        <v>45.422222222222224</v>
      </c>
      <c r="CS37" s="1">
        <f t="shared" si="20"/>
        <v>45.930555555555557</v>
      </c>
      <c r="CT37" s="1">
        <f t="shared" si="20"/>
        <v>46.43888888888889</v>
      </c>
      <c r="CU37" s="1">
        <f t="shared" si="21"/>
        <v>46.944444444444443</v>
      </c>
      <c r="CV37" s="1">
        <f t="shared" si="21"/>
        <v>47.452777777777776</v>
      </c>
      <c r="CW37" s="1">
        <f t="shared" si="21"/>
        <v>47.958333333333336</v>
      </c>
      <c r="CX37" s="1">
        <f t="shared" si="21"/>
        <v>48.466666666666669</v>
      </c>
      <c r="CY37" s="1">
        <f t="shared" si="21"/>
        <v>48.972222222222221</v>
      </c>
      <c r="CZ37" s="1">
        <f t="shared" si="21"/>
        <v>49.480555555555554</v>
      </c>
      <c r="DA37" s="1">
        <f t="shared" si="21"/>
        <v>49.988888888888887</v>
      </c>
      <c r="DB37" s="1">
        <f t="shared" si="21"/>
        <v>50.49722222222222</v>
      </c>
      <c r="DC37" s="1">
        <f t="shared" si="21"/>
        <v>50.49722222222222</v>
      </c>
    </row>
    <row r="38" spans="1:107" x14ac:dyDescent="0.25">
      <c r="A38">
        <f t="shared" si="7"/>
        <v>3</v>
      </c>
      <c r="B38" s="2">
        <f>yields_BRUTE!B38</f>
        <v>42059</v>
      </c>
      <c r="C38" s="1">
        <f t="shared" si="23"/>
        <v>1.3888888888888888E-2</v>
      </c>
      <c r="D38" s="1">
        <f t="shared" si="23"/>
        <v>5.2777777777777778E-2</v>
      </c>
      <c r="E38" s="1">
        <f t="shared" si="23"/>
        <v>0.26944444444444443</v>
      </c>
      <c r="F38" s="1">
        <f t="shared" si="23"/>
        <v>0.52500000000000002</v>
      </c>
      <c r="G38" s="1">
        <f t="shared" si="23"/>
        <v>0.56388888888888888</v>
      </c>
      <c r="H38" s="1">
        <f t="shared" si="23"/>
        <v>0.77777777777777779</v>
      </c>
      <c r="I38" s="1">
        <f t="shared" si="23"/>
        <v>0.77777777777777779</v>
      </c>
      <c r="J38" s="1">
        <f t="shared" si="23"/>
        <v>1.0305555555555554</v>
      </c>
      <c r="K38" s="1">
        <f t="shared" si="23"/>
        <v>1.0694444444444444</v>
      </c>
      <c r="L38" s="1">
        <f t="shared" si="23"/>
        <v>1.2861111111111112</v>
      </c>
      <c r="M38" s="1">
        <f t="shared" si="23"/>
        <v>1.5416666666666667</v>
      </c>
      <c r="N38" s="1">
        <f t="shared" si="23"/>
        <v>1.5416666666666667</v>
      </c>
      <c r="O38" s="1">
        <f t="shared" si="23"/>
        <v>1.5805555555555555</v>
      </c>
      <c r="P38" s="1">
        <f t="shared" si="23"/>
        <v>1.7944444444444445</v>
      </c>
      <c r="Q38" s="1">
        <f t="shared" si="23"/>
        <v>2.0833333333333335</v>
      </c>
      <c r="R38" s="1">
        <f t="shared" si="22"/>
        <v>2.2999999999999998</v>
      </c>
      <c r="S38" s="1">
        <f t="shared" si="16"/>
        <v>2.5944444444444446</v>
      </c>
      <c r="T38" s="1">
        <f t="shared" si="16"/>
        <v>2.8083333333333331</v>
      </c>
      <c r="U38" s="1">
        <f t="shared" si="16"/>
        <v>3.0972222222222223</v>
      </c>
      <c r="V38" s="1">
        <f t="shared" si="16"/>
        <v>3.3138888888888891</v>
      </c>
      <c r="W38" s="1">
        <f t="shared" si="16"/>
        <v>3.6083333333333334</v>
      </c>
      <c r="X38" s="1">
        <f t="shared" si="16"/>
        <v>3.8222222222222224</v>
      </c>
      <c r="Y38" s="1">
        <f t="shared" si="16"/>
        <v>4.1111111111111107</v>
      </c>
      <c r="Z38" s="1">
        <f t="shared" si="16"/>
        <v>4.3277777777777775</v>
      </c>
      <c r="AA38" s="1">
        <f t="shared" si="16"/>
        <v>4.6222222222222218</v>
      </c>
      <c r="AB38" s="1">
        <f t="shared" si="16"/>
        <v>4.8361111111111112</v>
      </c>
      <c r="AC38" s="1">
        <f t="shared" si="16"/>
        <v>5.1277777777777782</v>
      </c>
      <c r="AD38" s="1">
        <f t="shared" si="16"/>
        <v>5.3444444444444441</v>
      </c>
      <c r="AE38" s="1">
        <f t="shared" si="16"/>
        <v>5.3444444444444441</v>
      </c>
      <c r="AF38" s="3">
        <f t="shared" si="16"/>
        <v>5.6388888888888893</v>
      </c>
      <c r="AG38" s="1">
        <f t="shared" si="16"/>
        <v>5.8527777777777779</v>
      </c>
      <c r="AH38" s="1">
        <f t="shared" si="16"/>
        <v>6.1416666666666666</v>
      </c>
      <c r="AI38" s="1">
        <f t="shared" si="17"/>
        <v>6.1416666666666666</v>
      </c>
      <c r="AJ38" s="1">
        <f t="shared" si="17"/>
        <v>6.3583333333333334</v>
      </c>
      <c r="AK38" s="1">
        <f t="shared" si="17"/>
        <v>6.3583333333333334</v>
      </c>
      <c r="AL38" s="1">
        <f t="shared" si="17"/>
        <v>6.8666666666666663</v>
      </c>
      <c r="AM38" s="1">
        <f t="shared" si="17"/>
        <v>7.3722222222222218</v>
      </c>
      <c r="AN38" s="1">
        <f t="shared" si="17"/>
        <v>7.3722222222222218</v>
      </c>
      <c r="AO38" s="1">
        <f t="shared" si="17"/>
        <v>7.8805555555555555</v>
      </c>
      <c r="AP38" s="1">
        <f t="shared" si="17"/>
        <v>8.3861111111111111</v>
      </c>
      <c r="AQ38" s="1">
        <f t="shared" si="17"/>
        <v>8.3861111111111111</v>
      </c>
      <c r="AR38" s="1">
        <f t="shared" si="17"/>
        <v>8.8944444444444439</v>
      </c>
      <c r="AS38" s="1">
        <f t="shared" si="17"/>
        <v>9.4027777777777786</v>
      </c>
      <c r="AT38" s="1">
        <f t="shared" si="17"/>
        <v>9.9111111111111114</v>
      </c>
      <c r="AU38" s="1">
        <f t="shared" si="17"/>
        <v>10.416666666666666</v>
      </c>
      <c r="AV38" s="1">
        <f t="shared" si="17"/>
        <v>10.416666666666666</v>
      </c>
      <c r="AW38" s="1">
        <f t="shared" si="17"/>
        <v>14.983333333333333</v>
      </c>
      <c r="AX38" s="1">
        <f t="shared" si="17"/>
        <v>15.488888888888889</v>
      </c>
      <c r="AY38" s="1">
        <f t="shared" si="18"/>
        <v>15.997222222222222</v>
      </c>
      <c r="AZ38" s="1">
        <f t="shared" si="18"/>
        <v>16.502777777777776</v>
      </c>
      <c r="BA38" s="1">
        <f t="shared" si="18"/>
        <v>17.011111111111113</v>
      </c>
      <c r="BB38" s="1">
        <f t="shared" si="18"/>
        <v>17.519444444444446</v>
      </c>
      <c r="BC38" s="1">
        <f t="shared" si="18"/>
        <v>18.027777777777779</v>
      </c>
      <c r="BD38" s="1">
        <f t="shared" si="18"/>
        <v>18.533333333333335</v>
      </c>
      <c r="BE38" s="1">
        <f t="shared" si="18"/>
        <v>18.533333333333335</v>
      </c>
      <c r="BF38" s="1">
        <f t="shared" si="18"/>
        <v>27.158333333333335</v>
      </c>
      <c r="BG38" s="1">
        <f t="shared" si="18"/>
        <v>27.663888888888888</v>
      </c>
      <c r="BH38" s="1">
        <f t="shared" si="18"/>
        <v>28.172222222222221</v>
      </c>
      <c r="BI38" s="1">
        <f t="shared" si="18"/>
        <v>28.677777777777777</v>
      </c>
      <c r="BJ38" s="1">
        <f t="shared" si="18"/>
        <v>29.18611111111111</v>
      </c>
      <c r="BK38" s="1">
        <f t="shared" si="18"/>
        <v>29.694444444444443</v>
      </c>
      <c r="BL38" s="1">
        <f t="shared" si="18"/>
        <v>30.202777777777779</v>
      </c>
      <c r="BM38" s="1">
        <f t="shared" si="18"/>
        <v>30.708333333333332</v>
      </c>
      <c r="BN38" s="1">
        <f t="shared" si="18"/>
        <v>31.216666666666665</v>
      </c>
      <c r="BO38" s="1">
        <f t="shared" si="19"/>
        <v>31.216666666666665</v>
      </c>
      <c r="BP38" s="1">
        <f t="shared" si="19"/>
        <v>31.722222222222221</v>
      </c>
      <c r="BQ38" s="1">
        <f t="shared" si="19"/>
        <v>32.230555555555554</v>
      </c>
      <c r="BR38" s="1">
        <f t="shared" si="19"/>
        <v>32.736111111111114</v>
      </c>
      <c r="BS38" s="1">
        <f t="shared" si="19"/>
        <v>33.244444444444447</v>
      </c>
      <c r="BT38" s="1">
        <f t="shared" si="19"/>
        <v>33.75277777777778</v>
      </c>
      <c r="BU38" s="1">
        <f t="shared" si="19"/>
        <v>34.261111111111113</v>
      </c>
      <c r="BV38" s="1">
        <f t="shared" si="19"/>
        <v>34.261111111111113</v>
      </c>
      <c r="BW38" s="1">
        <f t="shared" si="19"/>
        <v>34.766666666666666</v>
      </c>
      <c r="BX38" s="1">
        <f t="shared" si="19"/>
        <v>35.274999999999999</v>
      </c>
      <c r="BY38" s="1">
        <f t="shared" si="19"/>
        <v>35.780555555555559</v>
      </c>
      <c r="BZ38" s="1">
        <f t="shared" si="19"/>
        <v>36.288888888888891</v>
      </c>
      <c r="CA38" s="1">
        <f t="shared" si="19"/>
        <v>36.794444444444444</v>
      </c>
      <c r="CB38" s="1">
        <f t="shared" si="19"/>
        <v>37.302777777777777</v>
      </c>
      <c r="CC38" s="1">
        <f t="shared" si="19"/>
        <v>37.81111111111111</v>
      </c>
      <c r="CD38" s="1">
        <f t="shared" si="19"/>
        <v>38.319444444444443</v>
      </c>
      <c r="CE38" s="1">
        <f t="shared" si="20"/>
        <v>38.825000000000003</v>
      </c>
      <c r="CF38" s="1">
        <f t="shared" si="20"/>
        <v>39.333333333333336</v>
      </c>
      <c r="CG38" s="1">
        <f t="shared" si="20"/>
        <v>39.838888888888889</v>
      </c>
      <c r="CH38" s="1">
        <f t="shared" si="20"/>
        <v>40.347222222222221</v>
      </c>
      <c r="CI38" s="1">
        <f t="shared" si="20"/>
        <v>40.852777777777774</v>
      </c>
      <c r="CJ38" s="1">
        <f t="shared" si="20"/>
        <v>41.361111111111114</v>
      </c>
      <c r="CK38" s="1">
        <f t="shared" si="20"/>
        <v>41.869444444444447</v>
      </c>
      <c r="CL38" s="1">
        <f t="shared" si="20"/>
        <v>42.37777777777778</v>
      </c>
      <c r="CM38" s="1">
        <f t="shared" si="20"/>
        <v>42.883333333333333</v>
      </c>
      <c r="CN38" s="1">
        <f t="shared" si="20"/>
        <v>43.391666666666666</v>
      </c>
      <c r="CO38" s="1">
        <f t="shared" si="20"/>
        <v>43.897222222222226</v>
      </c>
      <c r="CP38" s="1">
        <f t="shared" si="20"/>
        <v>44.405555555555559</v>
      </c>
      <c r="CQ38" s="1">
        <f t="shared" si="20"/>
        <v>44.911111111111111</v>
      </c>
      <c r="CR38" s="1">
        <f t="shared" si="20"/>
        <v>45.419444444444444</v>
      </c>
      <c r="CS38" s="1">
        <f t="shared" si="20"/>
        <v>45.927777777777777</v>
      </c>
      <c r="CT38" s="1">
        <f t="shared" si="20"/>
        <v>46.43611111111111</v>
      </c>
      <c r="CU38" s="1">
        <f t="shared" si="21"/>
        <v>46.94166666666667</v>
      </c>
      <c r="CV38" s="1">
        <f t="shared" si="21"/>
        <v>47.45</v>
      </c>
      <c r="CW38" s="1">
        <f t="shared" si="21"/>
        <v>47.955555555555556</v>
      </c>
      <c r="CX38" s="1">
        <f t="shared" si="21"/>
        <v>48.463888888888889</v>
      </c>
      <c r="CY38" s="1">
        <f t="shared" si="21"/>
        <v>48.969444444444441</v>
      </c>
      <c r="CZ38" s="1">
        <f t="shared" si="21"/>
        <v>49.477777777777774</v>
      </c>
      <c r="DA38" s="1">
        <f t="shared" si="21"/>
        <v>49.986111111111114</v>
      </c>
      <c r="DB38" s="1">
        <f t="shared" si="21"/>
        <v>50.494444444444447</v>
      </c>
      <c r="DC38" s="1">
        <f t="shared" si="21"/>
        <v>50.494444444444447</v>
      </c>
    </row>
    <row r="39" spans="1:107" x14ac:dyDescent="0.25">
      <c r="A39">
        <f t="shared" si="7"/>
        <v>4</v>
      </c>
      <c r="B39" s="2">
        <f>yields_BRUTE!B39</f>
        <v>42060</v>
      </c>
      <c r="C39" s="1">
        <f t="shared" si="23"/>
        <v>1.1111111111111112E-2</v>
      </c>
      <c r="D39" s="1">
        <f t="shared" si="23"/>
        <v>0.05</v>
      </c>
      <c r="E39" s="1">
        <f t="shared" si="23"/>
        <v>0.26666666666666666</v>
      </c>
      <c r="F39" s="1">
        <f t="shared" si="23"/>
        <v>0.52222222222222225</v>
      </c>
      <c r="G39" s="1">
        <f t="shared" si="23"/>
        <v>0.56111111111111112</v>
      </c>
      <c r="H39" s="1">
        <f t="shared" si="23"/>
        <v>0.77500000000000002</v>
      </c>
      <c r="I39" s="1">
        <f t="shared" si="23"/>
        <v>0.77500000000000002</v>
      </c>
      <c r="J39" s="1">
        <f t="shared" si="23"/>
        <v>1.0277777777777777</v>
      </c>
      <c r="K39" s="1">
        <f t="shared" si="23"/>
        <v>1.0666666666666667</v>
      </c>
      <c r="L39" s="1">
        <f t="shared" si="23"/>
        <v>1.2833333333333334</v>
      </c>
      <c r="M39" s="1">
        <f t="shared" si="23"/>
        <v>1.538888888888889</v>
      </c>
      <c r="N39" s="1">
        <f t="shared" si="23"/>
        <v>1.538888888888889</v>
      </c>
      <c r="O39" s="1">
        <f t="shared" si="23"/>
        <v>1.5777777777777777</v>
      </c>
      <c r="P39" s="1">
        <f t="shared" si="23"/>
        <v>1.7916666666666667</v>
      </c>
      <c r="Q39" s="1">
        <f t="shared" si="23"/>
        <v>2.0805555555555557</v>
      </c>
      <c r="R39" s="1">
        <f t="shared" si="22"/>
        <v>2.2972222222222221</v>
      </c>
      <c r="S39" s="1">
        <f t="shared" si="16"/>
        <v>2.5916666666666668</v>
      </c>
      <c r="T39" s="1">
        <f t="shared" si="16"/>
        <v>2.8055555555555554</v>
      </c>
      <c r="U39" s="1">
        <f t="shared" si="16"/>
        <v>3.0944444444444446</v>
      </c>
      <c r="V39" s="1">
        <f t="shared" si="16"/>
        <v>3.3111111111111109</v>
      </c>
      <c r="W39" s="1">
        <f t="shared" si="16"/>
        <v>3.6055555555555556</v>
      </c>
      <c r="X39" s="1">
        <f t="shared" si="16"/>
        <v>3.8194444444444446</v>
      </c>
      <c r="Y39" s="1">
        <f t="shared" si="16"/>
        <v>4.1083333333333334</v>
      </c>
      <c r="Z39" s="1">
        <f t="shared" si="16"/>
        <v>4.3250000000000002</v>
      </c>
      <c r="AA39" s="1">
        <f t="shared" si="16"/>
        <v>4.6194444444444445</v>
      </c>
      <c r="AB39" s="1">
        <f t="shared" si="16"/>
        <v>4.833333333333333</v>
      </c>
      <c r="AC39" s="1">
        <f t="shared" si="16"/>
        <v>5.125</v>
      </c>
      <c r="AD39" s="1">
        <f t="shared" si="16"/>
        <v>5.3416666666666668</v>
      </c>
      <c r="AE39" s="1">
        <f t="shared" si="16"/>
        <v>5.3416666666666668</v>
      </c>
      <c r="AF39" s="3">
        <f t="shared" si="16"/>
        <v>5.6361111111111111</v>
      </c>
      <c r="AG39" s="1">
        <f t="shared" si="16"/>
        <v>5.85</v>
      </c>
      <c r="AH39" s="1">
        <f t="shared" si="16"/>
        <v>6.1388888888888893</v>
      </c>
      <c r="AI39" s="1">
        <f t="shared" si="17"/>
        <v>6.1388888888888893</v>
      </c>
      <c r="AJ39" s="1">
        <f t="shared" si="17"/>
        <v>6.3555555555555552</v>
      </c>
      <c r="AK39" s="1">
        <f t="shared" si="17"/>
        <v>6.3555555555555552</v>
      </c>
      <c r="AL39" s="1">
        <f t="shared" si="17"/>
        <v>6.8638888888888889</v>
      </c>
      <c r="AM39" s="1">
        <f t="shared" si="17"/>
        <v>7.3694444444444445</v>
      </c>
      <c r="AN39" s="1">
        <f t="shared" si="17"/>
        <v>7.3694444444444445</v>
      </c>
      <c r="AO39" s="1">
        <f t="shared" si="17"/>
        <v>7.8777777777777782</v>
      </c>
      <c r="AP39" s="1">
        <f t="shared" si="17"/>
        <v>8.3833333333333329</v>
      </c>
      <c r="AQ39" s="1">
        <f t="shared" si="17"/>
        <v>8.3833333333333329</v>
      </c>
      <c r="AR39" s="1">
        <f t="shared" si="17"/>
        <v>8.8916666666666675</v>
      </c>
      <c r="AS39" s="1">
        <f t="shared" si="17"/>
        <v>9.4</v>
      </c>
      <c r="AT39" s="1">
        <f t="shared" si="17"/>
        <v>9.9083333333333332</v>
      </c>
      <c r="AU39" s="1">
        <f t="shared" si="17"/>
        <v>10.41388888888889</v>
      </c>
      <c r="AV39" s="1">
        <f t="shared" si="17"/>
        <v>10.41388888888889</v>
      </c>
      <c r="AW39" s="1">
        <f t="shared" si="17"/>
        <v>14.980555555555556</v>
      </c>
      <c r="AX39" s="1">
        <f t="shared" si="17"/>
        <v>15.486111111111111</v>
      </c>
      <c r="AY39" s="1">
        <f t="shared" si="18"/>
        <v>15.994444444444444</v>
      </c>
      <c r="AZ39" s="1">
        <f t="shared" si="18"/>
        <v>16.5</v>
      </c>
      <c r="BA39" s="1">
        <f t="shared" si="18"/>
        <v>17.008333333333333</v>
      </c>
      <c r="BB39" s="1">
        <f t="shared" si="18"/>
        <v>17.516666666666666</v>
      </c>
      <c r="BC39" s="1">
        <f t="shared" si="18"/>
        <v>18.024999999999999</v>
      </c>
      <c r="BD39" s="1">
        <f t="shared" si="18"/>
        <v>18.530555555555555</v>
      </c>
      <c r="BE39" s="1">
        <f t="shared" si="18"/>
        <v>18.530555555555555</v>
      </c>
      <c r="BF39" s="1">
        <f t="shared" si="18"/>
        <v>27.155555555555555</v>
      </c>
      <c r="BG39" s="1">
        <f t="shared" si="18"/>
        <v>27.661111111111111</v>
      </c>
      <c r="BH39" s="1">
        <f t="shared" si="18"/>
        <v>28.169444444444444</v>
      </c>
      <c r="BI39" s="1">
        <f t="shared" si="18"/>
        <v>28.675000000000001</v>
      </c>
      <c r="BJ39" s="1">
        <f t="shared" si="18"/>
        <v>29.183333333333334</v>
      </c>
      <c r="BK39" s="1">
        <f t="shared" si="18"/>
        <v>29.691666666666666</v>
      </c>
      <c r="BL39" s="1">
        <f t="shared" si="18"/>
        <v>30.2</v>
      </c>
      <c r="BM39" s="1">
        <f t="shared" si="18"/>
        <v>30.705555555555556</v>
      </c>
      <c r="BN39" s="1">
        <f t="shared" si="18"/>
        <v>31.213888888888889</v>
      </c>
      <c r="BO39" s="1">
        <f t="shared" si="19"/>
        <v>31.213888888888889</v>
      </c>
      <c r="BP39" s="1">
        <f t="shared" si="19"/>
        <v>31.719444444444445</v>
      </c>
      <c r="BQ39" s="1">
        <f t="shared" si="19"/>
        <v>32.227777777777774</v>
      </c>
      <c r="BR39" s="1">
        <f t="shared" si="19"/>
        <v>32.733333333333334</v>
      </c>
      <c r="BS39" s="1">
        <f t="shared" si="19"/>
        <v>33.241666666666667</v>
      </c>
      <c r="BT39" s="1">
        <f t="shared" si="19"/>
        <v>33.75</v>
      </c>
      <c r="BU39" s="1">
        <f t="shared" si="19"/>
        <v>34.258333333333333</v>
      </c>
      <c r="BV39" s="1">
        <f t="shared" si="19"/>
        <v>34.258333333333333</v>
      </c>
      <c r="BW39" s="1">
        <f t="shared" si="19"/>
        <v>34.763888888888886</v>
      </c>
      <c r="BX39" s="1">
        <f t="shared" si="19"/>
        <v>35.272222222222226</v>
      </c>
      <c r="BY39" s="1">
        <f t="shared" si="19"/>
        <v>35.777777777777779</v>
      </c>
      <c r="BZ39" s="1">
        <f t="shared" si="19"/>
        <v>36.286111111111111</v>
      </c>
      <c r="CA39" s="1">
        <f t="shared" si="19"/>
        <v>36.791666666666664</v>
      </c>
      <c r="CB39" s="1">
        <f t="shared" si="19"/>
        <v>37.299999999999997</v>
      </c>
      <c r="CC39" s="1">
        <f t="shared" si="19"/>
        <v>37.80833333333333</v>
      </c>
      <c r="CD39" s="1">
        <f t="shared" si="19"/>
        <v>38.31666666666667</v>
      </c>
      <c r="CE39" s="1">
        <f t="shared" si="20"/>
        <v>38.822222222222223</v>
      </c>
      <c r="CF39" s="1">
        <f t="shared" si="20"/>
        <v>39.330555555555556</v>
      </c>
      <c r="CG39" s="1">
        <f t="shared" si="20"/>
        <v>39.836111111111109</v>
      </c>
      <c r="CH39" s="1">
        <f t="shared" si="20"/>
        <v>40.344444444444441</v>
      </c>
      <c r="CI39" s="1">
        <f t="shared" si="20"/>
        <v>40.85</v>
      </c>
      <c r="CJ39" s="1">
        <f t="shared" si="20"/>
        <v>41.358333333333334</v>
      </c>
      <c r="CK39" s="1">
        <f t="shared" si="20"/>
        <v>41.866666666666667</v>
      </c>
      <c r="CL39" s="1">
        <f t="shared" si="20"/>
        <v>42.375</v>
      </c>
      <c r="CM39" s="1">
        <f t="shared" si="20"/>
        <v>42.880555555555553</v>
      </c>
      <c r="CN39" s="1">
        <f t="shared" si="20"/>
        <v>43.388888888888886</v>
      </c>
      <c r="CO39" s="1">
        <f t="shared" si="20"/>
        <v>43.894444444444446</v>
      </c>
      <c r="CP39" s="1">
        <f t="shared" si="20"/>
        <v>44.402777777777779</v>
      </c>
      <c r="CQ39" s="1">
        <f t="shared" si="20"/>
        <v>44.908333333333331</v>
      </c>
      <c r="CR39" s="1">
        <f t="shared" si="20"/>
        <v>45.416666666666664</v>
      </c>
      <c r="CS39" s="1">
        <f t="shared" si="20"/>
        <v>45.924999999999997</v>
      </c>
      <c r="CT39" s="1">
        <f t="shared" si="20"/>
        <v>46.43333333333333</v>
      </c>
      <c r="CU39" s="1">
        <f t="shared" si="21"/>
        <v>46.93888888888889</v>
      </c>
      <c r="CV39" s="1">
        <f t="shared" si="21"/>
        <v>47.447222222222223</v>
      </c>
      <c r="CW39" s="1">
        <f t="shared" si="21"/>
        <v>47.952777777777776</v>
      </c>
      <c r="CX39" s="1">
        <f t="shared" si="21"/>
        <v>48.461111111111109</v>
      </c>
      <c r="CY39" s="1">
        <f t="shared" si="21"/>
        <v>48.966666666666669</v>
      </c>
      <c r="CZ39" s="1">
        <f t="shared" si="21"/>
        <v>49.475000000000001</v>
      </c>
      <c r="DA39" s="1">
        <f t="shared" si="21"/>
        <v>49.983333333333334</v>
      </c>
      <c r="DB39" s="1">
        <f t="shared" si="21"/>
        <v>50.491666666666667</v>
      </c>
      <c r="DC39" s="1">
        <f t="shared" si="21"/>
        <v>50.491666666666667</v>
      </c>
    </row>
    <row r="40" spans="1:107" x14ac:dyDescent="0.25">
      <c r="A40">
        <f t="shared" si="7"/>
        <v>5</v>
      </c>
      <c r="B40" s="2">
        <f>yields_BRUTE!B40</f>
        <v>42061</v>
      </c>
      <c r="C40" s="1">
        <f t="shared" si="23"/>
        <v>8.3333333333333332E-3</v>
      </c>
      <c r="D40" s="1">
        <f t="shared" si="23"/>
        <v>4.7222222222222221E-2</v>
      </c>
      <c r="E40" s="1">
        <f t="shared" si="23"/>
        <v>0.2638888888888889</v>
      </c>
      <c r="F40" s="1">
        <f t="shared" si="23"/>
        <v>0.51944444444444449</v>
      </c>
      <c r="G40" s="1">
        <f t="shared" si="23"/>
        <v>0.55833333333333335</v>
      </c>
      <c r="H40" s="1">
        <f t="shared" si="23"/>
        <v>0.77222222222222225</v>
      </c>
      <c r="I40" s="1">
        <f t="shared" si="23"/>
        <v>0.77222222222222225</v>
      </c>
      <c r="J40" s="1">
        <f t="shared" si="23"/>
        <v>1.0249999999999999</v>
      </c>
      <c r="K40" s="1">
        <f t="shared" si="23"/>
        <v>1.0638888888888889</v>
      </c>
      <c r="L40" s="1">
        <f t="shared" si="23"/>
        <v>1.2805555555555554</v>
      </c>
      <c r="M40" s="1">
        <f t="shared" si="23"/>
        <v>1.5361111111111112</v>
      </c>
      <c r="N40" s="1">
        <f t="shared" si="23"/>
        <v>1.5361111111111112</v>
      </c>
      <c r="O40" s="1">
        <f t="shared" si="23"/>
        <v>1.575</v>
      </c>
      <c r="P40" s="1">
        <f t="shared" si="23"/>
        <v>1.788888888888889</v>
      </c>
      <c r="Q40" s="1">
        <f t="shared" si="23"/>
        <v>2.0777777777777779</v>
      </c>
      <c r="R40" s="1">
        <f t="shared" si="22"/>
        <v>2.2944444444444443</v>
      </c>
      <c r="S40" s="1">
        <f t="shared" si="16"/>
        <v>2.588888888888889</v>
      </c>
      <c r="T40" s="1">
        <f t="shared" si="16"/>
        <v>2.8027777777777776</v>
      </c>
      <c r="U40" s="1">
        <f t="shared" si="16"/>
        <v>3.0916666666666668</v>
      </c>
      <c r="V40" s="1">
        <f t="shared" si="16"/>
        <v>3.3083333333333331</v>
      </c>
      <c r="W40" s="1">
        <f t="shared" si="16"/>
        <v>3.6027777777777779</v>
      </c>
      <c r="X40" s="1">
        <f t="shared" si="16"/>
        <v>3.8166666666666669</v>
      </c>
      <c r="Y40" s="1">
        <f t="shared" si="16"/>
        <v>4.1055555555555552</v>
      </c>
      <c r="Z40" s="1">
        <f t="shared" si="16"/>
        <v>4.322222222222222</v>
      </c>
      <c r="AA40" s="1">
        <f t="shared" si="16"/>
        <v>4.6166666666666663</v>
      </c>
      <c r="AB40" s="1">
        <f t="shared" si="16"/>
        <v>4.8305555555555557</v>
      </c>
      <c r="AC40" s="1">
        <f t="shared" si="16"/>
        <v>5.1222222222222218</v>
      </c>
      <c r="AD40" s="1">
        <f t="shared" si="16"/>
        <v>5.3388888888888886</v>
      </c>
      <c r="AE40" s="1">
        <f t="shared" si="16"/>
        <v>5.3388888888888886</v>
      </c>
      <c r="AF40" s="3">
        <f t="shared" si="16"/>
        <v>5.6333333333333337</v>
      </c>
      <c r="AG40" s="1">
        <f t="shared" si="16"/>
        <v>5.8472222222222223</v>
      </c>
      <c r="AH40" s="1">
        <f t="shared" si="16"/>
        <v>6.1361111111111111</v>
      </c>
      <c r="AI40" s="1">
        <f t="shared" si="17"/>
        <v>6.1361111111111111</v>
      </c>
      <c r="AJ40" s="1">
        <f t="shared" si="17"/>
        <v>6.3527777777777779</v>
      </c>
      <c r="AK40" s="1">
        <f t="shared" si="17"/>
        <v>6.3527777777777779</v>
      </c>
      <c r="AL40" s="1">
        <f t="shared" si="17"/>
        <v>6.8611111111111107</v>
      </c>
      <c r="AM40" s="1">
        <f t="shared" si="17"/>
        <v>7.3666666666666663</v>
      </c>
      <c r="AN40" s="1">
        <f t="shared" si="17"/>
        <v>7.3666666666666663</v>
      </c>
      <c r="AO40" s="1">
        <f t="shared" si="17"/>
        <v>7.875</v>
      </c>
      <c r="AP40" s="1">
        <f t="shared" si="17"/>
        <v>8.3805555555555564</v>
      </c>
      <c r="AQ40" s="1">
        <f t="shared" si="17"/>
        <v>8.3805555555555564</v>
      </c>
      <c r="AR40" s="1">
        <f t="shared" si="17"/>
        <v>8.8888888888888893</v>
      </c>
      <c r="AS40" s="1">
        <f t="shared" si="17"/>
        <v>9.3972222222222221</v>
      </c>
      <c r="AT40" s="1">
        <f t="shared" si="17"/>
        <v>9.905555555555555</v>
      </c>
      <c r="AU40" s="1">
        <f t="shared" si="17"/>
        <v>10.411111111111111</v>
      </c>
      <c r="AV40" s="1">
        <f t="shared" si="17"/>
        <v>10.411111111111111</v>
      </c>
      <c r="AW40" s="1">
        <f t="shared" si="17"/>
        <v>14.977777777777778</v>
      </c>
      <c r="AX40" s="1">
        <f t="shared" si="17"/>
        <v>15.483333333333333</v>
      </c>
      <c r="AY40" s="1">
        <f t="shared" si="18"/>
        <v>15.991666666666667</v>
      </c>
      <c r="AZ40" s="1">
        <f t="shared" si="18"/>
        <v>16.497222222222224</v>
      </c>
      <c r="BA40" s="1">
        <f t="shared" si="18"/>
        <v>17.005555555555556</v>
      </c>
      <c r="BB40" s="1">
        <f t="shared" si="18"/>
        <v>17.513888888888889</v>
      </c>
      <c r="BC40" s="1">
        <f t="shared" si="18"/>
        <v>18.022222222222222</v>
      </c>
      <c r="BD40" s="1">
        <f t="shared" si="18"/>
        <v>18.527777777777779</v>
      </c>
      <c r="BE40" s="1">
        <f t="shared" si="18"/>
        <v>18.527777777777779</v>
      </c>
      <c r="BF40" s="1">
        <f t="shared" si="18"/>
        <v>27.152777777777779</v>
      </c>
      <c r="BG40" s="1">
        <f t="shared" si="18"/>
        <v>27.658333333333335</v>
      </c>
      <c r="BH40" s="1">
        <f t="shared" si="18"/>
        <v>28.166666666666668</v>
      </c>
      <c r="BI40" s="1">
        <f t="shared" si="18"/>
        <v>28.672222222222221</v>
      </c>
      <c r="BJ40" s="1">
        <f t="shared" si="18"/>
        <v>29.180555555555557</v>
      </c>
      <c r="BK40" s="1">
        <f t="shared" si="18"/>
        <v>29.68888888888889</v>
      </c>
      <c r="BL40" s="1">
        <f t="shared" si="18"/>
        <v>30.197222222222223</v>
      </c>
      <c r="BM40" s="1">
        <f t="shared" si="18"/>
        <v>30.702777777777779</v>
      </c>
      <c r="BN40" s="1">
        <f t="shared" si="18"/>
        <v>31.211111111111112</v>
      </c>
      <c r="BO40" s="1">
        <f t="shared" si="19"/>
        <v>31.211111111111112</v>
      </c>
      <c r="BP40" s="1">
        <f t="shared" si="19"/>
        <v>31.716666666666665</v>
      </c>
      <c r="BQ40" s="1">
        <f t="shared" si="19"/>
        <v>32.225000000000001</v>
      </c>
      <c r="BR40" s="1">
        <f t="shared" si="19"/>
        <v>32.730555555555554</v>
      </c>
      <c r="BS40" s="1">
        <f t="shared" si="19"/>
        <v>33.238888888888887</v>
      </c>
      <c r="BT40" s="1">
        <f t="shared" si="19"/>
        <v>33.74722222222222</v>
      </c>
      <c r="BU40" s="1">
        <f t="shared" si="19"/>
        <v>34.255555555555553</v>
      </c>
      <c r="BV40" s="1">
        <f t="shared" si="19"/>
        <v>34.255555555555553</v>
      </c>
      <c r="BW40" s="1">
        <f t="shared" si="19"/>
        <v>34.761111111111113</v>
      </c>
      <c r="BX40" s="1">
        <f t="shared" si="19"/>
        <v>35.269444444444446</v>
      </c>
      <c r="BY40" s="1">
        <f t="shared" si="19"/>
        <v>35.774999999999999</v>
      </c>
      <c r="BZ40" s="1">
        <f t="shared" si="19"/>
        <v>36.283333333333331</v>
      </c>
      <c r="CA40" s="1">
        <f t="shared" si="19"/>
        <v>36.788888888888891</v>
      </c>
      <c r="CB40" s="1">
        <f t="shared" si="19"/>
        <v>37.297222222222224</v>
      </c>
      <c r="CC40" s="1">
        <f t="shared" si="19"/>
        <v>37.805555555555557</v>
      </c>
      <c r="CD40" s="1">
        <f t="shared" si="19"/>
        <v>38.31388888888889</v>
      </c>
      <c r="CE40" s="1">
        <f t="shared" si="20"/>
        <v>38.819444444444443</v>
      </c>
      <c r="CF40" s="1">
        <f t="shared" si="20"/>
        <v>39.327777777777776</v>
      </c>
      <c r="CG40" s="1">
        <f t="shared" si="20"/>
        <v>39.833333333333336</v>
      </c>
      <c r="CH40" s="1">
        <f t="shared" si="20"/>
        <v>40.341666666666669</v>
      </c>
      <c r="CI40" s="1">
        <f t="shared" si="20"/>
        <v>40.847222222222221</v>
      </c>
      <c r="CJ40" s="1">
        <f t="shared" si="20"/>
        <v>41.355555555555554</v>
      </c>
      <c r="CK40" s="1">
        <f t="shared" si="20"/>
        <v>41.863888888888887</v>
      </c>
      <c r="CL40" s="1">
        <f t="shared" si="20"/>
        <v>42.37222222222222</v>
      </c>
      <c r="CM40" s="1">
        <f t="shared" si="20"/>
        <v>42.87777777777778</v>
      </c>
      <c r="CN40" s="1">
        <f t="shared" si="20"/>
        <v>43.386111111111113</v>
      </c>
      <c r="CO40" s="1">
        <f t="shared" si="20"/>
        <v>43.891666666666666</v>
      </c>
      <c r="CP40" s="1">
        <f t="shared" si="20"/>
        <v>44.4</v>
      </c>
      <c r="CQ40" s="1">
        <f t="shared" si="20"/>
        <v>44.905555555555559</v>
      </c>
      <c r="CR40" s="1">
        <f t="shared" si="20"/>
        <v>45.413888888888891</v>
      </c>
      <c r="CS40" s="1">
        <f t="shared" si="20"/>
        <v>45.922222222222224</v>
      </c>
      <c r="CT40" s="1">
        <f t="shared" si="20"/>
        <v>46.430555555555557</v>
      </c>
      <c r="CU40" s="1">
        <f t="shared" si="21"/>
        <v>46.93611111111111</v>
      </c>
      <c r="CV40" s="1">
        <f t="shared" si="21"/>
        <v>47.444444444444443</v>
      </c>
      <c r="CW40" s="1">
        <f t="shared" si="21"/>
        <v>47.95</v>
      </c>
      <c r="CX40" s="1">
        <f t="shared" si="21"/>
        <v>48.458333333333336</v>
      </c>
      <c r="CY40" s="1">
        <f t="shared" si="21"/>
        <v>48.963888888888889</v>
      </c>
      <c r="CZ40" s="1">
        <f t="shared" si="21"/>
        <v>49.472222222222221</v>
      </c>
      <c r="DA40" s="1">
        <f t="shared" si="21"/>
        <v>49.980555555555554</v>
      </c>
      <c r="DB40" s="1">
        <f t="shared" si="21"/>
        <v>50.488888888888887</v>
      </c>
      <c r="DC40" s="1">
        <f t="shared" si="21"/>
        <v>50.488888888888887</v>
      </c>
    </row>
    <row r="41" spans="1:107" x14ac:dyDescent="0.25">
      <c r="A41">
        <f t="shared" si="7"/>
        <v>6</v>
      </c>
      <c r="B41" s="2">
        <f>yields_BRUTE!B41</f>
        <v>42062</v>
      </c>
      <c r="C41" s="1">
        <f t="shared" si="23"/>
        <v>5.5555555555555558E-3</v>
      </c>
      <c r="D41" s="1">
        <f t="shared" si="23"/>
        <v>4.4444444444444446E-2</v>
      </c>
      <c r="E41" s="1">
        <f t="shared" si="23"/>
        <v>0.26111111111111113</v>
      </c>
      <c r="F41" s="1">
        <f t="shared" si="23"/>
        <v>0.51666666666666672</v>
      </c>
      <c r="G41" s="1">
        <f t="shared" si="23"/>
        <v>0.55555555555555558</v>
      </c>
      <c r="H41" s="1">
        <f t="shared" si="23"/>
        <v>0.76944444444444449</v>
      </c>
      <c r="I41" s="1">
        <f t="shared" si="23"/>
        <v>0.76944444444444449</v>
      </c>
      <c r="J41" s="1">
        <f t="shared" si="23"/>
        <v>1.0222222222222221</v>
      </c>
      <c r="K41" s="1">
        <f t="shared" si="23"/>
        <v>1.0611111111111111</v>
      </c>
      <c r="L41" s="1">
        <f t="shared" si="23"/>
        <v>1.2777777777777777</v>
      </c>
      <c r="M41" s="1">
        <f t="shared" si="23"/>
        <v>1.5333333333333334</v>
      </c>
      <c r="N41" s="1">
        <f t="shared" si="23"/>
        <v>1.5333333333333334</v>
      </c>
      <c r="O41" s="1">
        <f t="shared" si="23"/>
        <v>1.5722222222222222</v>
      </c>
      <c r="P41" s="1">
        <f t="shared" si="23"/>
        <v>1.7861111111111112</v>
      </c>
      <c r="Q41" s="1">
        <f t="shared" si="23"/>
        <v>2.0750000000000002</v>
      </c>
      <c r="R41" s="1">
        <f t="shared" si="22"/>
        <v>2.2916666666666665</v>
      </c>
      <c r="S41" s="1">
        <f t="shared" si="16"/>
        <v>2.5861111111111112</v>
      </c>
      <c r="T41" s="1">
        <f t="shared" si="16"/>
        <v>2.8</v>
      </c>
      <c r="U41" s="1">
        <f t="shared" si="16"/>
        <v>3.088888888888889</v>
      </c>
      <c r="V41" s="1">
        <f t="shared" si="16"/>
        <v>3.3055555555555554</v>
      </c>
      <c r="W41" s="1">
        <f t="shared" si="16"/>
        <v>3.6</v>
      </c>
      <c r="X41" s="1">
        <f t="shared" si="16"/>
        <v>3.8138888888888891</v>
      </c>
      <c r="Y41" s="1">
        <f t="shared" si="16"/>
        <v>4.1027777777777779</v>
      </c>
      <c r="Z41" s="1">
        <f t="shared" si="16"/>
        <v>4.3194444444444446</v>
      </c>
      <c r="AA41" s="1">
        <f t="shared" si="16"/>
        <v>4.6138888888888889</v>
      </c>
      <c r="AB41" s="1">
        <f t="shared" si="16"/>
        <v>4.8277777777777775</v>
      </c>
      <c r="AC41" s="1">
        <f t="shared" si="16"/>
        <v>5.1194444444444445</v>
      </c>
      <c r="AD41" s="1">
        <f t="shared" si="16"/>
        <v>5.3361111111111112</v>
      </c>
      <c r="AE41" s="1">
        <f t="shared" si="16"/>
        <v>5.3361111111111112</v>
      </c>
      <c r="AF41" s="3">
        <f t="shared" si="16"/>
        <v>5.6305555555555555</v>
      </c>
      <c r="AG41" s="1">
        <f t="shared" si="16"/>
        <v>5.8444444444444441</v>
      </c>
      <c r="AH41" s="1">
        <f t="shared" si="16"/>
        <v>6.1333333333333337</v>
      </c>
      <c r="AI41" s="1">
        <f t="shared" si="17"/>
        <v>6.1333333333333337</v>
      </c>
      <c r="AJ41" s="1">
        <f t="shared" si="17"/>
        <v>6.35</v>
      </c>
      <c r="AK41" s="1">
        <f t="shared" si="17"/>
        <v>6.35</v>
      </c>
      <c r="AL41" s="1">
        <f t="shared" si="17"/>
        <v>6.8583333333333334</v>
      </c>
      <c r="AM41" s="1">
        <f t="shared" si="17"/>
        <v>7.3638888888888889</v>
      </c>
      <c r="AN41" s="1">
        <f t="shared" si="17"/>
        <v>7.3638888888888889</v>
      </c>
      <c r="AO41" s="1">
        <f t="shared" si="17"/>
        <v>7.8722222222222218</v>
      </c>
      <c r="AP41" s="1">
        <f t="shared" si="17"/>
        <v>8.3777777777777782</v>
      </c>
      <c r="AQ41" s="1">
        <f t="shared" si="17"/>
        <v>8.3777777777777782</v>
      </c>
      <c r="AR41" s="1">
        <f t="shared" si="17"/>
        <v>8.8861111111111111</v>
      </c>
      <c r="AS41" s="1">
        <f t="shared" si="17"/>
        <v>9.3944444444444439</v>
      </c>
      <c r="AT41" s="1">
        <f t="shared" si="17"/>
        <v>9.9027777777777786</v>
      </c>
      <c r="AU41" s="1">
        <f t="shared" si="17"/>
        <v>10.408333333333333</v>
      </c>
      <c r="AV41" s="1">
        <f t="shared" si="17"/>
        <v>10.408333333333333</v>
      </c>
      <c r="AW41" s="1">
        <f t="shared" si="17"/>
        <v>14.975</v>
      </c>
      <c r="AX41" s="1">
        <f t="shared" si="17"/>
        <v>15.480555555555556</v>
      </c>
      <c r="AY41" s="1">
        <f t="shared" si="18"/>
        <v>15.988888888888889</v>
      </c>
      <c r="AZ41" s="1">
        <f t="shared" si="18"/>
        <v>16.494444444444444</v>
      </c>
      <c r="BA41" s="1">
        <f t="shared" si="18"/>
        <v>17.002777777777776</v>
      </c>
      <c r="BB41" s="1">
        <f t="shared" si="18"/>
        <v>17.511111111111113</v>
      </c>
      <c r="BC41" s="1">
        <f t="shared" si="18"/>
        <v>18.019444444444446</v>
      </c>
      <c r="BD41" s="1">
        <f t="shared" si="18"/>
        <v>18.524999999999999</v>
      </c>
      <c r="BE41" s="1">
        <f t="shared" si="18"/>
        <v>18.524999999999999</v>
      </c>
      <c r="BF41" s="1">
        <f t="shared" si="18"/>
        <v>27.15</v>
      </c>
      <c r="BG41" s="1">
        <f t="shared" si="18"/>
        <v>27.655555555555555</v>
      </c>
      <c r="BH41" s="1">
        <f t="shared" si="18"/>
        <v>28.163888888888888</v>
      </c>
      <c r="BI41" s="1">
        <f t="shared" si="18"/>
        <v>28.669444444444444</v>
      </c>
      <c r="BJ41" s="1">
        <f t="shared" si="18"/>
        <v>29.177777777777777</v>
      </c>
      <c r="BK41" s="1">
        <f t="shared" si="18"/>
        <v>29.68611111111111</v>
      </c>
      <c r="BL41" s="1">
        <f t="shared" si="18"/>
        <v>30.194444444444443</v>
      </c>
      <c r="BM41" s="1">
        <f t="shared" si="18"/>
        <v>30.7</v>
      </c>
      <c r="BN41" s="1">
        <f t="shared" si="18"/>
        <v>31.208333333333332</v>
      </c>
      <c r="BO41" s="1">
        <f t="shared" si="19"/>
        <v>31.208333333333332</v>
      </c>
      <c r="BP41" s="1">
        <f t="shared" si="19"/>
        <v>31.713888888888889</v>
      </c>
      <c r="BQ41" s="1">
        <f t="shared" si="19"/>
        <v>32.222222222222221</v>
      </c>
      <c r="BR41" s="1">
        <f t="shared" si="19"/>
        <v>32.727777777777774</v>
      </c>
      <c r="BS41" s="1">
        <f t="shared" si="19"/>
        <v>33.236111111111114</v>
      </c>
      <c r="BT41" s="1">
        <f t="shared" si="19"/>
        <v>33.744444444444447</v>
      </c>
      <c r="BU41" s="1">
        <f t="shared" si="19"/>
        <v>34.25277777777778</v>
      </c>
      <c r="BV41" s="1">
        <f t="shared" si="19"/>
        <v>34.25277777777778</v>
      </c>
      <c r="BW41" s="1">
        <f t="shared" si="19"/>
        <v>34.758333333333333</v>
      </c>
      <c r="BX41" s="1">
        <f t="shared" si="19"/>
        <v>35.266666666666666</v>
      </c>
      <c r="BY41" s="1">
        <f t="shared" si="19"/>
        <v>35.772222222222226</v>
      </c>
      <c r="BZ41" s="1">
        <f t="shared" si="19"/>
        <v>36.280555555555559</v>
      </c>
      <c r="CA41" s="1">
        <f t="shared" si="19"/>
        <v>36.786111111111111</v>
      </c>
      <c r="CB41" s="1">
        <f t="shared" si="19"/>
        <v>37.294444444444444</v>
      </c>
      <c r="CC41" s="1">
        <f t="shared" si="19"/>
        <v>37.802777777777777</v>
      </c>
      <c r="CD41" s="1">
        <f t="shared" si="19"/>
        <v>38.31111111111111</v>
      </c>
      <c r="CE41" s="1">
        <f t="shared" si="20"/>
        <v>38.81666666666667</v>
      </c>
      <c r="CF41" s="1">
        <f t="shared" si="20"/>
        <v>39.325000000000003</v>
      </c>
      <c r="CG41" s="1">
        <f t="shared" si="20"/>
        <v>39.830555555555556</v>
      </c>
      <c r="CH41" s="1">
        <f t="shared" si="20"/>
        <v>40.338888888888889</v>
      </c>
      <c r="CI41" s="1">
        <f t="shared" si="20"/>
        <v>40.844444444444441</v>
      </c>
      <c r="CJ41" s="1">
        <f t="shared" si="20"/>
        <v>41.352777777777774</v>
      </c>
      <c r="CK41" s="1">
        <f t="shared" si="20"/>
        <v>41.861111111111114</v>
      </c>
      <c r="CL41" s="1">
        <f t="shared" si="20"/>
        <v>42.369444444444447</v>
      </c>
      <c r="CM41" s="1">
        <f t="shared" si="20"/>
        <v>42.875</v>
      </c>
      <c r="CN41" s="1">
        <f t="shared" si="20"/>
        <v>43.383333333333333</v>
      </c>
      <c r="CO41" s="1">
        <f t="shared" si="20"/>
        <v>43.888888888888886</v>
      </c>
      <c r="CP41" s="1">
        <f t="shared" si="20"/>
        <v>44.397222222222226</v>
      </c>
      <c r="CQ41" s="1">
        <f t="shared" si="20"/>
        <v>44.902777777777779</v>
      </c>
      <c r="CR41" s="1">
        <f t="shared" si="20"/>
        <v>45.411111111111111</v>
      </c>
      <c r="CS41" s="1">
        <f t="shared" si="20"/>
        <v>45.919444444444444</v>
      </c>
      <c r="CT41" s="1">
        <f t="shared" si="20"/>
        <v>46.427777777777777</v>
      </c>
      <c r="CU41" s="1">
        <f t="shared" si="21"/>
        <v>46.93333333333333</v>
      </c>
      <c r="CV41" s="1">
        <f t="shared" si="21"/>
        <v>47.44166666666667</v>
      </c>
      <c r="CW41" s="1">
        <f t="shared" si="21"/>
        <v>47.947222222222223</v>
      </c>
      <c r="CX41" s="1">
        <f t="shared" si="21"/>
        <v>48.455555555555556</v>
      </c>
      <c r="CY41" s="1">
        <f t="shared" si="21"/>
        <v>48.961111111111109</v>
      </c>
      <c r="CZ41" s="1">
        <f t="shared" si="21"/>
        <v>49.469444444444441</v>
      </c>
      <c r="DA41" s="1">
        <f t="shared" si="21"/>
        <v>49.977777777777774</v>
      </c>
      <c r="DB41" s="1">
        <f t="shared" si="21"/>
        <v>50.486111111111114</v>
      </c>
      <c r="DC41" s="1">
        <f t="shared" si="21"/>
        <v>50.486111111111114</v>
      </c>
    </row>
    <row r="42" spans="1:107" x14ac:dyDescent="0.25">
      <c r="A42">
        <f t="shared" si="7"/>
        <v>2</v>
      </c>
      <c r="B42" s="2">
        <f>yields_BRUTE!B42</f>
        <v>42065</v>
      </c>
      <c r="C42" s="1">
        <f t="shared" si="23"/>
        <v>-2.7777777777777779E-3</v>
      </c>
      <c r="D42" s="1">
        <f t="shared" si="23"/>
        <v>3.6111111111111108E-2</v>
      </c>
      <c r="E42" s="1">
        <f t="shared" si="23"/>
        <v>0.25277777777777777</v>
      </c>
      <c r="F42" s="1">
        <f t="shared" si="23"/>
        <v>0.5083333333333333</v>
      </c>
      <c r="G42" s="1">
        <f t="shared" si="23"/>
        <v>0.54722222222222228</v>
      </c>
      <c r="H42" s="1">
        <f t="shared" si="23"/>
        <v>0.76111111111111107</v>
      </c>
      <c r="I42" s="1">
        <f t="shared" si="23"/>
        <v>0.76111111111111107</v>
      </c>
      <c r="J42" s="1">
        <f t="shared" si="23"/>
        <v>1.0138888888888888</v>
      </c>
      <c r="K42" s="1">
        <f t="shared" si="23"/>
        <v>1.0527777777777778</v>
      </c>
      <c r="L42" s="1">
        <f t="shared" si="23"/>
        <v>1.2694444444444444</v>
      </c>
      <c r="M42" s="1">
        <f t="shared" si="23"/>
        <v>1.5249999999999999</v>
      </c>
      <c r="N42" s="1">
        <f t="shared" si="23"/>
        <v>1.5249999999999999</v>
      </c>
      <c r="O42" s="1">
        <f t="shared" si="23"/>
        <v>1.5638888888888889</v>
      </c>
      <c r="P42" s="1">
        <f t="shared" si="23"/>
        <v>1.7777777777777777</v>
      </c>
      <c r="Q42" s="1">
        <f t="shared" si="23"/>
        <v>2.0666666666666669</v>
      </c>
      <c r="R42" s="1">
        <f t="shared" si="22"/>
        <v>2.2833333333333332</v>
      </c>
      <c r="S42" s="1">
        <f t="shared" si="16"/>
        <v>2.5777777777777779</v>
      </c>
      <c r="T42" s="1">
        <f t="shared" si="16"/>
        <v>2.7916666666666665</v>
      </c>
      <c r="U42" s="1">
        <f t="shared" si="16"/>
        <v>3.0805555555555557</v>
      </c>
      <c r="V42" s="1">
        <f t="shared" si="16"/>
        <v>3.2972222222222221</v>
      </c>
      <c r="W42" s="1">
        <f t="shared" si="16"/>
        <v>3.5916666666666668</v>
      </c>
      <c r="X42" s="1">
        <f t="shared" si="16"/>
        <v>3.8055555555555554</v>
      </c>
      <c r="Y42" s="1">
        <f t="shared" si="16"/>
        <v>4.0944444444444441</v>
      </c>
      <c r="Z42" s="1">
        <f t="shared" si="16"/>
        <v>4.3111111111111109</v>
      </c>
      <c r="AA42" s="1">
        <f t="shared" si="16"/>
        <v>4.6055555555555552</v>
      </c>
      <c r="AB42" s="1">
        <f t="shared" si="16"/>
        <v>4.8194444444444446</v>
      </c>
      <c r="AC42" s="1">
        <f t="shared" si="16"/>
        <v>5.1111111111111107</v>
      </c>
      <c r="AD42" s="1">
        <f t="shared" si="16"/>
        <v>5.3277777777777775</v>
      </c>
      <c r="AE42" s="1">
        <f t="shared" si="16"/>
        <v>5.3277777777777775</v>
      </c>
      <c r="AF42" s="3">
        <f t="shared" si="16"/>
        <v>5.6222222222222218</v>
      </c>
      <c r="AG42" s="1">
        <f t="shared" si="16"/>
        <v>5.8361111111111112</v>
      </c>
      <c r="AH42" s="1">
        <f t="shared" si="16"/>
        <v>6.125</v>
      </c>
      <c r="AI42" s="1">
        <f t="shared" si="17"/>
        <v>6.125</v>
      </c>
      <c r="AJ42" s="1">
        <f t="shared" si="17"/>
        <v>6.3416666666666668</v>
      </c>
      <c r="AK42" s="1">
        <f t="shared" si="17"/>
        <v>6.3416666666666668</v>
      </c>
      <c r="AL42" s="1">
        <f t="shared" si="17"/>
        <v>6.85</v>
      </c>
      <c r="AM42" s="1">
        <f t="shared" si="17"/>
        <v>7.3555555555555552</v>
      </c>
      <c r="AN42" s="1">
        <f t="shared" si="17"/>
        <v>7.3555555555555552</v>
      </c>
      <c r="AO42" s="1">
        <f t="shared" si="17"/>
        <v>7.8638888888888889</v>
      </c>
      <c r="AP42" s="1">
        <f t="shared" si="17"/>
        <v>8.3694444444444436</v>
      </c>
      <c r="AQ42" s="1">
        <f t="shared" si="17"/>
        <v>8.3694444444444436</v>
      </c>
      <c r="AR42" s="1">
        <f t="shared" si="17"/>
        <v>8.8777777777777782</v>
      </c>
      <c r="AS42" s="1">
        <f t="shared" si="17"/>
        <v>9.3861111111111111</v>
      </c>
      <c r="AT42" s="1">
        <f t="shared" si="17"/>
        <v>9.8944444444444439</v>
      </c>
      <c r="AU42" s="1">
        <f t="shared" si="17"/>
        <v>10.4</v>
      </c>
      <c r="AV42" s="1">
        <f t="shared" si="17"/>
        <v>10.4</v>
      </c>
      <c r="AW42" s="1">
        <f t="shared" si="17"/>
        <v>14.966666666666667</v>
      </c>
      <c r="AX42" s="1">
        <f t="shared" si="17"/>
        <v>15.472222222222221</v>
      </c>
      <c r="AY42" s="1">
        <f t="shared" si="18"/>
        <v>15.980555555555556</v>
      </c>
      <c r="AZ42" s="1">
        <f t="shared" si="18"/>
        <v>16.486111111111111</v>
      </c>
      <c r="BA42" s="1">
        <f t="shared" si="18"/>
        <v>16.994444444444444</v>
      </c>
      <c r="BB42" s="1">
        <f t="shared" si="18"/>
        <v>17.502777777777776</v>
      </c>
      <c r="BC42" s="1">
        <f t="shared" si="18"/>
        <v>18.011111111111113</v>
      </c>
      <c r="BD42" s="1">
        <f t="shared" si="18"/>
        <v>18.516666666666666</v>
      </c>
      <c r="BE42" s="1">
        <f t="shared" si="18"/>
        <v>18.516666666666666</v>
      </c>
      <c r="BF42" s="1">
        <f t="shared" si="18"/>
        <v>27.141666666666666</v>
      </c>
      <c r="BG42" s="1">
        <f t="shared" si="18"/>
        <v>27.647222222222222</v>
      </c>
      <c r="BH42" s="1">
        <f t="shared" si="18"/>
        <v>28.155555555555555</v>
      </c>
      <c r="BI42" s="1">
        <f t="shared" si="18"/>
        <v>28.661111111111111</v>
      </c>
      <c r="BJ42" s="1">
        <f t="shared" si="18"/>
        <v>29.169444444444444</v>
      </c>
      <c r="BK42" s="1">
        <f t="shared" si="18"/>
        <v>29.677777777777777</v>
      </c>
      <c r="BL42" s="1">
        <f t="shared" si="18"/>
        <v>30.18611111111111</v>
      </c>
      <c r="BM42" s="1">
        <f t="shared" si="18"/>
        <v>30.691666666666666</v>
      </c>
      <c r="BN42" s="1">
        <f t="shared" si="18"/>
        <v>31.2</v>
      </c>
      <c r="BO42" s="1">
        <f t="shared" si="19"/>
        <v>31.2</v>
      </c>
      <c r="BP42" s="1">
        <f t="shared" si="19"/>
        <v>31.705555555555556</v>
      </c>
      <c r="BQ42" s="1">
        <f t="shared" si="19"/>
        <v>32.213888888888889</v>
      </c>
      <c r="BR42" s="1">
        <f t="shared" si="19"/>
        <v>32.719444444444441</v>
      </c>
      <c r="BS42" s="1">
        <f t="shared" si="19"/>
        <v>33.227777777777774</v>
      </c>
      <c r="BT42" s="1">
        <f t="shared" si="19"/>
        <v>33.736111111111114</v>
      </c>
      <c r="BU42" s="1">
        <f t="shared" si="19"/>
        <v>34.244444444444447</v>
      </c>
      <c r="BV42" s="1">
        <f t="shared" si="19"/>
        <v>34.244444444444447</v>
      </c>
      <c r="BW42" s="1">
        <f t="shared" si="19"/>
        <v>34.75</v>
      </c>
      <c r="BX42" s="1">
        <f t="shared" si="19"/>
        <v>35.258333333333333</v>
      </c>
      <c r="BY42" s="1">
        <f t="shared" si="19"/>
        <v>35.763888888888886</v>
      </c>
      <c r="BZ42" s="1">
        <f t="shared" si="19"/>
        <v>36.272222222222226</v>
      </c>
      <c r="CA42" s="1">
        <f t="shared" si="19"/>
        <v>36.777777777777779</v>
      </c>
      <c r="CB42" s="1">
        <f t="shared" si="19"/>
        <v>37.286111111111111</v>
      </c>
      <c r="CC42" s="1">
        <f t="shared" si="19"/>
        <v>37.794444444444444</v>
      </c>
      <c r="CD42" s="1">
        <f t="shared" si="19"/>
        <v>38.302777777777777</v>
      </c>
      <c r="CE42" s="1">
        <f t="shared" si="20"/>
        <v>38.80833333333333</v>
      </c>
      <c r="CF42" s="1">
        <f t="shared" si="20"/>
        <v>39.31666666666667</v>
      </c>
      <c r="CG42" s="1">
        <f t="shared" si="20"/>
        <v>39.822222222222223</v>
      </c>
      <c r="CH42" s="1">
        <f t="shared" si="20"/>
        <v>40.330555555555556</v>
      </c>
      <c r="CI42" s="1">
        <f t="shared" si="20"/>
        <v>40.836111111111109</v>
      </c>
      <c r="CJ42" s="1">
        <f t="shared" si="20"/>
        <v>41.344444444444441</v>
      </c>
      <c r="CK42" s="1">
        <f t="shared" si="20"/>
        <v>41.852777777777774</v>
      </c>
      <c r="CL42" s="1">
        <f t="shared" si="20"/>
        <v>42.361111111111114</v>
      </c>
      <c r="CM42" s="1">
        <f t="shared" si="20"/>
        <v>42.866666666666667</v>
      </c>
      <c r="CN42" s="1">
        <f t="shared" si="20"/>
        <v>43.375</v>
      </c>
      <c r="CO42" s="1">
        <f t="shared" si="20"/>
        <v>43.880555555555553</v>
      </c>
      <c r="CP42" s="1">
        <f t="shared" si="20"/>
        <v>44.388888888888886</v>
      </c>
      <c r="CQ42" s="1">
        <f t="shared" si="20"/>
        <v>44.894444444444446</v>
      </c>
      <c r="CR42" s="1">
        <f t="shared" si="20"/>
        <v>45.402777777777779</v>
      </c>
      <c r="CS42" s="1">
        <f t="shared" si="20"/>
        <v>45.911111111111111</v>
      </c>
      <c r="CT42" s="1">
        <f t="shared" si="20"/>
        <v>46.419444444444444</v>
      </c>
      <c r="CU42" s="1">
        <f t="shared" si="21"/>
        <v>46.924999999999997</v>
      </c>
      <c r="CV42" s="1">
        <f t="shared" si="21"/>
        <v>47.43333333333333</v>
      </c>
      <c r="CW42" s="1">
        <f t="shared" si="21"/>
        <v>47.93888888888889</v>
      </c>
      <c r="CX42" s="1">
        <f t="shared" si="21"/>
        <v>48.447222222222223</v>
      </c>
      <c r="CY42" s="1">
        <f t="shared" si="21"/>
        <v>48.952777777777776</v>
      </c>
      <c r="CZ42" s="1">
        <f t="shared" si="21"/>
        <v>49.461111111111109</v>
      </c>
      <c r="DA42" s="1">
        <f t="shared" si="21"/>
        <v>49.969444444444441</v>
      </c>
      <c r="DB42" s="1">
        <f t="shared" si="21"/>
        <v>50.477777777777774</v>
      </c>
      <c r="DC42" s="1">
        <f t="shared" si="21"/>
        <v>50.477777777777774</v>
      </c>
    </row>
    <row r="43" spans="1:107" x14ac:dyDescent="0.25">
      <c r="A43">
        <f t="shared" si="7"/>
        <v>3</v>
      </c>
      <c r="B43" s="2">
        <f>yields_BRUTE!B43</f>
        <v>42066</v>
      </c>
      <c r="C43" s="1">
        <f t="shared" si="23"/>
        <v>-5.5555555555555558E-3</v>
      </c>
      <c r="D43" s="1">
        <f t="shared" si="23"/>
        <v>3.3333333333333333E-2</v>
      </c>
      <c r="E43" s="1">
        <f t="shared" si="23"/>
        <v>0.25</v>
      </c>
      <c r="F43" s="1">
        <f t="shared" si="23"/>
        <v>0.50555555555555554</v>
      </c>
      <c r="G43" s="1">
        <f t="shared" si="23"/>
        <v>0.5444444444444444</v>
      </c>
      <c r="H43" s="1">
        <f t="shared" si="23"/>
        <v>0.7583333333333333</v>
      </c>
      <c r="I43" s="1">
        <f t="shared" si="23"/>
        <v>0.7583333333333333</v>
      </c>
      <c r="J43" s="1">
        <f t="shared" si="23"/>
        <v>1.0111111111111111</v>
      </c>
      <c r="K43" s="1">
        <f t="shared" si="23"/>
        <v>1.05</v>
      </c>
      <c r="L43" s="1">
        <f t="shared" si="23"/>
        <v>1.2666666666666666</v>
      </c>
      <c r="M43" s="1">
        <f t="shared" si="23"/>
        <v>1.5222222222222221</v>
      </c>
      <c r="N43" s="1">
        <f t="shared" si="23"/>
        <v>1.5222222222222221</v>
      </c>
      <c r="O43" s="1">
        <f t="shared" si="23"/>
        <v>1.5611111111111111</v>
      </c>
      <c r="P43" s="1">
        <f t="shared" si="23"/>
        <v>1.7749999999999999</v>
      </c>
      <c r="Q43" s="1">
        <f t="shared" si="23"/>
        <v>2.0638888888888891</v>
      </c>
      <c r="R43" s="1">
        <f t="shared" si="22"/>
        <v>2.2805555555555554</v>
      </c>
      <c r="S43" s="1">
        <f t="shared" si="16"/>
        <v>2.5750000000000002</v>
      </c>
      <c r="T43" s="1">
        <f t="shared" si="16"/>
        <v>2.7888888888888888</v>
      </c>
      <c r="U43" s="1">
        <f t="shared" si="16"/>
        <v>3.0777777777777779</v>
      </c>
      <c r="V43" s="1">
        <f t="shared" si="16"/>
        <v>3.2944444444444443</v>
      </c>
      <c r="W43" s="1">
        <f t="shared" si="16"/>
        <v>3.588888888888889</v>
      </c>
      <c r="X43" s="1">
        <f t="shared" si="16"/>
        <v>3.8027777777777776</v>
      </c>
      <c r="Y43" s="1">
        <f t="shared" si="16"/>
        <v>4.0916666666666668</v>
      </c>
      <c r="Z43" s="1">
        <f t="shared" si="16"/>
        <v>4.3083333333333336</v>
      </c>
      <c r="AA43" s="1">
        <f t="shared" si="16"/>
        <v>4.6027777777777779</v>
      </c>
      <c r="AB43" s="1">
        <f t="shared" si="16"/>
        <v>4.8166666666666664</v>
      </c>
      <c r="AC43" s="1">
        <f t="shared" si="16"/>
        <v>5.1083333333333334</v>
      </c>
      <c r="AD43" s="1">
        <f t="shared" si="16"/>
        <v>5.3250000000000002</v>
      </c>
      <c r="AE43" s="1">
        <f t="shared" si="16"/>
        <v>5.3250000000000002</v>
      </c>
      <c r="AF43" s="3">
        <f t="shared" si="16"/>
        <v>5.6194444444444445</v>
      </c>
      <c r="AG43" s="1">
        <f t="shared" si="16"/>
        <v>5.833333333333333</v>
      </c>
      <c r="AH43" s="1">
        <f t="shared" si="16"/>
        <v>6.1222222222222218</v>
      </c>
      <c r="AI43" s="1">
        <f t="shared" si="17"/>
        <v>6.1222222222222218</v>
      </c>
      <c r="AJ43" s="1">
        <f t="shared" si="17"/>
        <v>6.3388888888888886</v>
      </c>
      <c r="AK43" s="1">
        <f t="shared" si="17"/>
        <v>6.3388888888888886</v>
      </c>
      <c r="AL43" s="1">
        <f t="shared" si="17"/>
        <v>6.8472222222222223</v>
      </c>
      <c r="AM43" s="1">
        <f t="shared" si="17"/>
        <v>7.3527777777777779</v>
      </c>
      <c r="AN43" s="1">
        <f t="shared" si="17"/>
        <v>7.3527777777777779</v>
      </c>
      <c r="AO43" s="1">
        <f t="shared" si="17"/>
        <v>7.8611111111111107</v>
      </c>
      <c r="AP43" s="1">
        <f t="shared" si="17"/>
        <v>8.3666666666666671</v>
      </c>
      <c r="AQ43" s="1">
        <f t="shared" si="17"/>
        <v>8.3666666666666671</v>
      </c>
      <c r="AR43" s="1">
        <f t="shared" si="17"/>
        <v>8.875</v>
      </c>
      <c r="AS43" s="1">
        <f t="shared" si="17"/>
        <v>9.3833333333333329</v>
      </c>
      <c r="AT43" s="1">
        <f t="shared" si="17"/>
        <v>9.8916666666666675</v>
      </c>
      <c r="AU43" s="1">
        <f t="shared" si="17"/>
        <v>10.397222222222222</v>
      </c>
      <c r="AV43" s="1">
        <f t="shared" si="17"/>
        <v>10.397222222222222</v>
      </c>
      <c r="AW43" s="1">
        <f t="shared" si="17"/>
        <v>14.963888888888889</v>
      </c>
      <c r="AX43" s="1">
        <f t="shared" si="17"/>
        <v>15.469444444444445</v>
      </c>
      <c r="AY43" s="1">
        <f t="shared" si="18"/>
        <v>15.977777777777778</v>
      </c>
      <c r="AZ43" s="1">
        <f t="shared" si="18"/>
        <v>16.483333333333334</v>
      </c>
      <c r="BA43" s="1">
        <f t="shared" si="18"/>
        <v>16.991666666666667</v>
      </c>
      <c r="BB43" s="1">
        <f t="shared" si="18"/>
        <v>17.5</v>
      </c>
      <c r="BC43" s="1">
        <f t="shared" si="18"/>
        <v>18.008333333333333</v>
      </c>
      <c r="BD43" s="1">
        <f t="shared" si="18"/>
        <v>18.513888888888889</v>
      </c>
      <c r="BE43" s="1">
        <f t="shared" si="18"/>
        <v>18.513888888888889</v>
      </c>
      <c r="BF43" s="1">
        <f t="shared" si="18"/>
        <v>27.138888888888889</v>
      </c>
      <c r="BG43" s="1">
        <f t="shared" si="18"/>
        <v>27.644444444444446</v>
      </c>
      <c r="BH43" s="1">
        <f t="shared" si="18"/>
        <v>28.152777777777779</v>
      </c>
      <c r="BI43" s="1">
        <f t="shared" si="18"/>
        <v>28.658333333333335</v>
      </c>
      <c r="BJ43" s="1">
        <f t="shared" si="18"/>
        <v>29.166666666666668</v>
      </c>
      <c r="BK43" s="1">
        <f t="shared" si="18"/>
        <v>29.675000000000001</v>
      </c>
      <c r="BL43" s="1">
        <f t="shared" si="18"/>
        <v>30.183333333333334</v>
      </c>
      <c r="BM43" s="1">
        <f t="shared" si="18"/>
        <v>30.68888888888889</v>
      </c>
      <c r="BN43" s="1">
        <f t="shared" si="18"/>
        <v>31.197222222222223</v>
      </c>
      <c r="BO43" s="1">
        <f t="shared" si="19"/>
        <v>31.197222222222223</v>
      </c>
      <c r="BP43" s="1">
        <f t="shared" si="19"/>
        <v>31.702777777777779</v>
      </c>
      <c r="BQ43" s="1">
        <f t="shared" si="19"/>
        <v>32.211111111111109</v>
      </c>
      <c r="BR43" s="1">
        <f t="shared" si="19"/>
        <v>32.716666666666669</v>
      </c>
      <c r="BS43" s="1">
        <f t="shared" si="19"/>
        <v>33.225000000000001</v>
      </c>
      <c r="BT43" s="1">
        <f t="shared" si="19"/>
        <v>33.733333333333334</v>
      </c>
      <c r="BU43" s="1">
        <f t="shared" si="19"/>
        <v>34.241666666666667</v>
      </c>
      <c r="BV43" s="1">
        <f t="shared" si="19"/>
        <v>34.241666666666667</v>
      </c>
      <c r="BW43" s="1">
        <f t="shared" si="19"/>
        <v>34.74722222222222</v>
      </c>
      <c r="BX43" s="1">
        <f t="shared" si="19"/>
        <v>35.255555555555553</v>
      </c>
      <c r="BY43" s="1">
        <f t="shared" si="19"/>
        <v>35.761111111111113</v>
      </c>
      <c r="BZ43" s="1">
        <f t="shared" si="19"/>
        <v>36.269444444444446</v>
      </c>
      <c r="CA43" s="1">
        <f t="shared" si="19"/>
        <v>36.774999999999999</v>
      </c>
      <c r="CB43" s="1">
        <f t="shared" si="19"/>
        <v>37.283333333333331</v>
      </c>
      <c r="CC43" s="1">
        <f t="shared" si="19"/>
        <v>37.791666666666664</v>
      </c>
      <c r="CD43" s="1">
        <f t="shared" si="19"/>
        <v>38.299999999999997</v>
      </c>
      <c r="CE43" s="1">
        <f t="shared" si="20"/>
        <v>38.805555555555557</v>
      </c>
      <c r="CF43" s="1">
        <f t="shared" si="20"/>
        <v>39.31388888888889</v>
      </c>
      <c r="CG43" s="1">
        <f t="shared" si="20"/>
        <v>39.819444444444443</v>
      </c>
      <c r="CH43" s="1">
        <f t="shared" si="20"/>
        <v>40.327777777777776</v>
      </c>
      <c r="CI43" s="1">
        <f t="shared" si="20"/>
        <v>40.833333333333336</v>
      </c>
      <c r="CJ43" s="1">
        <f t="shared" si="20"/>
        <v>41.341666666666669</v>
      </c>
      <c r="CK43" s="1">
        <f t="shared" si="20"/>
        <v>41.85</v>
      </c>
      <c r="CL43" s="1">
        <f t="shared" si="20"/>
        <v>42.358333333333334</v>
      </c>
      <c r="CM43" s="1">
        <f t="shared" si="20"/>
        <v>42.863888888888887</v>
      </c>
      <c r="CN43" s="1">
        <f t="shared" si="20"/>
        <v>43.37222222222222</v>
      </c>
      <c r="CO43" s="1">
        <f t="shared" si="20"/>
        <v>43.87777777777778</v>
      </c>
      <c r="CP43" s="1">
        <f t="shared" si="20"/>
        <v>44.386111111111113</v>
      </c>
      <c r="CQ43" s="1">
        <f t="shared" si="20"/>
        <v>44.891666666666666</v>
      </c>
      <c r="CR43" s="1">
        <f t="shared" si="20"/>
        <v>45.4</v>
      </c>
      <c r="CS43" s="1">
        <f t="shared" si="20"/>
        <v>45.908333333333331</v>
      </c>
      <c r="CT43" s="1">
        <f t="shared" si="20"/>
        <v>46.416666666666664</v>
      </c>
      <c r="CU43" s="1">
        <f t="shared" si="21"/>
        <v>46.922222222222224</v>
      </c>
      <c r="CV43" s="1">
        <f t="shared" si="21"/>
        <v>47.430555555555557</v>
      </c>
      <c r="CW43" s="1">
        <f t="shared" si="21"/>
        <v>47.93611111111111</v>
      </c>
      <c r="CX43" s="1">
        <f t="shared" si="21"/>
        <v>48.444444444444443</v>
      </c>
      <c r="CY43" s="1">
        <f t="shared" si="21"/>
        <v>48.95</v>
      </c>
      <c r="CZ43" s="1">
        <f t="shared" si="21"/>
        <v>49.458333333333336</v>
      </c>
      <c r="DA43" s="1">
        <f t="shared" si="21"/>
        <v>49.966666666666669</v>
      </c>
      <c r="DB43" s="1">
        <f t="shared" si="21"/>
        <v>50.475000000000001</v>
      </c>
      <c r="DC43" s="1">
        <f t="shared" si="21"/>
        <v>50.475000000000001</v>
      </c>
    </row>
    <row r="44" spans="1:107" x14ac:dyDescent="0.25">
      <c r="A44">
        <f t="shared" si="7"/>
        <v>4</v>
      </c>
      <c r="B44" s="2">
        <f>yields_BRUTE!B44</f>
        <v>42067</v>
      </c>
      <c r="C44" s="1">
        <f t="shared" si="23"/>
        <v>-8.3333333333333332E-3</v>
      </c>
      <c r="D44" s="1">
        <f t="shared" si="23"/>
        <v>3.0555555555555555E-2</v>
      </c>
      <c r="E44" s="1">
        <f t="shared" si="23"/>
        <v>0.24722222222222223</v>
      </c>
      <c r="F44" s="1">
        <f t="shared" si="23"/>
        <v>0.50277777777777777</v>
      </c>
      <c r="G44" s="1">
        <f t="shared" si="23"/>
        <v>0.54166666666666663</v>
      </c>
      <c r="H44" s="1">
        <f t="shared" si="23"/>
        <v>0.75555555555555554</v>
      </c>
      <c r="I44" s="1">
        <f t="shared" si="23"/>
        <v>0.75555555555555554</v>
      </c>
      <c r="J44" s="1">
        <f t="shared" si="23"/>
        <v>1.0083333333333333</v>
      </c>
      <c r="K44" s="1">
        <f t="shared" si="23"/>
        <v>1.0472222222222223</v>
      </c>
      <c r="L44" s="1">
        <f t="shared" si="23"/>
        <v>1.2638888888888888</v>
      </c>
      <c r="M44" s="1">
        <f t="shared" si="23"/>
        <v>1.5194444444444444</v>
      </c>
      <c r="N44" s="1">
        <f t="shared" si="23"/>
        <v>1.5194444444444444</v>
      </c>
      <c r="O44" s="1">
        <f t="shared" si="23"/>
        <v>1.5583333333333333</v>
      </c>
      <c r="P44" s="1">
        <f t="shared" si="23"/>
        <v>1.7722222222222221</v>
      </c>
      <c r="Q44" s="1">
        <f t="shared" si="23"/>
        <v>2.0611111111111109</v>
      </c>
      <c r="R44" s="1">
        <f t="shared" si="22"/>
        <v>2.2777777777777777</v>
      </c>
      <c r="S44" s="1">
        <f t="shared" si="16"/>
        <v>2.5722222222222224</v>
      </c>
      <c r="T44" s="1">
        <f t="shared" si="16"/>
        <v>2.786111111111111</v>
      </c>
      <c r="U44" s="1">
        <f t="shared" si="16"/>
        <v>3.0750000000000002</v>
      </c>
      <c r="V44" s="1">
        <f t="shared" si="16"/>
        <v>3.2916666666666665</v>
      </c>
      <c r="W44" s="1">
        <f t="shared" si="16"/>
        <v>3.5861111111111112</v>
      </c>
      <c r="X44" s="1">
        <f t="shared" si="16"/>
        <v>3.8</v>
      </c>
      <c r="Y44" s="1">
        <f t="shared" si="16"/>
        <v>4.0888888888888886</v>
      </c>
      <c r="Z44" s="1">
        <f t="shared" si="16"/>
        <v>4.3055555555555554</v>
      </c>
      <c r="AA44" s="1">
        <f t="shared" si="16"/>
        <v>4.5999999999999996</v>
      </c>
      <c r="AB44" s="1">
        <f t="shared" si="16"/>
        <v>4.8138888888888891</v>
      </c>
      <c r="AC44" s="1">
        <f t="shared" si="16"/>
        <v>5.1055555555555552</v>
      </c>
      <c r="AD44" s="1">
        <f t="shared" si="16"/>
        <v>5.322222222222222</v>
      </c>
      <c r="AE44" s="1">
        <f t="shared" si="16"/>
        <v>5.322222222222222</v>
      </c>
      <c r="AF44" s="3">
        <f t="shared" si="16"/>
        <v>5.6166666666666663</v>
      </c>
      <c r="AG44" s="1">
        <f t="shared" si="16"/>
        <v>5.8305555555555557</v>
      </c>
      <c r="AH44" s="1">
        <f t="shared" si="16"/>
        <v>6.1194444444444445</v>
      </c>
      <c r="AI44" s="1">
        <f t="shared" si="17"/>
        <v>6.1194444444444445</v>
      </c>
      <c r="AJ44" s="1">
        <f t="shared" si="17"/>
        <v>6.3361111111111112</v>
      </c>
      <c r="AK44" s="1">
        <f t="shared" si="17"/>
        <v>6.3361111111111112</v>
      </c>
      <c r="AL44" s="1">
        <f t="shared" si="17"/>
        <v>6.8444444444444441</v>
      </c>
      <c r="AM44" s="1">
        <f t="shared" si="17"/>
        <v>7.35</v>
      </c>
      <c r="AN44" s="1">
        <f t="shared" si="17"/>
        <v>7.35</v>
      </c>
      <c r="AO44" s="1">
        <f t="shared" si="17"/>
        <v>7.8583333333333334</v>
      </c>
      <c r="AP44" s="1">
        <f t="shared" si="17"/>
        <v>8.3638888888888889</v>
      </c>
      <c r="AQ44" s="1">
        <f t="shared" si="17"/>
        <v>8.3638888888888889</v>
      </c>
      <c r="AR44" s="1">
        <f t="shared" si="17"/>
        <v>8.8722222222222218</v>
      </c>
      <c r="AS44" s="1">
        <f t="shared" si="17"/>
        <v>9.3805555555555564</v>
      </c>
      <c r="AT44" s="1">
        <f t="shared" si="17"/>
        <v>9.8888888888888893</v>
      </c>
      <c r="AU44" s="1">
        <f t="shared" si="17"/>
        <v>10.394444444444444</v>
      </c>
      <c r="AV44" s="1">
        <f t="shared" si="17"/>
        <v>10.394444444444444</v>
      </c>
      <c r="AW44" s="1">
        <f t="shared" si="17"/>
        <v>14.96111111111111</v>
      </c>
      <c r="AX44" s="1">
        <f t="shared" si="17"/>
        <v>15.466666666666667</v>
      </c>
      <c r="AY44" s="1">
        <f t="shared" si="18"/>
        <v>15.975</v>
      </c>
      <c r="AZ44" s="1">
        <f t="shared" si="18"/>
        <v>16.480555555555554</v>
      </c>
      <c r="BA44" s="1">
        <f t="shared" si="18"/>
        <v>16.988888888888887</v>
      </c>
      <c r="BB44" s="1">
        <f t="shared" si="18"/>
        <v>17.497222222222224</v>
      </c>
      <c r="BC44" s="1">
        <f t="shared" si="18"/>
        <v>18.005555555555556</v>
      </c>
      <c r="BD44" s="1">
        <f t="shared" si="18"/>
        <v>18.511111111111113</v>
      </c>
      <c r="BE44" s="1">
        <f t="shared" si="18"/>
        <v>18.511111111111113</v>
      </c>
      <c r="BF44" s="1">
        <f t="shared" si="18"/>
        <v>27.136111111111113</v>
      </c>
      <c r="BG44" s="1">
        <f t="shared" si="18"/>
        <v>27.641666666666666</v>
      </c>
      <c r="BH44" s="1">
        <f t="shared" si="18"/>
        <v>28.15</v>
      </c>
      <c r="BI44" s="1">
        <f t="shared" si="18"/>
        <v>28.655555555555555</v>
      </c>
      <c r="BJ44" s="1">
        <f t="shared" si="18"/>
        <v>29.163888888888888</v>
      </c>
      <c r="BK44" s="1">
        <f t="shared" si="18"/>
        <v>29.672222222222221</v>
      </c>
      <c r="BL44" s="1">
        <f t="shared" si="18"/>
        <v>30.180555555555557</v>
      </c>
      <c r="BM44" s="1">
        <f t="shared" si="18"/>
        <v>30.68611111111111</v>
      </c>
      <c r="BN44" s="1">
        <f t="shared" si="18"/>
        <v>31.194444444444443</v>
      </c>
      <c r="BO44" s="1">
        <f t="shared" si="19"/>
        <v>31.194444444444443</v>
      </c>
      <c r="BP44" s="1">
        <f t="shared" si="19"/>
        <v>31.7</v>
      </c>
      <c r="BQ44" s="1">
        <f t="shared" si="19"/>
        <v>32.208333333333336</v>
      </c>
      <c r="BR44" s="1">
        <f t="shared" si="19"/>
        <v>32.713888888888889</v>
      </c>
      <c r="BS44" s="1">
        <f t="shared" si="19"/>
        <v>33.222222222222221</v>
      </c>
      <c r="BT44" s="1">
        <f t="shared" si="19"/>
        <v>33.730555555555554</v>
      </c>
      <c r="BU44" s="1">
        <f t="shared" si="19"/>
        <v>34.238888888888887</v>
      </c>
      <c r="BV44" s="1">
        <f t="shared" si="19"/>
        <v>34.238888888888887</v>
      </c>
      <c r="BW44" s="1">
        <f t="shared" si="19"/>
        <v>34.744444444444447</v>
      </c>
      <c r="BX44" s="1">
        <f t="shared" si="19"/>
        <v>35.25277777777778</v>
      </c>
      <c r="BY44" s="1">
        <f t="shared" si="19"/>
        <v>35.758333333333333</v>
      </c>
      <c r="BZ44" s="1">
        <f t="shared" si="19"/>
        <v>36.266666666666666</v>
      </c>
      <c r="CA44" s="1">
        <f t="shared" si="19"/>
        <v>36.772222222222226</v>
      </c>
      <c r="CB44" s="1">
        <f t="shared" si="19"/>
        <v>37.280555555555559</v>
      </c>
      <c r="CC44" s="1">
        <f t="shared" si="19"/>
        <v>37.788888888888891</v>
      </c>
      <c r="CD44" s="1">
        <f t="shared" si="19"/>
        <v>38.297222222222224</v>
      </c>
      <c r="CE44" s="1">
        <f t="shared" si="20"/>
        <v>38.802777777777777</v>
      </c>
      <c r="CF44" s="1">
        <f t="shared" si="20"/>
        <v>39.31111111111111</v>
      </c>
      <c r="CG44" s="1">
        <f t="shared" si="20"/>
        <v>39.81666666666667</v>
      </c>
      <c r="CH44" s="1">
        <f t="shared" si="20"/>
        <v>40.325000000000003</v>
      </c>
      <c r="CI44" s="1">
        <f t="shared" si="20"/>
        <v>40.830555555555556</v>
      </c>
      <c r="CJ44" s="1">
        <f t="shared" si="20"/>
        <v>41.338888888888889</v>
      </c>
      <c r="CK44" s="1">
        <f t="shared" si="20"/>
        <v>41.847222222222221</v>
      </c>
      <c r="CL44" s="1">
        <f t="shared" si="20"/>
        <v>42.355555555555554</v>
      </c>
      <c r="CM44" s="1">
        <f t="shared" si="20"/>
        <v>42.861111111111114</v>
      </c>
      <c r="CN44" s="1">
        <f t="shared" si="20"/>
        <v>43.369444444444447</v>
      </c>
      <c r="CO44" s="1">
        <f t="shared" si="20"/>
        <v>43.875</v>
      </c>
      <c r="CP44" s="1">
        <f t="shared" si="20"/>
        <v>44.383333333333333</v>
      </c>
      <c r="CQ44" s="1">
        <f t="shared" si="20"/>
        <v>44.888888888888886</v>
      </c>
      <c r="CR44" s="1">
        <f t="shared" si="20"/>
        <v>45.397222222222226</v>
      </c>
      <c r="CS44" s="1">
        <f t="shared" si="20"/>
        <v>45.905555555555559</v>
      </c>
      <c r="CT44" s="1">
        <f t="shared" si="20"/>
        <v>46.413888888888891</v>
      </c>
      <c r="CU44" s="1">
        <f t="shared" si="21"/>
        <v>46.919444444444444</v>
      </c>
      <c r="CV44" s="1">
        <f t="shared" si="21"/>
        <v>47.427777777777777</v>
      </c>
      <c r="CW44" s="1">
        <f t="shared" si="21"/>
        <v>47.93333333333333</v>
      </c>
      <c r="CX44" s="1">
        <f t="shared" si="21"/>
        <v>48.44166666666667</v>
      </c>
      <c r="CY44" s="1">
        <f t="shared" si="21"/>
        <v>48.947222222222223</v>
      </c>
      <c r="CZ44" s="1">
        <f t="shared" si="21"/>
        <v>49.455555555555556</v>
      </c>
      <c r="DA44" s="1">
        <f t="shared" si="21"/>
        <v>49.963888888888889</v>
      </c>
      <c r="DB44" s="1">
        <f t="shared" si="21"/>
        <v>50.472222222222221</v>
      </c>
      <c r="DC44" s="1">
        <f t="shared" si="21"/>
        <v>50.472222222222221</v>
      </c>
    </row>
    <row r="45" spans="1:107" x14ac:dyDescent="0.25">
      <c r="A45">
        <f t="shared" si="7"/>
        <v>5</v>
      </c>
      <c r="B45" s="2">
        <f>yields_BRUTE!B45</f>
        <v>42068</v>
      </c>
      <c r="C45" s="1">
        <f t="shared" si="23"/>
        <v>-1.1111111111111112E-2</v>
      </c>
      <c r="D45" s="1">
        <f t="shared" si="23"/>
        <v>2.7777777777777776E-2</v>
      </c>
      <c r="E45" s="1">
        <f t="shared" si="23"/>
        <v>0.24444444444444444</v>
      </c>
      <c r="F45" s="1">
        <f t="shared" si="23"/>
        <v>0.5</v>
      </c>
      <c r="G45" s="1">
        <f t="shared" si="23"/>
        <v>0.53888888888888886</v>
      </c>
      <c r="H45" s="1">
        <f t="shared" si="23"/>
        <v>0.75277777777777777</v>
      </c>
      <c r="I45" s="1">
        <f t="shared" si="23"/>
        <v>0.75277777777777777</v>
      </c>
      <c r="J45" s="1">
        <f t="shared" si="23"/>
        <v>1.0055555555555555</v>
      </c>
      <c r="K45" s="1">
        <f t="shared" si="23"/>
        <v>1.0444444444444445</v>
      </c>
      <c r="L45" s="1">
        <f t="shared" si="23"/>
        <v>1.2611111111111111</v>
      </c>
      <c r="M45" s="1">
        <f t="shared" si="23"/>
        <v>1.5166666666666666</v>
      </c>
      <c r="N45" s="1">
        <f t="shared" si="23"/>
        <v>1.5166666666666666</v>
      </c>
      <c r="O45" s="1">
        <f t="shared" si="23"/>
        <v>1.5555555555555556</v>
      </c>
      <c r="P45" s="1">
        <f t="shared" si="23"/>
        <v>1.7694444444444444</v>
      </c>
      <c r="Q45" s="1">
        <f t="shared" si="23"/>
        <v>2.0583333333333331</v>
      </c>
      <c r="R45" s="1">
        <f t="shared" si="22"/>
        <v>2.2749999999999999</v>
      </c>
      <c r="S45" s="1">
        <f t="shared" si="16"/>
        <v>2.5694444444444446</v>
      </c>
      <c r="T45" s="1">
        <f t="shared" si="16"/>
        <v>2.7833333333333332</v>
      </c>
      <c r="U45" s="1">
        <f t="shared" si="16"/>
        <v>3.0722222222222224</v>
      </c>
      <c r="V45" s="1">
        <f t="shared" si="16"/>
        <v>3.2888888888888888</v>
      </c>
      <c r="W45" s="1">
        <f t="shared" si="16"/>
        <v>3.5833333333333335</v>
      </c>
      <c r="X45" s="1">
        <f t="shared" si="16"/>
        <v>3.7972222222222221</v>
      </c>
      <c r="Y45" s="1">
        <f t="shared" si="16"/>
        <v>4.0861111111111112</v>
      </c>
      <c r="Z45" s="1">
        <f t="shared" si="16"/>
        <v>4.302777777777778</v>
      </c>
      <c r="AA45" s="1">
        <f t="shared" si="16"/>
        <v>4.5972222222222223</v>
      </c>
      <c r="AB45" s="1">
        <f t="shared" si="16"/>
        <v>4.8111111111111109</v>
      </c>
      <c r="AC45" s="1">
        <f t="shared" si="16"/>
        <v>5.1027777777777779</v>
      </c>
      <c r="AD45" s="1">
        <f t="shared" si="16"/>
        <v>5.3194444444444446</v>
      </c>
      <c r="AE45" s="1">
        <f t="shared" si="16"/>
        <v>5.3194444444444446</v>
      </c>
      <c r="AF45" s="3">
        <f t="shared" si="16"/>
        <v>5.6138888888888889</v>
      </c>
      <c r="AG45" s="1">
        <f t="shared" si="16"/>
        <v>5.8277777777777775</v>
      </c>
      <c r="AH45" s="1">
        <f t="shared" si="16"/>
        <v>6.1166666666666663</v>
      </c>
      <c r="AI45" s="1">
        <f t="shared" si="17"/>
        <v>6.1166666666666663</v>
      </c>
      <c r="AJ45" s="1">
        <f t="shared" si="17"/>
        <v>6.333333333333333</v>
      </c>
      <c r="AK45" s="1">
        <f t="shared" si="17"/>
        <v>6.333333333333333</v>
      </c>
      <c r="AL45" s="1">
        <f t="shared" si="17"/>
        <v>6.8416666666666668</v>
      </c>
      <c r="AM45" s="1">
        <f t="shared" si="17"/>
        <v>7.3472222222222223</v>
      </c>
      <c r="AN45" s="1">
        <f t="shared" si="17"/>
        <v>7.3472222222222223</v>
      </c>
      <c r="AO45" s="1">
        <f t="shared" si="17"/>
        <v>7.8555555555555552</v>
      </c>
      <c r="AP45" s="1">
        <f t="shared" si="17"/>
        <v>8.3611111111111107</v>
      </c>
      <c r="AQ45" s="1">
        <f t="shared" si="17"/>
        <v>8.3611111111111107</v>
      </c>
      <c r="AR45" s="1">
        <f t="shared" si="17"/>
        <v>8.8694444444444436</v>
      </c>
      <c r="AS45" s="1">
        <f t="shared" si="17"/>
        <v>9.3777777777777782</v>
      </c>
      <c r="AT45" s="1">
        <f t="shared" si="17"/>
        <v>9.8861111111111111</v>
      </c>
      <c r="AU45" s="1">
        <f t="shared" si="17"/>
        <v>10.391666666666667</v>
      </c>
      <c r="AV45" s="1">
        <f t="shared" si="17"/>
        <v>10.391666666666667</v>
      </c>
      <c r="AW45" s="1">
        <f t="shared" si="17"/>
        <v>14.958333333333334</v>
      </c>
      <c r="AX45" s="1">
        <f t="shared" si="17"/>
        <v>15.463888888888889</v>
      </c>
      <c r="AY45" s="1">
        <f t="shared" si="18"/>
        <v>15.972222222222221</v>
      </c>
      <c r="AZ45" s="1">
        <f t="shared" si="18"/>
        <v>16.477777777777778</v>
      </c>
      <c r="BA45" s="1">
        <f t="shared" si="18"/>
        <v>16.986111111111111</v>
      </c>
      <c r="BB45" s="1">
        <f t="shared" si="18"/>
        <v>17.494444444444444</v>
      </c>
      <c r="BC45" s="1">
        <f t="shared" si="18"/>
        <v>18.002777777777776</v>
      </c>
      <c r="BD45" s="1">
        <f t="shared" si="18"/>
        <v>18.508333333333333</v>
      </c>
      <c r="BE45" s="1">
        <f t="shared" si="18"/>
        <v>18.508333333333333</v>
      </c>
      <c r="BF45" s="1">
        <f t="shared" si="18"/>
        <v>27.133333333333333</v>
      </c>
      <c r="BG45" s="1">
        <f t="shared" si="18"/>
        <v>27.638888888888889</v>
      </c>
      <c r="BH45" s="1">
        <f t="shared" si="18"/>
        <v>28.147222222222222</v>
      </c>
      <c r="BI45" s="1">
        <f t="shared" si="18"/>
        <v>28.652777777777779</v>
      </c>
      <c r="BJ45" s="1">
        <f t="shared" si="18"/>
        <v>29.161111111111111</v>
      </c>
      <c r="BK45" s="1">
        <f t="shared" si="18"/>
        <v>29.669444444444444</v>
      </c>
      <c r="BL45" s="1">
        <f t="shared" si="18"/>
        <v>30.177777777777777</v>
      </c>
      <c r="BM45" s="1">
        <f t="shared" si="18"/>
        <v>30.683333333333334</v>
      </c>
      <c r="BN45" s="1">
        <f t="shared" si="18"/>
        <v>31.191666666666666</v>
      </c>
      <c r="BO45" s="1">
        <f t="shared" si="19"/>
        <v>31.191666666666666</v>
      </c>
      <c r="BP45" s="1">
        <f t="shared" si="19"/>
        <v>31.697222222222223</v>
      </c>
      <c r="BQ45" s="1">
        <f t="shared" si="19"/>
        <v>32.205555555555556</v>
      </c>
      <c r="BR45" s="1">
        <f t="shared" si="19"/>
        <v>32.711111111111109</v>
      </c>
      <c r="BS45" s="1">
        <f t="shared" si="19"/>
        <v>33.219444444444441</v>
      </c>
      <c r="BT45" s="1">
        <f t="shared" si="19"/>
        <v>33.727777777777774</v>
      </c>
      <c r="BU45" s="1">
        <f t="shared" si="19"/>
        <v>34.236111111111114</v>
      </c>
      <c r="BV45" s="1">
        <f t="shared" si="19"/>
        <v>34.236111111111114</v>
      </c>
      <c r="BW45" s="1">
        <f t="shared" si="19"/>
        <v>34.741666666666667</v>
      </c>
      <c r="BX45" s="1">
        <f t="shared" si="19"/>
        <v>35.25</v>
      </c>
      <c r="BY45" s="1">
        <f t="shared" si="19"/>
        <v>35.755555555555553</v>
      </c>
      <c r="BZ45" s="1">
        <f t="shared" si="19"/>
        <v>36.263888888888886</v>
      </c>
      <c r="CA45" s="1">
        <f t="shared" si="19"/>
        <v>36.769444444444446</v>
      </c>
      <c r="CB45" s="1">
        <f t="shared" si="19"/>
        <v>37.277777777777779</v>
      </c>
      <c r="CC45" s="1">
        <f t="shared" si="19"/>
        <v>37.786111111111111</v>
      </c>
      <c r="CD45" s="1">
        <f t="shared" si="19"/>
        <v>38.294444444444444</v>
      </c>
      <c r="CE45" s="1">
        <f t="shared" si="20"/>
        <v>38.799999999999997</v>
      </c>
      <c r="CF45" s="1">
        <f t="shared" si="20"/>
        <v>39.30833333333333</v>
      </c>
      <c r="CG45" s="1">
        <f t="shared" si="20"/>
        <v>39.81388888888889</v>
      </c>
      <c r="CH45" s="1">
        <f t="shared" si="20"/>
        <v>40.322222222222223</v>
      </c>
      <c r="CI45" s="1">
        <f t="shared" si="20"/>
        <v>40.827777777777776</v>
      </c>
      <c r="CJ45" s="1">
        <f t="shared" si="20"/>
        <v>41.336111111111109</v>
      </c>
      <c r="CK45" s="1">
        <f t="shared" si="20"/>
        <v>41.844444444444441</v>
      </c>
      <c r="CL45" s="1">
        <f t="shared" si="20"/>
        <v>42.352777777777774</v>
      </c>
      <c r="CM45" s="1">
        <f t="shared" si="20"/>
        <v>42.858333333333334</v>
      </c>
      <c r="CN45" s="1">
        <f t="shared" si="20"/>
        <v>43.366666666666667</v>
      </c>
      <c r="CO45" s="1">
        <f t="shared" si="20"/>
        <v>43.87222222222222</v>
      </c>
      <c r="CP45" s="1">
        <f t="shared" si="20"/>
        <v>44.380555555555553</v>
      </c>
      <c r="CQ45" s="1">
        <f t="shared" si="20"/>
        <v>44.886111111111113</v>
      </c>
      <c r="CR45" s="1">
        <f t="shared" si="20"/>
        <v>45.394444444444446</v>
      </c>
      <c r="CS45" s="1">
        <f t="shared" si="20"/>
        <v>45.902777777777779</v>
      </c>
      <c r="CT45" s="1">
        <f t="shared" si="20"/>
        <v>46.411111111111111</v>
      </c>
      <c r="CU45" s="1">
        <f t="shared" si="21"/>
        <v>46.916666666666664</v>
      </c>
      <c r="CV45" s="1">
        <f t="shared" si="21"/>
        <v>47.424999999999997</v>
      </c>
      <c r="CW45" s="1">
        <f t="shared" si="21"/>
        <v>47.930555555555557</v>
      </c>
      <c r="CX45" s="1">
        <f t="shared" si="21"/>
        <v>48.43888888888889</v>
      </c>
      <c r="CY45" s="1">
        <f t="shared" si="21"/>
        <v>48.944444444444443</v>
      </c>
      <c r="CZ45" s="1">
        <f t="shared" si="21"/>
        <v>49.452777777777776</v>
      </c>
      <c r="DA45" s="1">
        <f t="shared" si="21"/>
        <v>49.961111111111109</v>
      </c>
      <c r="DB45" s="1">
        <f t="shared" si="21"/>
        <v>50.469444444444441</v>
      </c>
      <c r="DC45" s="1">
        <f t="shared" si="21"/>
        <v>50.469444444444441</v>
      </c>
    </row>
    <row r="46" spans="1:107" x14ac:dyDescent="0.25">
      <c r="A46">
        <f t="shared" si="7"/>
        <v>6</v>
      </c>
      <c r="B46" s="2">
        <f>yields_BRUTE!B46</f>
        <v>42069</v>
      </c>
      <c r="C46" s="1">
        <f t="shared" si="23"/>
        <v>-1.3888888888888888E-2</v>
      </c>
      <c r="D46" s="1">
        <f t="shared" si="23"/>
        <v>2.5000000000000001E-2</v>
      </c>
      <c r="E46" s="1">
        <f t="shared" si="23"/>
        <v>0.24166666666666667</v>
      </c>
      <c r="F46" s="1">
        <f t="shared" si="23"/>
        <v>0.49722222222222223</v>
      </c>
      <c r="G46" s="1">
        <f t="shared" si="23"/>
        <v>0.53611111111111109</v>
      </c>
      <c r="H46" s="1">
        <f t="shared" si="23"/>
        <v>0.75</v>
      </c>
      <c r="I46" s="1">
        <f t="shared" si="23"/>
        <v>0.75</v>
      </c>
      <c r="J46" s="1">
        <f t="shared" si="23"/>
        <v>1.0027777777777778</v>
      </c>
      <c r="K46" s="1">
        <f t="shared" si="23"/>
        <v>1.0416666666666667</v>
      </c>
      <c r="L46" s="1">
        <f t="shared" si="23"/>
        <v>1.2583333333333333</v>
      </c>
      <c r="M46" s="1">
        <f t="shared" si="23"/>
        <v>1.5138888888888888</v>
      </c>
      <c r="N46" s="1">
        <f t="shared" si="23"/>
        <v>1.5138888888888888</v>
      </c>
      <c r="O46" s="1">
        <f t="shared" si="23"/>
        <v>1.5527777777777778</v>
      </c>
      <c r="P46" s="1">
        <f t="shared" si="23"/>
        <v>1.7666666666666666</v>
      </c>
      <c r="Q46" s="1">
        <f t="shared" si="23"/>
        <v>2.0555555555555554</v>
      </c>
      <c r="R46" s="1">
        <f t="shared" si="22"/>
        <v>2.2722222222222221</v>
      </c>
      <c r="S46" s="1">
        <f t="shared" si="16"/>
        <v>2.5666666666666669</v>
      </c>
      <c r="T46" s="1">
        <f t="shared" si="16"/>
        <v>2.7805555555555554</v>
      </c>
      <c r="U46" s="1">
        <f t="shared" si="16"/>
        <v>3.0694444444444446</v>
      </c>
      <c r="V46" s="1">
        <f t="shared" si="16"/>
        <v>3.286111111111111</v>
      </c>
      <c r="W46" s="1">
        <f t="shared" si="16"/>
        <v>3.5805555555555557</v>
      </c>
      <c r="X46" s="1">
        <f t="shared" si="16"/>
        <v>3.7944444444444443</v>
      </c>
      <c r="Y46" s="1">
        <f t="shared" si="16"/>
        <v>4.083333333333333</v>
      </c>
      <c r="Z46" s="1">
        <f t="shared" si="16"/>
        <v>4.3</v>
      </c>
      <c r="AA46" s="1">
        <f t="shared" si="16"/>
        <v>4.5944444444444441</v>
      </c>
      <c r="AB46" s="1">
        <f t="shared" si="16"/>
        <v>4.8083333333333336</v>
      </c>
      <c r="AC46" s="1">
        <f t="shared" si="16"/>
        <v>5.0999999999999996</v>
      </c>
      <c r="AD46" s="1">
        <f t="shared" si="16"/>
        <v>5.3166666666666664</v>
      </c>
      <c r="AE46" s="1">
        <f t="shared" si="16"/>
        <v>5.3166666666666664</v>
      </c>
      <c r="AF46" s="3">
        <f t="shared" si="16"/>
        <v>5.6111111111111107</v>
      </c>
      <c r="AG46" s="1">
        <f t="shared" si="16"/>
        <v>5.8250000000000002</v>
      </c>
      <c r="AH46" s="1">
        <f t="shared" si="16"/>
        <v>6.1138888888888889</v>
      </c>
      <c r="AI46" s="1">
        <f t="shared" si="17"/>
        <v>6.1138888888888889</v>
      </c>
      <c r="AJ46" s="1">
        <f t="shared" si="17"/>
        <v>6.3305555555555557</v>
      </c>
      <c r="AK46" s="1">
        <f t="shared" si="17"/>
        <v>6.3305555555555557</v>
      </c>
      <c r="AL46" s="1">
        <f t="shared" si="17"/>
        <v>6.8388888888888886</v>
      </c>
      <c r="AM46" s="1">
        <f t="shared" si="17"/>
        <v>7.3444444444444441</v>
      </c>
      <c r="AN46" s="1">
        <f t="shared" si="17"/>
        <v>7.3444444444444441</v>
      </c>
      <c r="AO46" s="1">
        <f t="shared" si="17"/>
        <v>7.8527777777777779</v>
      </c>
      <c r="AP46" s="1">
        <f t="shared" si="17"/>
        <v>8.3583333333333325</v>
      </c>
      <c r="AQ46" s="1">
        <f t="shared" si="17"/>
        <v>8.3583333333333325</v>
      </c>
      <c r="AR46" s="1">
        <f t="shared" si="17"/>
        <v>8.8666666666666671</v>
      </c>
      <c r="AS46" s="1">
        <f t="shared" si="17"/>
        <v>9.375</v>
      </c>
      <c r="AT46" s="1">
        <f t="shared" si="17"/>
        <v>9.8833333333333329</v>
      </c>
      <c r="AU46" s="1">
        <f t="shared" si="17"/>
        <v>10.388888888888889</v>
      </c>
      <c r="AV46" s="1">
        <f t="shared" si="17"/>
        <v>10.388888888888889</v>
      </c>
      <c r="AW46" s="1">
        <f t="shared" si="17"/>
        <v>14.955555555555556</v>
      </c>
      <c r="AX46" s="1">
        <f t="shared" si="17"/>
        <v>15.46111111111111</v>
      </c>
      <c r="AY46" s="1">
        <f t="shared" si="18"/>
        <v>15.969444444444445</v>
      </c>
      <c r="AZ46" s="1">
        <f t="shared" si="18"/>
        <v>16.475000000000001</v>
      </c>
      <c r="BA46" s="1">
        <f t="shared" si="18"/>
        <v>16.983333333333334</v>
      </c>
      <c r="BB46" s="1">
        <f t="shared" si="18"/>
        <v>17.491666666666667</v>
      </c>
      <c r="BC46" s="1">
        <f t="shared" si="18"/>
        <v>18</v>
      </c>
      <c r="BD46" s="1">
        <f t="shared" si="18"/>
        <v>18.505555555555556</v>
      </c>
      <c r="BE46" s="1">
        <f t="shared" si="18"/>
        <v>18.505555555555556</v>
      </c>
      <c r="BF46" s="1">
        <f t="shared" si="18"/>
        <v>27.130555555555556</v>
      </c>
      <c r="BG46" s="1">
        <f t="shared" si="18"/>
        <v>27.636111111111113</v>
      </c>
      <c r="BH46" s="1">
        <f t="shared" si="18"/>
        <v>28.144444444444446</v>
      </c>
      <c r="BI46" s="1">
        <f t="shared" si="18"/>
        <v>28.65</v>
      </c>
      <c r="BJ46" s="1">
        <f t="shared" si="18"/>
        <v>29.158333333333335</v>
      </c>
      <c r="BK46" s="1">
        <f t="shared" si="18"/>
        <v>29.666666666666668</v>
      </c>
      <c r="BL46" s="1">
        <f t="shared" si="18"/>
        <v>30.175000000000001</v>
      </c>
      <c r="BM46" s="1">
        <f t="shared" si="18"/>
        <v>30.680555555555557</v>
      </c>
      <c r="BN46" s="1">
        <f t="shared" si="18"/>
        <v>31.18888888888889</v>
      </c>
      <c r="BO46" s="1">
        <f t="shared" si="19"/>
        <v>31.18888888888889</v>
      </c>
      <c r="BP46" s="1">
        <f t="shared" si="19"/>
        <v>31.694444444444443</v>
      </c>
      <c r="BQ46" s="1">
        <f t="shared" si="19"/>
        <v>32.202777777777776</v>
      </c>
      <c r="BR46" s="1">
        <f t="shared" si="19"/>
        <v>32.708333333333336</v>
      </c>
      <c r="BS46" s="1">
        <f t="shared" si="19"/>
        <v>33.216666666666669</v>
      </c>
      <c r="BT46" s="1">
        <f t="shared" si="19"/>
        <v>33.725000000000001</v>
      </c>
      <c r="BU46" s="1">
        <f t="shared" si="19"/>
        <v>34.233333333333334</v>
      </c>
      <c r="BV46" s="1">
        <f t="shared" si="19"/>
        <v>34.233333333333334</v>
      </c>
      <c r="BW46" s="1">
        <f t="shared" si="19"/>
        <v>34.738888888888887</v>
      </c>
      <c r="BX46" s="1">
        <f t="shared" si="19"/>
        <v>35.24722222222222</v>
      </c>
      <c r="BY46" s="1">
        <f t="shared" si="19"/>
        <v>35.75277777777778</v>
      </c>
      <c r="BZ46" s="1">
        <f t="shared" si="19"/>
        <v>36.261111111111113</v>
      </c>
      <c r="CA46" s="1">
        <f t="shared" si="19"/>
        <v>36.766666666666666</v>
      </c>
      <c r="CB46" s="1">
        <f t="shared" si="19"/>
        <v>37.274999999999999</v>
      </c>
      <c r="CC46" s="1">
        <f t="shared" si="19"/>
        <v>37.783333333333331</v>
      </c>
      <c r="CD46" s="1">
        <f t="shared" si="19"/>
        <v>38.291666666666664</v>
      </c>
      <c r="CE46" s="1">
        <f t="shared" si="20"/>
        <v>38.797222222222224</v>
      </c>
      <c r="CF46" s="1">
        <f t="shared" si="20"/>
        <v>39.305555555555557</v>
      </c>
      <c r="CG46" s="1">
        <f t="shared" si="20"/>
        <v>39.81111111111111</v>
      </c>
      <c r="CH46" s="1">
        <f t="shared" si="20"/>
        <v>40.319444444444443</v>
      </c>
      <c r="CI46" s="1">
        <f t="shared" si="20"/>
        <v>40.825000000000003</v>
      </c>
      <c r="CJ46" s="1">
        <f t="shared" si="20"/>
        <v>41.333333333333336</v>
      </c>
      <c r="CK46" s="1">
        <f t="shared" si="20"/>
        <v>41.841666666666669</v>
      </c>
      <c r="CL46" s="1">
        <f t="shared" si="20"/>
        <v>42.35</v>
      </c>
      <c r="CM46" s="1">
        <f t="shared" si="20"/>
        <v>42.855555555555554</v>
      </c>
      <c r="CN46" s="1">
        <f t="shared" si="20"/>
        <v>43.363888888888887</v>
      </c>
      <c r="CO46" s="1">
        <f t="shared" si="20"/>
        <v>43.869444444444447</v>
      </c>
      <c r="CP46" s="1">
        <f t="shared" si="20"/>
        <v>44.37777777777778</v>
      </c>
      <c r="CQ46" s="1">
        <f t="shared" si="20"/>
        <v>44.883333333333333</v>
      </c>
      <c r="CR46" s="1">
        <f t="shared" si="20"/>
        <v>45.391666666666666</v>
      </c>
      <c r="CS46" s="1">
        <f t="shared" si="20"/>
        <v>45.9</v>
      </c>
      <c r="CT46" s="1">
        <f t="shared" si="20"/>
        <v>46.408333333333331</v>
      </c>
      <c r="CU46" s="1">
        <f t="shared" si="21"/>
        <v>46.913888888888891</v>
      </c>
      <c r="CV46" s="1">
        <f t="shared" si="21"/>
        <v>47.422222222222224</v>
      </c>
      <c r="CW46" s="1">
        <f t="shared" si="21"/>
        <v>47.927777777777777</v>
      </c>
      <c r="CX46" s="1">
        <f t="shared" si="21"/>
        <v>48.43611111111111</v>
      </c>
      <c r="CY46" s="1">
        <f t="shared" si="21"/>
        <v>48.94166666666667</v>
      </c>
      <c r="CZ46" s="1">
        <f t="shared" si="21"/>
        <v>49.45</v>
      </c>
      <c r="DA46" s="1">
        <f t="shared" si="21"/>
        <v>49.958333333333336</v>
      </c>
      <c r="DB46" s="1">
        <f t="shared" si="21"/>
        <v>50.466666666666669</v>
      </c>
      <c r="DC46" s="1">
        <f t="shared" si="21"/>
        <v>50.466666666666669</v>
      </c>
    </row>
    <row r="47" spans="1:107" x14ac:dyDescent="0.25">
      <c r="A47">
        <f t="shared" si="7"/>
        <v>2</v>
      </c>
      <c r="B47" s="2">
        <f>yields_BRUTE!B47</f>
        <v>42072</v>
      </c>
      <c r="C47" s="1">
        <f t="shared" si="23"/>
        <v>-2.2222222222222223E-2</v>
      </c>
      <c r="D47" s="1">
        <f t="shared" si="23"/>
        <v>1.6666666666666666E-2</v>
      </c>
      <c r="E47" s="1">
        <f t="shared" si="23"/>
        <v>0.23333333333333334</v>
      </c>
      <c r="F47" s="1">
        <f t="shared" si="23"/>
        <v>0.48888888888888887</v>
      </c>
      <c r="G47" s="1">
        <f t="shared" si="23"/>
        <v>0.52777777777777779</v>
      </c>
      <c r="H47" s="1">
        <f t="shared" si="23"/>
        <v>0.7416666666666667</v>
      </c>
      <c r="I47" s="1">
        <f t="shared" si="23"/>
        <v>0.7416666666666667</v>
      </c>
      <c r="J47" s="1">
        <f t="shared" si="23"/>
        <v>0.99444444444444446</v>
      </c>
      <c r="K47" s="1">
        <f t="shared" si="23"/>
        <v>1.0333333333333334</v>
      </c>
      <c r="L47" s="1">
        <f t="shared" si="23"/>
        <v>1.25</v>
      </c>
      <c r="M47" s="1">
        <f t="shared" si="23"/>
        <v>1.5055555555555555</v>
      </c>
      <c r="N47" s="1">
        <f t="shared" si="23"/>
        <v>1.5055555555555555</v>
      </c>
      <c r="O47" s="1">
        <f t="shared" si="23"/>
        <v>1.5444444444444445</v>
      </c>
      <c r="P47" s="1">
        <f t="shared" si="23"/>
        <v>1.7583333333333333</v>
      </c>
      <c r="Q47" s="1">
        <f t="shared" si="23"/>
        <v>2.0472222222222221</v>
      </c>
      <c r="R47" s="1">
        <f t="shared" si="22"/>
        <v>2.2638888888888888</v>
      </c>
      <c r="S47" s="1">
        <f t="shared" si="16"/>
        <v>2.5583333333333331</v>
      </c>
      <c r="T47" s="1">
        <f t="shared" si="16"/>
        <v>2.7722222222222221</v>
      </c>
      <c r="U47" s="1">
        <f t="shared" si="16"/>
        <v>3.0611111111111109</v>
      </c>
      <c r="V47" s="1">
        <f t="shared" si="16"/>
        <v>3.2777777777777777</v>
      </c>
      <c r="W47" s="1">
        <f t="shared" si="16"/>
        <v>3.5722222222222224</v>
      </c>
      <c r="X47" s="1">
        <f t="shared" si="16"/>
        <v>3.786111111111111</v>
      </c>
      <c r="Y47" s="1">
        <f t="shared" si="16"/>
        <v>4.0750000000000002</v>
      </c>
      <c r="Z47" s="1">
        <f t="shared" si="16"/>
        <v>4.291666666666667</v>
      </c>
      <c r="AA47" s="1">
        <f t="shared" si="16"/>
        <v>4.5861111111111112</v>
      </c>
      <c r="AB47" s="1">
        <f t="shared" si="16"/>
        <v>4.8</v>
      </c>
      <c r="AC47" s="1">
        <f t="shared" si="16"/>
        <v>5.0916666666666668</v>
      </c>
      <c r="AD47" s="1">
        <f t="shared" si="16"/>
        <v>5.3083333333333336</v>
      </c>
      <c r="AE47" s="1">
        <f t="shared" si="16"/>
        <v>5.3083333333333336</v>
      </c>
      <c r="AF47" s="3">
        <f t="shared" si="16"/>
        <v>5.6027777777777779</v>
      </c>
      <c r="AG47" s="1">
        <f t="shared" si="16"/>
        <v>5.8166666666666664</v>
      </c>
      <c r="AH47" s="1">
        <f t="shared" si="16"/>
        <v>6.1055555555555552</v>
      </c>
      <c r="AI47" s="1">
        <f t="shared" si="17"/>
        <v>6.1055555555555552</v>
      </c>
      <c r="AJ47" s="1">
        <f t="shared" si="17"/>
        <v>6.322222222222222</v>
      </c>
      <c r="AK47" s="1">
        <f t="shared" si="17"/>
        <v>6.322222222222222</v>
      </c>
      <c r="AL47" s="1">
        <f t="shared" si="17"/>
        <v>6.8305555555555557</v>
      </c>
      <c r="AM47" s="1">
        <f t="shared" si="17"/>
        <v>7.3361111111111112</v>
      </c>
      <c r="AN47" s="1">
        <f t="shared" si="17"/>
        <v>7.3361111111111112</v>
      </c>
      <c r="AO47" s="1">
        <f t="shared" si="17"/>
        <v>7.8444444444444441</v>
      </c>
      <c r="AP47" s="1">
        <f t="shared" si="17"/>
        <v>8.35</v>
      </c>
      <c r="AQ47" s="1">
        <f t="shared" si="17"/>
        <v>8.35</v>
      </c>
      <c r="AR47" s="1">
        <f t="shared" si="17"/>
        <v>8.8583333333333325</v>
      </c>
      <c r="AS47" s="1">
        <f t="shared" si="17"/>
        <v>9.3666666666666671</v>
      </c>
      <c r="AT47" s="1">
        <f t="shared" si="17"/>
        <v>9.875</v>
      </c>
      <c r="AU47" s="1">
        <f t="shared" si="17"/>
        <v>10.380555555555556</v>
      </c>
      <c r="AV47" s="1">
        <f t="shared" si="17"/>
        <v>10.380555555555556</v>
      </c>
      <c r="AW47" s="1">
        <f t="shared" si="17"/>
        <v>14.947222222222223</v>
      </c>
      <c r="AX47" s="1">
        <f t="shared" si="17"/>
        <v>15.452777777777778</v>
      </c>
      <c r="AY47" s="1">
        <f t="shared" si="18"/>
        <v>15.96111111111111</v>
      </c>
      <c r="AZ47" s="1">
        <f t="shared" si="18"/>
        <v>16.466666666666665</v>
      </c>
      <c r="BA47" s="1">
        <f t="shared" si="18"/>
        <v>16.975000000000001</v>
      </c>
      <c r="BB47" s="1">
        <f t="shared" si="18"/>
        <v>17.483333333333334</v>
      </c>
      <c r="BC47" s="1">
        <f t="shared" si="18"/>
        <v>17.991666666666667</v>
      </c>
      <c r="BD47" s="1">
        <f t="shared" si="18"/>
        <v>18.497222222222224</v>
      </c>
      <c r="BE47" s="1">
        <f t="shared" si="18"/>
        <v>18.497222222222224</v>
      </c>
      <c r="BF47" s="1">
        <f t="shared" si="18"/>
        <v>27.122222222222224</v>
      </c>
      <c r="BG47" s="1">
        <f t="shared" si="18"/>
        <v>27.627777777777776</v>
      </c>
      <c r="BH47" s="1">
        <f t="shared" si="18"/>
        <v>28.136111111111113</v>
      </c>
      <c r="BI47" s="1">
        <f t="shared" si="18"/>
        <v>28.641666666666666</v>
      </c>
      <c r="BJ47" s="1">
        <f t="shared" si="18"/>
        <v>29.15</v>
      </c>
      <c r="BK47" s="1">
        <f t="shared" si="18"/>
        <v>29.658333333333335</v>
      </c>
      <c r="BL47" s="1">
        <f t="shared" si="18"/>
        <v>30.166666666666668</v>
      </c>
      <c r="BM47" s="1">
        <f t="shared" si="18"/>
        <v>30.672222222222221</v>
      </c>
      <c r="BN47" s="1">
        <f t="shared" si="18"/>
        <v>31.180555555555557</v>
      </c>
      <c r="BO47" s="1">
        <f t="shared" si="19"/>
        <v>31.180555555555557</v>
      </c>
      <c r="BP47" s="1">
        <f t="shared" si="19"/>
        <v>31.68611111111111</v>
      </c>
      <c r="BQ47" s="1">
        <f t="shared" si="19"/>
        <v>32.194444444444443</v>
      </c>
      <c r="BR47" s="1">
        <f t="shared" si="19"/>
        <v>32.700000000000003</v>
      </c>
      <c r="BS47" s="1">
        <f t="shared" si="19"/>
        <v>33.208333333333336</v>
      </c>
      <c r="BT47" s="1">
        <f t="shared" si="19"/>
        <v>33.716666666666669</v>
      </c>
      <c r="BU47" s="1">
        <f t="shared" si="19"/>
        <v>34.225000000000001</v>
      </c>
      <c r="BV47" s="1">
        <f t="shared" si="19"/>
        <v>34.225000000000001</v>
      </c>
      <c r="BW47" s="1">
        <f t="shared" si="19"/>
        <v>34.730555555555554</v>
      </c>
      <c r="BX47" s="1">
        <f t="shared" si="19"/>
        <v>35.238888888888887</v>
      </c>
      <c r="BY47" s="1">
        <f t="shared" si="19"/>
        <v>35.744444444444447</v>
      </c>
      <c r="BZ47" s="1">
        <f t="shared" si="19"/>
        <v>36.25277777777778</v>
      </c>
      <c r="CA47" s="1">
        <f t="shared" si="19"/>
        <v>36.758333333333333</v>
      </c>
      <c r="CB47" s="1">
        <f t="shared" si="19"/>
        <v>37.266666666666666</v>
      </c>
      <c r="CC47" s="1">
        <f t="shared" si="19"/>
        <v>37.774999999999999</v>
      </c>
      <c r="CD47" s="1">
        <f t="shared" si="19"/>
        <v>38.283333333333331</v>
      </c>
      <c r="CE47" s="1">
        <f t="shared" si="20"/>
        <v>38.788888888888891</v>
      </c>
      <c r="CF47" s="1">
        <f t="shared" si="20"/>
        <v>39.297222222222224</v>
      </c>
      <c r="CG47" s="1">
        <f t="shared" si="20"/>
        <v>39.802777777777777</v>
      </c>
      <c r="CH47" s="1">
        <f t="shared" si="20"/>
        <v>40.31111111111111</v>
      </c>
      <c r="CI47" s="1">
        <f t="shared" si="20"/>
        <v>40.81666666666667</v>
      </c>
      <c r="CJ47" s="1">
        <f t="shared" si="20"/>
        <v>41.325000000000003</v>
      </c>
      <c r="CK47" s="1">
        <f t="shared" si="20"/>
        <v>41.833333333333336</v>
      </c>
      <c r="CL47" s="1">
        <f t="shared" si="20"/>
        <v>42.341666666666669</v>
      </c>
      <c r="CM47" s="1">
        <f t="shared" si="20"/>
        <v>42.847222222222221</v>
      </c>
      <c r="CN47" s="1">
        <f t="shared" si="20"/>
        <v>43.355555555555554</v>
      </c>
      <c r="CO47" s="1">
        <f t="shared" si="20"/>
        <v>43.861111111111114</v>
      </c>
      <c r="CP47" s="1">
        <f t="shared" si="20"/>
        <v>44.369444444444447</v>
      </c>
      <c r="CQ47" s="1">
        <f t="shared" si="20"/>
        <v>44.875</v>
      </c>
      <c r="CR47" s="1">
        <f t="shared" si="20"/>
        <v>45.383333333333333</v>
      </c>
      <c r="CS47" s="1">
        <f t="shared" si="20"/>
        <v>45.891666666666666</v>
      </c>
      <c r="CT47" s="1">
        <f t="shared" si="20"/>
        <v>46.4</v>
      </c>
      <c r="CU47" s="1">
        <f t="shared" si="21"/>
        <v>46.905555555555559</v>
      </c>
      <c r="CV47" s="1">
        <f t="shared" si="21"/>
        <v>47.413888888888891</v>
      </c>
      <c r="CW47" s="1">
        <f t="shared" si="21"/>
        <v>47.919444444444444</v>
      </c>
      <c r="CX47" s="1">
        <f t="shared" si="21"/>
        <v>48.427777777777777</v>
      </c>
      <c r="CY47" s="1">
        <f t="shared" si="21"/>
        <v>48.93333333333333</v>
      </c>
      <c r="CZ47" s="1">
        <f t="shared" si="21"/>
        <v>49.44166666666667</v>
      </c>
      <c r="DA47" s="1">
        <f t="shared" si="21"/>
        <v>49.95</v>
      </c>
      <c r="DB47" s="1">
        <f t="shared" si="21"/>
        <v>50.458333333333336</v>
      </c>
      <c r="DC47" s="1">
        <f t="shared" si="21"/>
        <v>50.458333333333336</v>
      </c>
    </row>
    <row r="48" spans="1:107" x14ac:dyDescent="0.25">
      <c r="A48">
        <f t="shared" si="7"/>
        <v>3</v>
      </c>
      <c r="B48" s="2">
        <f>yields_BRUTE!B48</f>
        <v>42073</v>
      </c>
      <c r="C48" s="1">
        <f t="shared" si="23"/>
        <v>-2.5000000000000001E-2</v>
      </c>
      <c r="D48" s="1">
        <f t="shared" si="23"/>
        <v>1.3888888888888888E-2</v>
      </c>
      <c r="E48" s="1">
        <f t="shared" si="23"/>
        <v>0.23055555555555557</v>
      </c>
      <c r="F48" s="1">
        <f t="shared" si="23"/>
        <v>0.4861111111111111</v>
      </c>
      <c r="G48" s="1">
        <f t="shared" si="23"/>
        <v>0.52500000000000002</v>
      </c>
      <c r="H48" s="1">
        <f t="shared" si="23"/>
        <v>0.73888888888888893</v>
      </c>
      <c r="I48" s="1">
        <f t="shared" si="23"/>
        <v>0.73888888888888893</v>
      </c>
      <c r="J48" s="1">
        <f t="shared" si="23"/>
        <v>0.9916666666666667</v>
      </c>
      <c r="K48" s="1">
        <f t="shared" si="23"/>
        <v>1.0305555555555554</v>
      </c>
      <c r="L48" s="1">
        <f t="shared" si="23"/>
        <v>1.2472222222222222</v>
      </c>
      <c r="M48" s="1">
        <f t="shared" si="23"/>
        <v>1.5027777777777778</v>
      </c>
      <c r="N48" s="1">
        <f t="shared" si="23"/>
        <v>1.5027777777777778</v>
      </c>
      <c r="O48" s="1">
        <f t="shared" si="23"/>
        <v>1.5416666666666667</v>
      </c>
      <c r="P48" s="1">
        <f t="shared" si="23"/>
        <v>1.7555555555555555</v>
      </c>
      <c r="Q48" s="1">
        <f t="shared" si="23"/>
        <v>2.0444444444444443</v>
      </c>
      <c r="R48" s="1">
        <f t="shared" si="22"/>
        <v>2.2611111111111111</v>
      </c>
      <c r="S48" s="1">
        <f t="shared" si="16"/>
        <v>2.5555555555555554</v>
      </c>
      <c r="T48" s="1">
        <f t="shared" si="16"/>
        <v>2.7694444444444444</v>
      </c>
      <c r="U48" s="1">
        <f t="shared" si="16"/>
        <v>3.0583333333333331</v>
      </c>
      <c r="V48" s="1">
        <f t="shared" si="16"/>
        <v>3.2749999999999999</v>
      </c>
      <c r="W48" s="1">
        <f t="shared" si="16"/>
        <v>3.5694444444444446</v>
      </c>
      <c r="X48" s="1">
        <f t="shared" si="16"/>
        <v>3.7833333333333332</v>
      </c>
      <c r="Y48" s="1">
        <f t="shared" si="16"/>
        <v>4.072222222222222</v>
      </c>
      <c r="Z48" s="1">
        <f t="shared" si="16"/>
        <v>4.2888888888888888</v>
      </c>
      <c r="AA48" s="1">
        <f t="shared" si="16"/>
        <v>4.583333333333333</v>
      </c>
      <c r="AB48" s="1">
        <f t="shared" si="16"/>
        <v>4.7972222222222225</v>
      </c>
      <c r="AC48" s="1">
        <f t="shared" si="16"/>
        <v>5.0888888888888886</v>
      </c>
      <c r="AD48" s="1">
        <f t="shared" si="16"/>
        <v>5.3055555555555554</v>
      </c>
      <c r="AE48" s="1">
        <f t="shared" si="16"/>
        <v>5.3055555555555554</v>
      </c>
      <c r="AF48" s="3">
        <f t="shared" si="16"/>
        <v>5.6</v>
      </c>
      <c r="AG48" s="1">
        <f t="shared" si="16"/>
        <v>5.8138888888888891</v>
      </c>
      <c r="AH48" s="1">
        <f t="shared" ref="AH48:AW63" si="24">(AH$1-$B48)/360</f>
        <v>6.1027777777777779</v>
      </c>
      <c r="AI48" s="1">
        <f t="shared" si="17"/>
        <v>6.1027777777777779</v>
      </c>
      <c r="AJ48" s="1">
        <f t="shared" si="17"/>
        <v>6.3194444444444446</v>
      </c>
      <c r="AK48" s="1">
        <f t="shared" si="17"/>
        <v>6.3194444444444446</v>
      </c>
      <c r="AL48" s="1">
        <f t="shared" si="17"/>
        <v>6.8277777777777775</v>
      </c>
      <c r="AM48" s="1">
        <f t="shared" si="17"/>
        <v>7.333333333333333</v>
      </c>
      <c r="AN48" s="1">
        <f t="shared" si="17"/>
        <v>7.333333333333333</v>
      </c>
      <c r="AO48" s="1">
        <f t="shared" si="17"/>
        <v>7.8416666666666668</v>
      </c>
      <c r="AP48" s="1">
        <f t="shared" si="17"/>
        <v>8.3472222222222214</v>
      </c>
      <c r="AQ48" s="1">
        <f t="shared" si="17"/>
        <v>8.3472222222222214</v>
      </c>
      <c r="AR48" s="1">
        <f t="shared" si="17"/>
        <v>8.8555555555555561</v>
      </c>
      <c r="AS48" s="1">
        <f t="shared" si="17"/>
        <v>9.3638888888888889</v>
      </c>
      <c r="AT48" s="1">
        <f t="shared" si="17"/>
        <v>9.8722222222222218</v>
      </c>
      <c r="AU48" s="1">
        <f t="shared" si="17"/>
        <v>10.377777777777778</v>
      </c>
      <c r="AV48" s="1">
        <f t="shared" si="17"/>
        <v>10.377777777777778</v>
      </c>
      <c r="AW48" s="1">
        <f t="shared" si="17"/>
        <v>14.944444444444445</v>
      </c>
      <c r="AX48" s="1">
        <f t="shared" ref="AX48:BM63" si="25">(AX$1-$B48)/360</f>
        <v>15.45</v>
      </c>
      <c r="AY48" s="1">
        <f t="shared" si="18"/>
        <v>15.958333333333334</v>
      </c>
      <c r="AZ48" s="1">
        <f t="shared" si="18"/>
        <v>16.463888888888889</v>
      </c>
      <c r="BA48" s="1">
        <f t="shared" si="18"/>
        <v>16.972222222222221</v>
      </c>
      <c r="BB48" s="1">
        <f t="shared" si="18"/>
        <v>17.480555555555554</v>
      </c>
      <c r="BC48" s="1">
        <f t="shared" si="18"/>
        <v>17.988888888888887</v>
      </c>
      <c r="BD48" s="1">
        <f t="shared" si="18"/>
        <v>18.494444444444444</v>
      </c>
      <c r="BE48" s="1">
        <f t="shared" si="18"/>
        <v>18.494444444444444</v>
      </c>
      <c r="BF48" s="1">
        <f t="shared" si="18"/>
        <v>27.119444444444444</v>
      </c>
      <c r="BG48" s="1">
        <f t="shared" si="18"/>
        <v>27.625</v>
      </c>
      <c r="BH48" s="1">
        <f t="shared" si="18"/>
        <v>28.133333333333333</v>
      </c>
      <c r="BI48" s="1">
        <f t="shared" si="18"/>
        <v>28.638888888888889</v>
      </c>
      <c r="BJ48" s="1">
        <f t="shared" si="18"/>
        <v>29.147222222222222</v>
      </c>
      <c r="BK48" s="1">
        <f t="shared" si="18"/>
        <v>29.655555555555555</v>
      </c>
      <c r="BL48" s="1">
        <f t="shared" si="18"/>
        <v>30.163888888888888</v>
      </c>
      <c r="BM48" s="1">
        <f t="shared" si="18"/>
        <v>30.669444444444444</v>
      </c>
      <c r="BN48" s="1">
        <f t="shared" ref="BN48:CC63" si="26">(BN$1-$B48)/360</f>
        <v>31.177777777777777</v>
      </c>
      <c r="BO48" s="1">
        <f t="shared" si="19"/>
        <v>31.177777777777777</v>
      </c>
      <c r="BP48" s="1">
        <f t="shared" si="19"/>
        <v>31.683333333333334</v>
      </c>
      <c r="BQ48" s="1">
        <f t="shared" si="19"/>
        <v>32.19166666666667</v>
      </c>
      <c r="BR48" s="1">
        <f t="shared" si="19"/>
        <v>32.697222222222223</v>
      </c>
      <c r="BS48" s="1">
        <f t="shared" si="19"/>
        <v>33.205555555555556</v>
      </c>
      <c r="BT48" s="1">
        <f t="shared" si="19"/>
        <v>33.713888888888889</v>
      </c>
      <c r="BU48" s="1">
        <f t="shared" si="19"/>
        <v>34.222222222222221</v>
      </c>
      <c r="BV48" s="1">
        <f t="shared" si="19"/>
        <v>34.222222222222221</v>
      </c>
      <c r="BW48" s="1">
        <f t="shared" si="19"/>
        <v>34.727777777777774</v>
      </c>
      <c r="BX48" s="1">
        <f t="shared" si="19"/>
        <v>35.236111111111114</v>
      </c>
      <c r="BY48" s="1">
        <f t="shared" si="19"/>
        <v>35.741666666666667</v>
      </c>
      <c r="BZ48" s="1">
        <f t="shared" si="19"/>
        <v>36.25</v>
      </c>
      <c r="CA48" s="1">
        <f t="shared" si="19"/>
        <v>36.755555555555553</v>
      </c>
      <c r="CB48" s="1">
        <f t="shared" si="19"/>
        <v>37.263888888888886</v>
      </c>
      <c r="CC48" s="1">
        <f t="shared" si="19"/>
        <v>37.772222222222226</v>
      </c>
      <c r="CD48" s="1">
        <f t="shared" ref="CD48:CS63" si="27">(CD$1-$B48)/360</f>
        <v>38.280555555555559</v>
      </c>
      <c r="CE48" s="1">
        <f t="shared" si="20"/>
        <v>38.786111111111111</v>
      </c>
      <c r="CF48" s="1">
        <f t="shared" si="20"/>
        <v>39.294444444444444</v>
      </c>
      <c r="CG48" s="1">
        <f t="shared" si="20"/>
        <v>39.799999999999997</v>
      </c>
      <c r="CH48" s="1">
        <f t="shared" si="20"/>
        <v>40.30833333333333</v>
      </c>
      <c r="CI48" s="1">
        <f t="shared" si="20"/>
        <v>40.81388888888889</v>
      </c>
      <c r="CJ48" s="1">
        <f t="shared" si="20"/>
        <v>41.322222222222223</v>
      </c>
      <c r="CK48" s="1">
        <f t="shared" si="20"/>
        <v>41.830555555555556</v>
      </c>
      <c r="CL48" s="1">
        <f t="shared" si="20"/>
        <v>42.338888888888889</v>
      </c>
      <c r="CM48" s="1">
        <f t="shared" si="20"/>
        <v>42.844444444444441</v>
      </c>
      <c r="CN48" s="1">
        <f t="shared" si="20"/>
        <v>43.352777777777774</v>
      </c>
      <c r="CO48" s="1">
        <f t="shared" si="20"/>
        <v>43.858333333333334</v>
      </c>
      <c r="CP48" s="1">
        <f t="shared" si="20"/>
        <v>44.366666666666667</v>
      </c>
      <c r="CQ48" s="1">
        <f t="shared" si="20"/>
        <v>44.87222222222222</v>
      </c>
      <c r="CR48" s="1">
        <f t="shared" si="20"/>
        <v>45.380555555555553</v>
      </c>
      <c r="CS48" s="1">
        <f t="shared" si="20"/>
        <v>45.888888888888886</v>
      </c>
      <c r="CT48" s="1">
        <f t="shared" ref="CT48:DC63" si="28">(CT$1-$B48)/360</f>
        <v>46.397222222222226</v>
      </c>
      <c r="CU48" s="1">
        <f t="shared" si="21"/>
        <v>46.902777777777779</v>
      </c>
      <c r="CV48" s="1">
        <f t="shared" si="21"/>
        <v>47.411111111111111</v>
      </c>
      <c r="CW48" s="1">
        <f t="shared" si="21"/>
        <v>47.916666666666664</v>
      </c>
      <c r="CX48" s="1">
        <f t="shared" si="21"/>
        <v>48.424999999999997</v>
      </c>
      <c r="CY48" s="1">
        <f t="shared" si="21"/>
        <v>48.930555555555557</v>
      </c>
      <c r="CZ48" s="1">
        <f t="shared" si="21"/>
        <v>49.43888888888889</v>
      </c>
      <c r="DA48" s="1">
        <f t="shared" si="21"/>
        <v>49.947222222222223</v>
      </c>
      <c r="DB48" s="1">
        <f t="shared" si="21"/>
        <v>50.455555555555556</v>
      </c>
      <c r="DC48" s="1">
        <f t="shared" si="21"/>
        <v>50.455555555555556</v>
      </c>
    </row>
    <row r="49" spans="1:107" x14ac:dyDescent="0.25">
      <c r="A49">
        <f t="shared" si="7"/>
        <v>4</v>
      </c>
      <c r="B49" s="2">
        <f>yields_BRUTE!B49</f>
        <v>42074</v>
      </c>
      <c r="C49" s="1">
        <f t="shared" si="23"/>
        <v>-2.7777777777777776E-2</v>
      </c>
      <c r="D49" s="1">
        <f t="shared" si="23"/>
        <v>1.1111111111111112E-2</v>
      </c>
      <c r="E49" s="1">
        <f t="shared" si="23"/>
        <v>0.22777777777777777</v>
      </c>
      <c r="F49" s="1">
        <f t="shared" si="23"/>
        <v>0.48333333333333334</v>
      </c>
      <c r="G49" s="1">
        <f t="shared" si="23"/>
        <v>0.52222222222222225</v>
      </c>
      <c r="H49" s="1">
        <f t="shared" si="23"/>
        <v>0.73611111111111116</v>
      </c>
      <c r="I49" s="1">
        <f t="shared" si="23"/>
        <v>0.73611111111111116</v>
      </c>
      <c r="J49" s="1">
        <f t="shared" si="23"/>
        <v>0.98888888888888893</v>
      </c>
      <c r="K49" s="1">
        <f t="shared" si="23"/>
        <v>1.0277777777777777</v>
      </c>
      <c r="L49" s="1">
        <f t="shared" si="23"/>
        <v>1.2444444444444445</v>
      </c>
      <c r="M49" s="1">
        <f t="shared" si="23"/>
        <v>1.5</v>
      </c>
      <c r="N49" s="1">
        <f t="shared" si="23"/>
        <v>1.5</v>
      </c>
      <c r="O49" s="1">
        <f t="shared" si="23"/>
        <v>1.538888888888889</v>
      </c>
      <c r="P49" s="1">
        <f t="shared" si="23"/>
        <v>1.7527777777777778</v>
      </c>
      <c r="Q49" s="1">
        <f t="shared" si="23"/>
        <v>2.0416666666666665</v>
      </c>
      <c r="R49" s="1">
        <f t="shared" si="22"/>
        <v>2.2583333333333333</v>
      </c>
      <c r="S49" s="1">
        <f t="shared" si="22"/>
        <v>2.5527777777777776</v>
      </c>
      <c r="T49" s="1">
        <f t="shared" si="22"/>
        <v>2.7666666666666666</v>
      </c>
      <c r="U49" s="1">
        <f t="shared" si="22"/>
        <v>3.0555555555555554</v>
      </c>
      <c r="V49" s="1">
        <f t="shared" si="22"/>
        <v>3.2722222222222221</v>
      </c>
      <c r="W49" s="1">
        <f t="shared" si="22"/>
        <v>3.5666666666666669</v>
      </c>
      <c r="X49" s="1">
        <f t="shared" si="22"/>
        <v>3.7805555555555554</v>
      </c>
      <c r="Y49" s="1">
        <f t="shared" si="22"/>
        <v>4.0694444444444446</v>
      </c>
      <c r="Z49" s="1">
        <f t="shared" si="22"/>
        <v>4.2861111111111114</v>
      </c>
      <c r="AA49" s="1">
        <f t="shared" si="22"/>
        <v>4.5805555555555557</v>
      </c>
      <c r="AB49" s="1">
        <f t="shared" si="22"/>
        <v>4.7944444444444443</v>
      </c>
      <c r="AC49" s="1">
        <f t="shared" si="22"/>
        <v>5.0861111111111112</v>
      </c>
      <c r="AD49" s="1">
        <f t="shared" si="22"/>
        <v>5.302777777777778</v>
      </c>
      <c r="AE49" s="1">
        <f t="shared" si="22"/>
        <v>5.302777777777778</v>
      </c>
      <c r="AF49" s="3">
        <f t="shared" si="22"/>
        <v>5.5972222222222223</v>
      </c>
      <c r="AG49" s="1">
        <f t="shared" si="22"/>
        <v>5.8111111111111109</v>
      </c>
      <c r="AH49" s="1">
        <f t="shared" si="24"/>
        <v>6.1</v>
      </c>
      <c r="AI49" s="1">
        <f t="shared" si="24"/>
        <v>6.1</v>
      </c>
      <c r="AJ49" s="1">
        <f t="shared" si="24"/>
        <v>6.3166666666666664</v>
      </c>
      <c r="AK49" s="1">
        <f t="shared" si="24"/>
        <v>6.3166666666666664</v>
      </c>
      <c r="AL49" s="1">
        <f t="shared" si="24"/>
        <v>6.8250000000000002</v>
      </c>
      <c r="AM49" s="1">
        <f t="shared" si="24"/>
        <v>7.3305555555555557</v>
      </c>
      <c r="AN49" s="1">
        <f t="shared" si="24"/>
        <v>7.3305555555555557</v>
      </c>
      <c r="AO49" s="1">
        <f t="shared" si="24"/>
        <v>7.8388888888888886</v>
      </c>
      <c r="AP49" s="1">
        <f t="shared" si="24"/>
        <v>8.344444444444445</v>
      </c>
      <c r="AQ49" s="1">
        <f t="shared" si="24"/>
        <v>8.344444444444445</v>
      </c>
      <c r="AR49" s="1">
        <f t="shared" si="24"/>
        <v>8.8527777777777779</v>
      </c>
      <c r="AS49" s="1">
        <f t="shared" si="24"/>
        <v>9.3611111111111107</v>
      </c>
      <c r="AT49" s="1">
        <f t="shared" si="24"/>
        <v>9.8694444444444436</v>
      </c>
      <c r="AU49" s="1">
        <f t="shared" si="24"/>
        <v>10.375</v>
      </c>
      <c r="AV49" s="1">
        <f t="shared" si="24"/>
        <v>10.375</v>
      </c>
      <c r="AW49" s="1">
        <f t="shared" si="24"/>
        <v>14.941666666666666</v>
      </c>
      <c r="AX49" s="1">
        <f t="shared" si="25"/>
        <v>15.447222222222223</v>
      </c>
      <c r="AY49" s="1">
        <f t="shared" si="25"/>
        <v>15.955555555555556</v>
      </c>
      <c r="AZ49" s="1">
        <f t="shared" si="25"/>
        <v>16.461111111111112</v>
      </c>
      <c r="BA49" s="1">
        <f t="shared" si="25"/>
        <v>16.969444444444445</v>
      </c>
      <c r="BB49" s="1">
        <f t="shared" si="25"/>
        <v>17.477777777777778</v>
      </c>
      <c r="BC49" s="1">
        <f t="shared" si="25"/>
        <v>17.986111111111111</v>
      </c>
      <c r="BD49" s="1">
        <f t="shared" si="25"/>
        <v>18.491666666666667</v>
      </c>
      <c r="BE49" s="1">
        <f t="shared" si="25"/>
        <v>18.491666666666667</v>
      </c>
      <c r="BF49" s="1">
        <f t="shared" si="25"/>
        <v>27.116666666666667</v>
      </c>
      <c r="BG49" s="1">
        <f t="shared" si="25"/>
        <v>27.622222222222224</v>
      </c>
      <c r="BH49" s="1">
        <f t="shared" si="25"/>
        <v>28.130555555555556</v>
      </c>
      <c r="BI49" s="1">
        <f t="shared" si="25"/>
        <v>28.636111111111113</v>
      </c>
      <c r="BJ49" s="1">
        <f t="shared" si="25"/>
        <v>29.144444444444446</v>
      </c>
      <c r="BK49" s="1">
        <f t="shared" si="25"/>
        <v>29.652777777777779</v>
      </c>
      <c r="BL49" s="1">
        <f t="shared" si="25"/>
        <v>30.161111111111111</v>
      </c>
      <c r="BM49" s="1">
        <f t="shared" si="25"/>
        <v>30.666666666666668</v>
      </c>
      <c r="BN49" s="1">
        <f t="shared" si="26"/>
        <v>31.175000000000001</v>
      </c>
      <c r="BO49" s="1">
        <f t="shared" si="26"/>
        <v>31.175000000000001</v>
      </c>
      <c r="BP49" s="1">
        <f t="shared" si="26"/>
        <v>31.680555555555557</v>
      </c>
      <c r="BQ49" s="1">
        <f t="shared" si="26"/>
        <v>32.18888888888889</v>
      </c>
      <c r="BR49" s="1">
        <f t="shared" si="26"/>
        <v>32.694444444444443</v>
      </c>
      <c r="BS49" s="1">
        <f t="shared" si="26"/>
        <v>33.202777777777776</v>
      </c>
      <c r="BT49" s="1">
        <f t="shared" si="26"/>
        <v>33.711111111111109</v>
      </c>
      <c r="BU49" s="1">
        <f t="shared" si="26"/>
        <v>34.219444444444441</v>
      </c>
      <c r="BV49" s="1">
        <f t="shared" si="26"/>
        <v>34.219444444444441</v>
      </c>
      <c r="BW49" s="1">
        <f t="shared" si="26"/>
        <v>34.725000000000001</v>
      </c>
      <c r="BX49" s="1">
        <f t="shared" si="26"/>
        <v>35.233333333333334</v>
      </c>
      <c r="BY49" s="1">
        <f t="shared" si="26"/>
        <v>35.738888888888887</v>
      </c>
      <c r="BZ49" s="1">
        <f t="shared" si="26"/>
        <v>36.24722222222222</v>
      </c>
      <c r="CA49" s="1">
        <f t="shared" si="26"/>
        <v>36.75277777777778</v>
      </c>
      <c r="CB49" s="1">
        <f t="shared" si="26"/>
        <v>37.261111111111113</v>
      </c>
      <c r="CC49" s="1">
        <f t="shared" si="26"/>
        <v>37.769444444444446</v>
      </c>
      <c r="CD49" s="1">
        <f t="shared" si="27"/>
        <v>38.277777777777779</v>
      </c>
      <c r="CE49" s="1">
        <f t="shared" si="27"/>
        <v>38.783333333333331</v>
      </c>
      <c r="CF49" s="1">
        <f t="shared" si="27"/>
        <v>39.291666666666664</v>
      </c>
      <c r="CG49" s="1">
        <f t="shared" si="27"/>
        <v>39.797222222222224</v>
      </c>
      <c r="CH49" s="1">
        <f t="shared" si="27"/>
        <v>40.305555555555557</v>
      </c>
      <c r="CI49" s="1">
        <f t="shared" si="27"/>
        <v>40.81111111111111</v>
      </c>
      <c r="CJ49" s="1">
        <f t="shared" si="27"/>
        <v>41.319444444444443</v>
      </c>
      <c r="CK49" s="1">
        <f t="shared" si="27"/>
        <v>41.827777777777776</v>
      </c>
      <c r="CL49" s="1">
        <f t="shared" si="27"/>
        <v>42.336111111111109</v>
      </c>
      <c r="CM49" s="1">
        <f t="shared" si="27"/>
        <v>42.841666666666669</v>
      </c>
      <c r="CN49" s="1">
        <f t="shared" si="27"/>
        <v>43.35</v>
      </c>
      <c r="CO49" s="1">
        <f t="shared" si="27"/>
        <v>43.855555555555554</v>
      </c>
      <c r="CP49" s="1">
        <f t="shared" si="27"/>
        <v>44.363888888888887</v>
      </c>
      <c r="CQ49" s="1">
        <f t="shared" si="27"/>
        <v>44.869444444444447</v>
      </c>
      <c r="CR49" s="1">
        <f t="shared" si="27"/>
        <v>45.37777777777778</v>
      </c>
      <c r="CS49" s="1">
        <f t="shared" si="27"/>
        <v>45.886111111111113</v>
      </c>
      <c r="CT49" s="1">
        <f t="shared" si="28"/>
        <v>46.394444444444446</v>
      </c>
      <c r="CU49" s="1">
        <f t="shared" si="28"/>
        <v>46.9</v>
      </c>
      <c r="CV49" s="1">
        <f t="shared" si="28"/>
        <v>47.408333333333331</v>
      </c>
      <c r="CW49" s="1">
        <f t="shared" si="28"/>
        <v>47.913888888888891</v>
      </c>
      <c r="CX49" s="1">
        <f t="shared" si="28"/>
        <v>48.422222222222224</v>
      </c>
      <c r="CY49" s="1">
        <f t="shared" si="28"/>
        <v>48.927777777777777</v>
      </c>
      <c r="CZ49" s="1">
        <f t="shared" si="28"/>
        <v>49.43611111111111</v>
      </c>
      <c r="DA49" s="1">
        <f t="shared" si="28"/>
        <v>49.944444444444443</v>
      </c>
      <c r="DB49" s="1">
        <f t="shared" si="28"/>
        <v>50.452777777777776</v>
      </c>
      <c r="DC49" s="1">
        <f t="shared" si="28"/>
        <v>50.452777777777776</v>
      </c>
    </row>
    <row r="50" spans="1:107" x14ac:dyDescent="0.25">
      <c r="A50">
        <f t="shared" si="7"/>
        <v>5</v>
      </c>
      <c r="B50" s="2">
        <f>yields_BRUTE!B50</f>
        <v>42075</v>
      </c>
      <c r="C50" s="1">
        <f t="shared" si="23"/>
        <v>-3.0555555555555555E-2</v>
      </c>
      <c r="D50" s="1">
        <f t="shared" si="23"/>
        <v>8.3333333333333332E-3</v>
      </c>
      <c r="E50" s="1">
        <f t="shared" si="23"/>
        <v>0.22500000000000001</v>
      </c>
      <c r="F50" s="1">
        <f t="shared" si="23"/>
        <v>0.48055555555555557</v>
      </c>
      <c r="G50" s="1">
        <f t="shared" si="23"/>
        <v>0.51944444444444449</v>
      </c>
      <c r="H50" s="1">
        <f t="shared" si="23"/>
        <v>0.73333333333333328</v>
      </c>
      <c r="I50" s="1">
        <f t="shared" si="23"/>
        <v>0.73333333333333328</v>
      </c>
      <c r="J50" s="1">
        <f t="shared" si="23"/>
        <v>0.98611111111111116</v>
      </c>
      <c r="K50" s="1">
        <f t="shared" si="23"/>
        <v>1.0249999999999999</v>
      </c>
      <c r="L50" s="1">
        <f t="shared" si="23"/>
        <v>1.2416666666666667</v>
      </c>
      <c r="M50" s="1">
        <f t="shared" si="23"/>
        <v>1.4972222222222222</v>
      </c>
      <c r="N50" s="1">
        <f t="shared" si="23"/>
        <v>1.4972222222222222</v>
      </c>
      <c r="O50" s="1">
        <f t="shared" si="23"/>
        <v>1.5361111111111112</v>
      </c>
      <c r="P50" s="1">
        <f t="shared" si="23"/>
        <v>1.75</v>
      </c>
      <c r="Q50" s="1">
        <f t="shared" si="23"/>
        <v>2.0388888888888888</v>
      </c>
      <c r="R50" s="1">
        <f t="shared" si="23"/>
        <v>2.2555555555555555</v>
      </c>
      <c r="S50" s="1">
        <f t="shared" ref="S50:AH65" si="29">(S$1-$B50)/360</f>
        <v>2.5499999999999998</v>
      </c>
      <c r="T50" s="1">
        <f t="shared" si="29"/>
        <v>2.7638888888888888</v>
      </c>
      <c r="U50" s="1">
        <f t="shared" si="29"/>
        <v>3.0527777777777776</v>
      </c>
      <c r="V50" s="1">
        <f t="shared" si="29"/>
        <v>3.2694444444444444</v>
      </c>
      <c r="W50" s="1">
        <f t="shared" si="29"/>
        <v>3.5638888888888891</v>
      </c>
      <c r="X50" s="1">
        <f t="shared" si="29"/>
        <v>3.7777777777777777</v>
      </c>
      <c r="Y50" s="1">
        <f t="shared" si="29"/>
        <v>4.0666666666666664</v>
      </c>
      <c r="Z50" s="1">
        <f t="shared" si="29"/>
        <v>4.2833333333333332</v>
      </c>
      <c r="AA50" s="1">
        <f t="shared" si="29"/>
        <v>4.5777777777777775</v>
      </c>
      <c r="AB50" s="1">
        <f t="shared" si="29"/>
        <v>4.791666666666667</v>
      </c>
      <c r="AC50" s="1">
        <f t="shared" si="29"/>
        <v>5.083333333333333</v>
      </c>
      <c r="AD50" s="1">
        <f t="shared" si="29"/>
        <v>5.3</v>
      </c>
      <c r="AE50" s="1">
        <f t="shared" si="29"/>
        <v>5.3</v>
      </c>
      <c r="AF50" s="3">
        <f t="shared" si="29"/>
        <v>5.5944444444444441</v>
      </c>
      <c r="AG50" s="1">
        <f t="shared" si="29"/>
        <v>5.8083333333333336</v>
      </c>
      <c r="AH50" s="1">
        <f t="shared" si="24"/>
        <v>6.0972222222222223</v>
      </c>
      <c r="AI50" s="1">
        <f t="shared" si="24"/>
        <v>6.0972222222222223</v>
      </c>
      <c r="AJ50" s="1">
        <f t="shared" si="24"/>
        <v>6.3138888888888891</v>
      </c>
      <c r="AK50" s="1">
        <f t="shared" si="24"/>
        <v>6.3138888888888891</v>
      </c>
      <c r="AL50" s="1">
        <f t="shared" si="24"/>
        <v>6.822222222222222</v>
      </c>
      <c r="AM50" s="1">
        <f t="shared" si="24"/>
        <v>7.3277777777777775</v>
      </c>
      <c r="AN50" s="1">
        <f t="shared" si="24"/>
        <v>7.3277777777777775</v>
      </c>
      <c r="AO50" s="1">
        <f t="shared" si="24"/>
        <v>7.8361111111111112</v>
      </c>
      <c r="AP50" s="1">
        <f t="shared" si="24"/>
        <v>8.3416666666666668</v>
      </c>
      <c r="AQ50" s="1">
        <f t="shared" si="24"/>
        <v>8.3416666666666668</v>
      </c>
      <c r="AR50" s="1">
        <f t="shared" si="24"/>
        <v>8.85</v>
      </c>
      <c r="AS50" s="1">
        <f t="shared" si="24"/>
        <v>9.3583333333333325</v>
      </c>
      <c r="AT50" s="1">
        <f t="shared" si="24"/>
        <v>9.8666666666666671</v>
      </c>
      <c r="AU50" s="1">
        <f t="shared" si="24"/>
        <v>10.372222222222222</v>
      </c>
      <c r="AV50" s="1">
        <f t="shared" si="24"/>
        <v>10.372222222222222</v>
      </c>
      <c r="AW50" s="1">
        <f t="shared" si="24"/>
        <v>14.938888888888888</v>
      </c>
      <c r="AX50" s="1">
        <f t="shared" si="25"/>
        <v>15.444444444444445</v>
      </c>
      <c r="AY50" s="1">
        <f t="shared" si="25"/>
        <v>15.952777777777778</v>
      </c>
      <c r="AZ50" s="1">
        <f t="shared" si="25"/>
        <v>16.458333333333332</v>
      </c>
      <c r="BA50" s="1">
        <f t="shared" si="25"/>
        <v>16.966666666666665</v>
      </c>
      <c r="BB50" s="1">
        <f t="shared" si="25"/>
        <v>17.475000000000001</v>
      </c>
      <c r="BC50" s="1">
        <f t="shared" si="25"/>
        <v>17.983333333333334</v>
      </c>
      <c r="BD50" s="1">
        <f t="shared" si="25"/>
        <v>18.488888888888887</v>
      </c>
      <c r="BE50" s="1">
        <f t="shared" si="25"/>
        <v>18.488888888888887</v>
      </c>
      <c r="BF50" s="1">
        <f t="shared" si="25"/>
        <v>27.113888888888887</v>
      </c>
      <c r="BG50" s="1">
        <f t="shared" si="25"/>
        <v>27.619444444444444</v>
      </c>
      <c r="BH50" s="1">
        <f t="shared" si="25"/>
        <v>28.127777777777776</v>
      </c>
      <c r="BI50" s="1">
        <f t="shared" si="25"/>
        <v>28.633333333333333</v>
      </c>
      <c r="BJ50" s="1">
        <f t="shared" si="25"/>
        <v>29.141666666666666</v>
      </c>
      <c r="BK50" s="1">
        <f t="shared" si="25"/>
        <v>29.65</v>
      </c>
      <c r="BL50" s="1">
        <f t="shared" si="25"/>
        <v>30.158333333333335</v>
      </c>
      <c r="BM50" s="1">
        <f t="shared" si="25"/>
        <v>30.663888888888888</v>
      </c>
      <c r="BN50" s="1">
        <f t="shared" si="26"/>
        <v>31.172222222222221</v>
      </c>
      <c r="BO50" s="1">
        <f t="shared" si="26"/>
        <v>31.172222222222221</v>
      </c>
      <c r="BP50" s="1">
        <f t="shared" si="26"/>
        <v>31.677777777777777</v>
      </c>
      <c r="BQ50" s="1">
        <f t="shared" si="26"/>
        <v>32.18611111111111</v>
      </c>
      <c r="BR50" s="1">
        <f t="shared" si="26"/>
        <v>32.69166666666667</v>
      </c>
      <c r="BS50" s="1">
        <f t="shared" si="26"/>
        <v>33.200000000000003</v>
      </c>
      <c r="BT50" s="1">
        <f t="shared" si="26"/>
        <v>33.708333333333336</v>
      </c>
      <c r="BU50" s="1">
        <f t="shared" si="26"/>
        <v>34.216666666666669</v>
      </c>
      <c r="BV50" s="1">
        <f t="shared" si="26"/>
        <v>34.216666666666669</v>
      </c>
      <c r="BW50" s="1">
        <f t="shared" si="26"/>
        <v>34.722222222222221</v>
      </c>
      <c r="BX50" s="1">
        <f t="shared" si="26"/>
        <v>35.230555555555554</v>
      </c>
      <c r="BY50" s="1">
        <f t="shared" si="26"/>
        <v>35.736111111111114</v>
      </c>
      <c r="BZ50" s="1">
        <f t="shared" si="26"/>
        <v>36.244444444444447</v>
      </c>
      <c r="CA50" s="1">
        <f t="shared" si="26"/>
        <v>36.75</v>
      </c>
      <c r="CB50" s="1">
        <f t="shared" si="26"/>
        <v>37.258333333333333</v>
      </c>
      <c r="CC50" s="1">
        <f t="shared" si="26"/>
        <v>37.766666666666666</v>
      </c>
      <c r="CD50" s="1">
        <f t="shared" si="27"/>
        <v>38.274999999999999</v>
      </c>
      <c r="CE50" s="1">
        <f t="shared" si="27"/>
        <v>38.780555555555559</v>
      </c>
      <c r="CF50" s="1">
        <f t="shared" si="27"/>
        <v>39.288888888888891</v>
      </c>
      <c r="CG50" s="1">
        <f t="shared" si="27"/>
        <v>39.794444444444444</v>
      </c>
      <c r="CH50" s="1">
        <f t="shared" si="27"/>
        <v>40.302777777777777</v>
      </c>
      <c r="CI50" s="1">
        <f t="shared" si="27"/>
        <v>40.80833333333333</v>
      </c>
      <c r="CJ50" s="1">
        <f t="shared" si="27"/>
        <v>41.31666666666667</v>
      </c>
      <c r="CK50" s="1">
        <f t="shared" si="27"/>
        <v>41.825000000000003</v>
      </c>
      <c r="CL50" s="1">
        <f t="shared" si="27"/>
        <v>42.333333333333336</v>
      </c>
      <c r="CM50" s="1">
        <f t="shared" si="27"/>
        <v>42.838888888888889</v>
      </c>
      <c r="CN50" s="1">
        <f t="shared" si="27"/>
        <v>43.347222222222221</v>
      </c>
      <c r="CO50" s="1">
        <f t="shared" si="27"/>
        <v>43.852777777777774</v>
      </c>
      <c r="CP50" s="1">
        <f t="shared" si="27"/>
        <v>44.361111111111114</v>
      </c>
      <c r="CQ50" s="1">
        <f t="shared" si="27"/>
        <v>44.866666666666667</v>
      </c>
      <c r="CR50" s="1">
        <f t="shared" si="27"/>
        <v>45.375</v>
      </c>
      <c r="CS50" s="1">
        <f t="shared" si="27"/>
        <v>45.883333333333333</v>
      </c>
      <c r="CT50" s="1">
        <f t="shared" si="28"/>
        <v>46.391666666666666</v>
      </c>
      <c r="CU50" s="1">
        <f t="shared" si="28"/>
        <v>46.897222222222226</v>
      </c>
      <c r="CV50" s="1">
        <f t="shared" si="28"/>
        <v>47.405555555555559</v>
      </c>
      <c r="CW50" s="1">
        <f t="shared" si="28"/>
        <v>47.911111111111111</v>
      </c>
      <c r="CX50" s="1">
        <f t="shared" si="28"/>
        <v>48.419444444444444</v>
      </c>
      <c r="CY50" s="1">
        <f t="shared" si="28"/>
        <v>48.924999999999997</v>
      </c>
      <c r="CZ50" s="1">
        <f t="shared" si="28"/>
        <v>49.43333333333333</v>
      </c>
      <c r="DA50" s="1">
        <f t="shared" si="28"/>
        <v>49.94166666666667</v>
      </c>
      <c r="DB50" s="1">
        <f t="shared" si="28"/>
        <v>50.45</v>
      </c>
      <c r="DC50" s="1">
        <f t="shared" si="28"/>
        <v>50.45</v>
      </c>
    </row>
    <row r="51" spans="1:107" x14ac:dyDescent="0.25">
      <c r="A51">
        <f t="shared" si="7"/>
        <v>6</v>
      </c>
      <c r="B51" s="2">
        <f>yields_BRUTE!B51</f>
        <v>42076</v>
      </c>
      <c r="C51" s="1">
        <f t="shared" ref="C51:R66" si="30">(C$1-$B51)/360</f>
        <v>-3.3333333333333333E-2</v>
      </c>
      <c r="D51" s="1">
        <f t="shared" si="30"/>
        <v>5.5555555555555558E-3</v>
      </c>
      <c r="E51" s="1">
        <f t="shared" si="30"/>
        <v>0.22222222222222221</v>
      </c>
      <c r="F51" s="1">
        <f t="shared" si="30"/>
        <v>0.4777777777777778</v>
      </c>
      <c r="G51" s="1">
        <f t="shared" si="30"/>
        <v>0.51666666666666672</v>
      </c>
      <c r="H51" s="1">
        <f t="shared" si="30"/>
        <v>0.73055555555555551</v>
      </c>
      <c r="I51" s="1">
        <f t="shared" si="30"/>
        <v>0.73055555555555551</v>
      </c>
      <c r="J51" s="1">
        <f t="shared" si="30"/>
        <v>0.98333333333333328</v>
      </c>
      <c r="K51" s="1">
        <f t="shared" si="30"/>
        <v>1.0222222222222221</v>
      </c>
      <c r="L51" s="1">
        <f t="shared" si="30"/>
        <v>1.2388888888888889</v>
      </c>
      <c r="M51" s="1">
        <f t="shared" si="30"/>
        <v>1.4944444444444445</v>
      </c>
      <c r="N51" s="1">
        <f t="shared" si="30"/>
        <v>1.4944444444444445</v>
      </c>
      <c r="O51" s="1">
        <f t="shared" si="30"/>
        <v>1.5333333333333334</v>
      </c>
      <c r="P51" s="1">
        <f t="shared" si="30"/>
        <v>1.7472222222222222</v>
      </c>
      <c r="Q51" s="1">
        <f t="shared" si="30"/>
        <v>2.036111111111111</v>
      </c>
      <c r="R51" s="1">
        <f t="shared" si="30"/>
        <v>2.2527777777777778</v>
      </c>
      <c r="S51" s="1">
        <f t="shared" si="29"/>
        <v>2.5472222222222221</v>
      </c>
      <c r="T51" s="1">
        <f t="shared" si="29"/>
        <v>2.7611111111111111</v>
      </c>
      <c r="U51" s="1">
        <f t="shared" si="29"/>
        <v>3.05</v>
      </c>
      <c r="V51" s="1">
        <f t="shared" si="29"/>
        <v>3.2666666666666666</v>
      </c>
      <c r="W51" s="1">
        <f t="shared" si="29"/>
        <v>3.5611111111111109</v>
      </c>
      <c r="X51" s="1">
        <f t="shared" si="29"/>
        <v>3.7749999999999999</v>
      </c>
      <c r="Y51" s="1">
        <f t="shared" si="29"/>
        <v>4.0638888888888891</v>
      </c>
      <c r="Z51" s="1">
        <f t="shared" si="29"/>
        <v>4.2805555555555559</v>
      </c>
      <c r="AA51" s="1">
        <f t="shared" si="29"/>
        <v>4.5750000000000002</v>
      </c>
      <c r="AB51" s="1">
        <f t="shared" si="29"/>
        <v>4.7888888888888888</v>
      </c>
      <c r="AC51" s="1">
        <f t="shared" si="29"/>
        <v>5.0805555555555557</v>
      </c>
      <c r="AD51" s="1">
        <f t="shared" si="29"/>
        <v>5.2972222222222225</v>
      </c>
      <c r="AE51" s="1">
        <f t="shared" si="29"/>
        <v>5.2972222222222225</v>
      </c>
      <c r="AF51" s="3">
        <f t="shared" si="29"/>
        <v>5.5916666666666668</v>
      </c>
      <c r="AG51" s="1">
        <f t="shared" si="29"/>
        <v>5.8055555555555554</v>
      </c>
      <c r="AH51" s="1">
        <f t="shared" si="24"/>
        <v>6.0944444444444441</v>
      </c>
      <c r="AI51" s="1">
        <f t="shared" si="24"/>
        <v>6.0944444444444441</v>
      </c>
      <c r="AJ51" s="1">
        <f t="shared" si="24"/>
        <v>6.3111111111111109</v>
      </c>
      <c r="AK51" s="1">
        <f t="shared" si="24"/>
        <v>6.3111111111111109</v>
      </c>
      <c r="AL51" s="1">
        <f t="shared" si="24"/>
        <v>6.8194444444444446</v>
      </c>
      <c r="AM51" s="1">
        <f t="shared" si="24"/>
        <v>7.3250000000000002</v>
      </c>
      <c r="AN51" s="1">
        <f t="shared" si="24"/>
        <v>7.3250000000000002</v>
      </c>
      <c r="AO51" s="1">
        <f t="shared" si="24"/>
        <v>7.833333333333333</v>
      </c>
      <c r="AP51" s="1">
        <f t="shared" si="24"/>
        <v>8.3388888888888886</v>
      </c>
      <c r="AQ51" s="1">
        <f t="shared" si="24"/>
        <v>8.3388888888888886</v>
      </c>
      <c r="AR51" s="1">
        <f t="shared" si="24"/>
        <v>8.8472222222222214</v>
      </c>
      <c r="AS51" s="1">
        <f t="shared" si="24"/>
        <v>9.3555555555555561</v>
      </c>
      <c r="AT51" s="1">
        <f t="shared" si="24"/>
        <v>9.8638888888888889</v>
      </c>
      <c r="AU51" s="1">
        <f t="shared" si="24"/>
        <v>10.369444444444444</v>
      </c>
      <c r="AV51" s="1">
        <f t="shared" si="24"/>
        <v>10.369444444444444</v>
      </c>
      <c r="AW51" s="1">
        <f t="shared" si="24"/>
        <v>14.936111111111112</v>
      </c>
      <c r="AX51" s="1">
        <f t="shared" si="25"/>
        <v>15.441666666666666</v>
      </c>
      <c r="AY51" s="1">
        <f t="shared" si="25"/>
        <v>15.95</v>
      </c>
      <c r="AZ51" s="1">
        <f t="shared" si="25"/>
        <v>16.455555555555556</v>
      </c>
      <c r="BA51" s="1">
        <f t="shared" si="25"/>
        <v>16.963888888888889</v>
      </c>
      <c r="BB51" s="1">
        <f t="shared" si="25"/>
        <v>17.472222222222221</v>
      </c>
      <c r="BC51" s="1">
        <f t="shared" si="25"/>
        <v>17.980555555555554</v>
      </c>
      <c r="BD51" s="1">
        <f t="shared" si="25"/>
        <v>18.486111111111111</v>
      </c>
      <c r="BE51" s="1">
        <f t="shared" si="25"/>
        <v>18.486111111111111</v>
      </c>
      <c r="BF51" s="1">
        <f t="shared" si="25"/>
        <v>27.111111111111111</v>
      </c>
      <c r="BG51" s="1">
        <f t="shared" si="25"/>
        <v>27.616666666666667</v>
      </c>
      <c r="BH51" s="1">
        <f t="shared" si="25"/>
        <v>28.125</v>
      </c>
      <c r="BI51" s="1">
        <f t="shared" si="25"/>
        <v>28.630555555555556</v>
      </c>
      <c r="BJ51" s="1">
        <f t="shared" si="25"/>
        <v>29.138888888888889</v>
      </c>
      <c r="BK51" s="1">
        <f t="shared" si="25"/>
        <v>29.647222222222222</v>
      </c>
      <c r="BL51" s="1">
        <f t="shared" si="25"/>
        <v>30.155555555555555</v>
      </c>
      <c r="BM51" s="1">
        <f t="shared" si="25"/>
        <v>30.661111111111111</v>
      </c>
      <c r="BN51" s="1">
        <f t="shared" si="26"/>
        <v>31.169444444444444</v>
      </c>
      <c r="BO51" s="1">
        <f t="shared" si="26"/>
        <v>31.169444444444444</v>
      </c>
      <c r="BP51" s="1">
        <f t="shared" si="26"/>
        <v>31.675000000000001</v>
      </c>
      <c r="BQ51" s="1">
        <f t="shared" si="26"/>
        <v>32.18333333333333</v>
      </c>
      <c r="BR51" s="1">
        <f t="shared" si="26"/>
        <v>32.68888888888889</v>
      </c>
      <c r="BS51" s="1">
        <f t="shared" si="26"/>
        <v>33.197222222222223</v>
      </c>
      <c r="BT51" s="1">
        <f t="shared" si="26"/>
        <v>33.705555555555556</v>
      </c>
      <c r="BU51" s="1">
        <f t="shared" si="26"/>
        <v>34.213888888888889</v>
      </c>
      <c r="BV51" s="1">
        <f t="shared" si="26"/>
        <v>34.213888888888889</v>
      </c>
      <c r="BW51" s="1">
        <f t="shared" si="26"/>
        <v>34.719444444444441</v>
      </c>
      <c r="BX51" s="1">
        <f t="shared" si="26"/>
        <v>35.227777777777774</v>
      </c>
      <c r="BY51" s="1">
        <f t="shared" si="26"/>
        <v>35.733333333333334</v>
      </c>
      <c r="BZ51" s="1">
        <f t="shared" si="26"/>
        <v>36.241666666666667</v>
      </c>
      <c r="CA51" s="1">
        <f t="shared" si="26"/>
        <v>36.74722222222222</v>
      </c>
      <c r="CB51" s="1">
        <f t="shared" si="26"/>
        <v>37.255555555555553</v>
      </c>
      <c r="CC51" s="1">
        <f t="shared" si="26"/>
        <v>37.763888888888886</v>
      </c>
      <c r="CD51" s="1">
        <f t="shared" si="27"/>
        <v>38.272222222222226</v>
      </c>
      <c r="CE51" s="1">
        <f t="shared" si="27"/>
        <v>38.777777777777779</v>
      </c>
      <c r="CF51" s="1">
        <f t="shared" si="27"/>
        <v>39.286111111111111</v>
      </c>
      <c r="CG51" s="1">
        <f t="shared" si="27"/>
        <v>39.791666666666664</v>
      </c>
      <c r="CH51" s="1">
        <f t="shared" si="27"/>
        <v>40.299999999999997</v>
      </c>
      <c r="CI51" s="1">
        <f t="shared" si="27"/>
        <v>40.805555555555557</v>
      </c>
      <c r="CJ51" s="1">
        <f t="shared" si="27"/>
        <v>41.31388888888889</v>
      </c>
      <c r="CK51" s="1">
        <f t="shared" si="27"/>
        <v>41.822222222222223</v>
      </c>
      <c r="CL51" s="1">
        <f t="shared" si="27"/>
        <v>42.330555555555556</v>
      </c>
      <c r="CM51" s="1">
        <f t="shared" si="27"/>
        <v>42.836111111111109</v>
      </c>
      <c r="CN51" s="1">
        <f t="shared" si="27"/>
        <v>43.344444444444441</v>
      </c>
      <c r="CO51" s="1">
        <f t="shared" si="27"/>
        <v>43.85</v>
      </c>
      <c r="CP51" s="1">
        <f t="shared" si="27"/>
        <v>44.358333333333334</v>
      </c>
      <c r="CQ51" s="1">
        <f t="shared" si="27"/>
        <v>44.863888888888887</v>
      </c>
      <c r="CR51" s="1">
        <f t="shared" si="27"/>
        <v>45.37222222222222</v>
      </c>
      <c r="CS51" s="1">
        <f t="shared" si="27"/>
        <v>45.880555555555553</v>
      </c>
      <c r="CT51" s="1">
        <f t="shared" si="28"/>
        <v>46.388888888888886</v>
      </c>
      <c r="CU51" s="1">
        <f t="shared" si="28"/>
        <v>46.894444444444446</v>
      </c>
      <c r="CV51" s="1">
        <f t="shared" si="28"/>
        <v>47.402777777777779</v>
      </c>
      <c r="CW51" s="1">
        <f t="shared" si="28"/>
        <v>47.908333333333331</v>
      </c>
      <c r="CX51" s="1">
        <f t="shared" si="28"/>
        <v>48.416666666666664</v>
      </c>
      <c r="CY51" s="1">
        <f t="shared" si="28"/>
        <v>48.922222222222224</v>
      </c>
      <c r="CZ51" s="1">
        <f t="shared" si="28"/>
        <v>49.430555555555557</v>
      </c>
      <c r="DA51" s="1">
        <f t="shared" si="28"/>
        <v>49.93888888888889</v>
      </c>
      <c r="DB51" s="1">
        <f t="shared" si="28"/>
        <v>50.447222222222223</v>
      </c>
      <c r="DC51" s="1">
        <f t="shared" si="28"/>
        <v>50.447222222222223</v>
      </c>
    </row>
    <row r="52" spans="1:107" x14ac:dyDescent="0.25">
      <c r="A52">
        <f t="shared" si="7"/>
        <v>2</v>
      </c>
      <c r="B52" s="2">
        <f>yields_BRUTE!B52</f>
        <v>42079</v>
      </c>
      <c r="C52" s="1">
        <f t="shared" si="30"/>
        <v>-4.1666666666666664E-2</v>
      </c>
      <c r="D52" s="1">
        <f t="shared" si="30"/>
        <v>-2.7777777777777779E-3</v>
      </c>
      <c r="E52" s="1">
        <f t="shared" si="30"/>
        <v>0.21388888888888888</v>
      </c>
      <c r="F52" s="1">
        <f t="shared" si="30"/>
        <v>0.46944444444444444</v>
      </c>
      <c r="G52" s="1">
        <f t="shared" si="30"/>
        <v>0.5083333333333333</v>
      </c>
      <c r="H52" s="1">
        <f t="shared" si="30"/>
        <v>0.72222222222222221</v>
      </c>
      <c r="I52" s="1">
        <f t="shared" si="30"/>
        <v>0.72222222222222221</v>
      </c>
      <c r="J52" s="1">
        <f t="shared" si="30"/>
        <v>0.97499999999999998</v>
      </c>
      <c r="K52" s="1">
        <f t="shared" si="30"/>
        <v>1.0138888888888888</v>
      </c>
      <c r="L52" s="1">
        <f t="shared" si="30"/>
        <v>1.2305555555555556</v>
      </c>
      <c r="M52" s="1">
        <f t="shared" si="30"/>
        <v>1.4861111111111112</v>
      </c>
      <c r="N52" s="1">
        <f t="shared" si="30"/>
        <v>1.4861111111111112</v>
      </c>
      <c r="O52" s="1">
        <f t="shared" si="30"/>
        <v>1.5249999999999999</v>
      </c>
      <c r="P52" s="1">
        <f t="shared" si="30"/>
        <v>1.7388888888888889</v>
      </c>
      <c r="Q52" s="1">
        <f t="shared" si="30"/>
        <v>2.0277777777777777</v>
      </c>
      <c r="R52" s="1">
        <f t="shared" si="30"/>
        <v>2.2444444444444445</v>
      </c>
      <c r="S52" s="1">
        <f t="shared" si="29"/>
        <v>2.5388888888888888</v>
      </c>
      <c r="T52" s="1">
        <f t="shared" si="29"/>
        <v>2.7527777777777778</v>
      </c>
      <c r="U52" s="1">
        <f t="shared" si="29"/>
        <v>3.0416666666666665</v>
      </c>
      <c r="V52" s="1">
        <f t="shared" si="29"/>
        <v>3.2583333333333333</v>
      </c>
      <c r="W52" s="1">
        <f t="shared" si="29"/>
        <v>3.5527777777777776</v>
      </c>
      <c r="X52" s="1">
        <f t="shared" si="29"/>
        <v>3.7666666666666666</v>
      </c>
      <c r="Y52" s="1">
        <f t="shared" si="29"/>
        <v>4.0555555555555554</v>
      </c>
      <c r="Z52" s="1">
        <f t="shared" si="29"/>
        <v>4.2722222222222221</v>
      </c>
      <c r="AA52" s="1">
        <f t="shared" si="29"/>
        <v>4.5666666666666664</v>
      </c>
      <c r="AB52" s="1">
        <f t="shared" si="29"/>
        <v>4.7805555555555559</v>
      </c>
      <c r="AC52" s="1">
        <f t="shared" si="29"/>
        <v>5.072222222222222</v>
      </c>
      <c r="AD52" s="1">
        <f t="shared" si="29"/>
        <v>5.2888888888888888</v>
      </c>
      <c r="AE52" s="1">
        <f t="shared" si="29"/>
        <v>5.2888888888888888</v>
      </c>
      <c r="AF52" s="3">
        <f t="shared" si="29"/>
        <v>5.583333333333333</v>
      </c>
      <c r="AG52" s="1">
        <f t="shared" si="29"/>
        <v>5.7972222222222225</v>
      </c>
      <c r="AH52" s="1">
        <f t="shared" si="24"/>
        <v>6.0861111111111112</v>
      </c>
      <c r="AI52" s="1">
        <f t="shared" si="24"/>
        <v>6.0861111111111112</v>
      </c>
      <c r="AJ52" s="1">
        <f t="shared" si="24"/>
        <v>6.302777777777778</v>
      </c>
      <c r="AK52" s="1">
        <f t="shared" si="24"/>
        <v>6.302777777777778</v>
      </c>
      <c r="AL52" s="1">
        <f t="shared" si="24"/>
        <v>6.8111111111111109</v>
      </c>
      <c r="AM52" s="1">
        <f t="shared" si="24"/>
        <v>7.3166666666666664</v>
      </c>
      <c r="AN52" s="1">
        <f t="shared" si="24"/>
        <v>7.3166666666666664</v>
      </c>
      <c r="AO52" s="1">
        <f t="shared" si="24"/>
        <v>7.8250000000000002</v>
      </c>
      <c r="AP52" s="1">
        <f t="shared" si="24"/>
        <v>8.3305555555555557</v>
      </c>
      <c r="AQ52" s="1">
        <f t="shared" si="24"/>
        <v>8.3305555555555557</v>
      </c>
      <c r="AR52" s="1">
        <f t="shared" si="24"/>
        <v>8.8388888888888886</v>
      </c>
      <c r="AS52" s="1">
        <f t="shared" si="24"/>
        <v>9.3472222222222214</v>
      </c>
      <c r="AT52" s="1">
        <f t="shared" si="24"/>
        <v>9.8555555555555561</v>
      </c>
      <c r="AU52" s="1">
        <f t="shared" si="24"/>
        <v>10.361111111111111</v>
      </c>
      <c r="AV52" s="1">
        <f t="shared" si="24"/>
        <v>10.361111111111111</v>
      </c>
      <c r="AW52" s="1">
        <f t="shared" si="24"/>
        <v>14.927777777777777</v>
      </c>
      <c r="AX52" s="1">
        <f t="shared" si="25"/>
        <v>15.433333333333334</v>
      </c>
      <c r="AY52" s="1">
        <f t="shared" si="25"/>
        <v>15.941666666666666</v>
      </c>
      <c r="AZ52" s="1">
        <f t="shared" si="25"/>
        <v>16.447222222222223</v>
      </c>
      <c r="BA52" s="1">
        <f t="shared" si="25"/>
        <v>16.955555555555556</v>
      </c>
      <c r="BB52" s="1">
        <f t="shared" si="25"/>
        <v>17.463888888888889</v>
      </c>
      <c r="BC52" s="1">
        <f t="shared" si="25"/>
        <v>17.972222222222221</v>
      </c>
      <c r="BD52" s="1">
        <f t="shared" si="25"/>
        <v>18.477777777777778</v>
      </c>
      <c r="BE52" s="1">
        <f t="shared" si="25"/>
        <v>18.477777777777778</v>
      </c>
      <c r="BF52" s="1">
        <f t="shared" si="25"/>
        <v>27.102777777777778</v>
      </c>
      <c r="BG52" s="1">
        <f t="shared" si="25"/>
        <v>27.608333333333334</v>
      </c>
      <c r="BH52" s="1">
        <f t="shared" si="25"/>
        <v>28.116666666666667</v>
      </c>
      <c r="BI52" s="1">
        <f t="shared" si="25"/>
        <v>28.622222222222224</v>
      </c>
      <c r="BJ52" s="1">
        <f t="shared" si="25"/>
        <v>29.130555555555556</v>
      </c>
      <c r="BK52" s="1">
        <f t="shared" si="25"/>
        <v>29.638888888888889</v>
      </c>
      <c r="BL52" s="1">
        <f t="shared" si="25"/>
        <v>30.147222222222222</v>
      </c>
      <c r="BM52" s="1">
        <f t="shared" si="25"/>
        <v>30.652777777777779</v>
      </c>
      <c r="BN52" s="1">
        <f t="shared" si="26"/>
        <v>31.161111111111111</v>
      </c>
      <c r="BO52" s="1">
        <f t="shared" si="26"/>
        <v>31.161111111111111</v>
      </c>
      <c r="BP52" s="1">
        <f t="shared" si="26"/>
        <v>31.666666666666668</v>
      </c>
      <c r="BQ52" s="1">
        <f t="shared" si="26"/>
        <v>32.174999999999997</v>
      </c>
      <c r="BR52" s="1">
        <f t="shared" si="26"/>
        <v>32.680555555555557</v>
      </c>
      <c r="BS52" s="1">
        <f t="shared" si="26"/>
        <v>33.18888888888889</v>
      </c>
      <c r="BT52" s="1">
        <f t="shared" si="26"/>
        <v>33.697222222222223</v>
      </c>
      <c r="BU52" s="1">
        <f t="shared" si="26"/>
        <v>34.205555555555556</v>
      </c>
      <c r="BV52" s="1">
        <f t="shared" si="26"/>
        <v>34.205555555555556</v>
      </c>
      <c r="BW52" s="1">
        <f t="shared" si="26"/>
        <v>34.711111111111109</v>
      </c>
      <c r="BX52" s="1">
        <f t="shared" si="26"/>
        <v>35.219444444444441</v>
      </c>
      <c r="BY52" s="1">
        <f t="shared" si="26"/>
        <v>35.725000000000001</v>
      </c>
      <c r="BZ52" s="1">
        <f t="shared" si="26"/>
        <v>36.233333333333334</v>
      </c>
      <c r="CA52" s="1">
        <f t="shared" si="26"/>
        <v>36.738888888888887</v>
      </c>
      <c r="CB52" s="1">
        <f t="shared" si="26"/>
        <v>37.24722222222222</v>
      </c>
      <c r="CC52" s="1">
        <f t="shared" si="26"/>
        <v>37.755555555555553</v>
      </c>
      <c r="CD52" s="1">
        <f t="shared" si="27"/>
        <v>38.263888888888886</v>
      </c>
      <c r="CE52" s="1">
        <f t="shared" si="27"/>
        <v>38.769444444444446</v>
      </c>
      <c r="CF52" s="1">
        <f t="shared" si="27"/>
        <v>39.277777777777779</v>
      </c>
      <c r="CG52" s="1">
        <f t="shared" si="27"/>
        <v>39.783333333333331</v>
      </c>
      <c r="CH52" s="1">
        <f t="shared" si="27"/>
        <v>40.291666666666664</v>
      </c>
      <c r="CI52" s="1">
        <f t="shared" si="27"/>
        <v>40.797222222222224</v>
      </c>
      <c r="CJ52" s="1">
        <f t="shared" si="27"/>
        <v>41.305555555555557</v>
      </c>
      <c r="CK52" s="1">
        <f t="shared" si="27"/>
        <v>41.81388888888889</v>
      </c>
      <c r="CL52" s="1">
        <f t="shared" si="27"/>
        <v>42.322222222222223</v>
      </c>
      <c r="CM52" s="1">
        <f t="shared" si="27"/>
        <v>42.827777777777776</v>
      </c>
      <c r="CN52" s="1">
        <f t="shared" si="27"/>
        <v>43.336111111111109</v>
      </c>
      <c r="CO52" s="1">
        <f t="shared" si="27"/>
        <v>43.841666666666669</v>
      </c>
      <c r="CP52" s="1">
        <f t="shared" si="27"/>
        <v>44.35</v>
      </c>
      <c r="CQ52" s="1">
        <f t="shared" si="27"/>
        <v>44.855555555555554</v>
      </c>
      <c r="CR52" s="1">
        <f t="shared" si="27"/>
        <v>45.363888888888887</v>
      </c>
      <c r="CS52" s="1">
        <f t="shared" si="27"/>
        <v>45.87222222222222</v>
      </c>
      <c r="CT52" s="1">
        <f t="shared" si="28"/>
        <v>46.380555555555553</v>
      </c>
      <c r="CU52" s="1">
        <f t="shared" si="28"/>
        <v>46.886111111111113</v>
      </c>
      <c r="CV52" s="1">
        <f t="shared" si="28"/>
        <v>47.394444444444446</v>
      </c>
      <c r="CW52" s="1">
        <f t="shared" si="28"/>
        <v>47.9</v>
      </c>
      <c r="CX52" s="1">
        <f t="shared" si="28"/>
        <v>48.408333333333331</v>
      </c>
      <c r="CY52" s="1">
        <f t="shared" si="28"/>
        <v>48.913888888888891</v>
      </c>
      <c r="CZ52" s="1">
        <f t="shared" si="28"/>
        <v>49.422222222222224</v>
      </c>
      <c r="DA52" s="1">
        <f t="shared" si="28"/>
        <v>49.930555555555557</v>
      </c>
      <c r="DB52" s="1">
        <f t="shared" si="28"/>
        <v>50.43888888888889</v>
      </c>
      <c r="DC52" s="1">
        <f t="shared" si="28"/>
        <v>50.43888888888889</v>
      </c>
    </row>
    <row r="53" spans="1:107" x14ac:dyDescent="0.25">
      <c r="A53">
        <f t="shared" si="7"/>
        <v>3</v>
      </c>
      <c r="B53" s="2">
        <f>yields_BRUTE!B53</f>
        <v>42080</v>
      </c>
      <c r="C53" s="1">
        <f t="shared" si="30"/>
        <v>-4.4444444444444446E-2</v>
      </c>
      <c r="D53" s="1">
        <f t="shared" si="30"/>
        <v>-5.5555555555555558E-3</v>
      </c>
      <c r="E53" s="1">
        <f t="shared" si="30"/>
        <v>0.21111111111111111</v>
      </c>
      <c r="F53" s="1">
        <f t="shared" si="30"/>
        <v>0.46666666666666667</v>
      </c>
      <c r="G53" s="1">
        <f t="shared" si="30"/>
        <v>0.50555555555555554</v>
      </c>
      <c r="H53" s="1">
        <f t="shared" si="30"/>
        <v>0.71944444444444444</v>
      </c>
      <c r="I53" s="1">
        <f t="shared" si="30"/>
        <v>0.71944444444444444</v>
      </c>
      <c r="J53" s="1">
        <f t="shared" si="30"/>
        <v>0.97222222222222221</v>
      </c>
      <c r="K53" s="1">
        <f t="shared" si="30"/>
        <v>1.0111111111111111</v>
      </c>
      <c r="L53" s="1">
        <f t="shared" si="30"/>
        <v>1.2277777777777779</v>
      </c>
      <c r="M53" s="1">
        <f t="shared" si="30"/>
        <v>1.4833333333333334</v>
      </c>
      <c r="N53" s="1">
        <f t="shared" si="30"/>
        <v>1.4833333333333334</v>
      </c>
      <c r="O53" s="1">
        <f t="shared" si="30"/>
        <v>1.5222222222222221</v>
      </c>
      <c r="P53" s="1">
        <f t="shared" si="30"/>
        <v>1.7361111111111112</v>
      </c>
      <c r="Q53" s="1">
        <f t="shared" si="30"/>
        <v>2.0249999999999999</v>
      </c>
      <c r="R53" s="1">
        <f t="shared" si="30"/>
        <v>2.2416666666666667</v>
      </c>
      <c r="S53" s="1">
        <f t="shared" si="29"/>
        <v>2.536111111111111</v>
      </c>
      <c r="T53" s="1">
        <f t="shared" si="29"/>
        <v>2.75</v>
      </c>
      <c r="U53" s="1">
        <f t="shared" si="29"/>
        <v>3.0388888888888888</v>
      </c>
      <c r="V53" s="1">
        <f t="shared" si="29"/>
        <v>3.2555555555555555</v>
      </c>
      <c r="W53" s="1">
        <f t="shared" si="29"/>
        <v>3.55</v>
      </c>
      <c r="X53" s="1">
        <f t="shared" si="29"/>
        <v>3.7638888888888888</v>
      </c>
      <c r="Y53" s="1">
        <f t="shared" si="29"/>
        <v>4.052777777777778</v>
      </c>
      <c r="Z53" s="1">
        <f t="shared" si="29"/>
        <v>4.2694444444444448</v>
      </c>
      <c r="AA53" s="1">
        <f t="shared" si="29"/>
        <v>4.5638888888888891</v>
      </c>
      <c r="AB53" s="1">
        <f t="shared" si="29"/>
        <v>4.7777777777777777</v>
      </c>
      <c r="AC53" s="1">
        <f t="shared" si="29"/>
        <v>5.0694444444444446</v>
      </c>
      <c r="AD53" s="1">
        <f t="shared" si="29"/>
        <v>5.2861111111111114</v>
      </c>
      <c r="AE53" s="1">
        <f t="shared" si="29"/>
        <v>5.2861111111111114</v>
      </c>
      <c r="AF53" s="3">
        <f t="shared" si="29"/>
        <v>5.5805555555555557</v>
      </c>
      <c r="AG53" s="1">
        <f t="shared" si="29"/>
        <v>5.7944444444444443</v>
      </c>
      <c r="AH53" s="1">
        <f t="shared" si="24"/>
        <v>6.083333333333333</v>
      </c>
      <c r="AI53" s="1">
        <f t="shared" si="24"/>
        <v>6.083333333333333</v>
      </c>
      <c r="AJ53" s="1">
        <f t="shared" si="24"/>
        <v>6.3</v>
      </c>
      <c r="AK53" s="1">
        <f t="shared" si="24"/>
        <v>6.3</v>
      </c>
      <c r="AL53" s="1">
        <f t="shared" si="24"/>
        <v>6.8083333333333336</v>
      </c>
      <c r="AM53" s="1">
        <f t="shared" si="24"/>
        <v>7.3138888888888891</v>
      </c>
      <c r="AN53" s="1">
        <f t="shared" si="24"/>
        <v>7.3138888888888891</v>
      </c>
      <c r="AO53" s="1">
        <f t="shared" si="24"/>
        <v>7.822222222222222</v>
      </c>
      <c r="AP53" s="1">
        <f t="shared" si="24"/>
        <v>8.3277777777777775</v>
      </c>
      <c r="AQ53" s="1">
        <f t="shared" si="24"/>
        <v>8.3277777777777775</v>
      </c>
      <c r="AR53" s="1">
        <f t="shared" si="24"/>
        <v>8.8361111111111104</v>
      </c>
      <c r="AS53" s="1">
        <f t="shared" si="24"/>
        <v>9.344444444444445</v>
      </c>
      <c r="AT53" s="1">
        <f t="shared" si="24"/>
        <v>9.8527777777777779</v>
      </c>
      <c r="AU53" s="1">
        <f t="shared" si="24"/>
        <v>10.358333333333333</v>
      </c>
      <c r="AV53" s="1">
        <f t="shared" si="24"/>
        <v>10.358333333333333</v>
      </c>
      <c r="AW53" s="1">
        <f t="shared" si="24"/>
        <v>14.925000000000001</v>
      </c>
      <c r="AX53" s="1">
        <f t="shared" si="25"/>
        <v>15.430555555555555</v>
      </c>
      <c r="AY53" s="1">
        <f t="shared" si="25"/>
        <v>15.938888888888888</v>
      </c>
      <c r="AZ53" s="1">
        <f t="shared" si="25"/>
        <v>16.444444444444443</v>
      </c>
      <c r="BA53" s="1">
        <f t="shared" si="25"/>
        <v>16.952777777777779</v>
      </c>
      <c r="BB53" s="1">
        <f t="shared" si="25"/>
        <v>17.461111111111112</v>
      </c>
      <c r="BC53" s="1">
        <f t="shared" si="25"/>
        <v>17.969444444444445</v>
      </c>
      <c r="BD53" s="1">
        <f t="shared" si="25"/>
        <v>18.475000000000001</v>
      </c>
      <c r="BE53" s="1">
        <f t="shared" si="25"/>
        <v>18.475000000000001</v>
      </c>
      <c r="BF53" s="1">
        <f t="shared" si="25"/>
        <v>27.1</v>
      </c>
      <c r="BG53" s="1">
        <f t="shared" si="25"/>
        <v>27.605555555555554</v>
      </c>
      <c r="BH53" s="1">
        <f t="shared" si="25"/>
        <v>28.113888888888887</v>
      </c>
      <c r="BI53" s="1">
        <f t="shared" si="25"/>
        <v>28.619444444444444</v>
      </c>
      <c r="BJ53" s="1">
        <f t="shared" si="25"/>
        <v>29.127777777777776</v>
      </c>
      <c r="BK53" s="1">
        <f t="shared" si="25"/>
        <v>29.636111111111113</v>
      </c>
      <c r="BL53" s="1">
        <f t="shared" si="25"/>
        <v>30.144444444444446</v>
      </c>
      <c r="BM53" s="1">
        <f t="shared" si="25"/>
        <v>30.65</v>
      </c>
      <c r="BN53" s="1">
        <f t="shared" si="26"/>
        <v>31.158333333333335</v>
      </c>
      <c r="BO53" s="1">
        <f t="shared" si="26"/>
        <v>31.158333333333335</v>
      </c>
      <c r="BP53" s="1">
        <f t="shared" si="26"/>
        <v>31.663888888888888</v>
      </c>
      <c r="BQ53" s="1">
        <f t="shared" si="26"/>
        <v>32.172222222222224</v>
      </c>
      <c r="BR53" s="1">
        <f t="shared" si="26"/>
        <v>32.677777777777777</v>
      </c>
      <c r="BS53" s="1">
        <f t="shared" si="26"/>
        <v>33.18611111111111</v>
      </c>
      <c r="BT53" s="1">
        <f t="shared" si="26"/>
        <v>33.694444444444443</v>
      </c>
      <c r="BU53" s="1">
        <f t="shared" si="26"/>
        <v>34.202777777777776</v>
      </c>
      <c r="BV53" s="1">
        <f t="shared" si="26"/>
        <v>34.202777777777776</v>
      </c>
      <c r="BW53" s="1">
        <f t="shared" si="26"/>
        <v>34.708333333333336</v>
      </c>
      <c r="BX53" s="1">
        <f t="shared" si="26"/>
        <v>35.216666666666669</v>
      </c>
      <c r="BY53" s="1">
        <f t="shared" si="26"/>
        <v>35.722222222222221</v>
      </c>
      <c r="BZ53" s="1">
        <f t="shared" si="26"/>
        <v>36.230555555555554</v>
      </c>
      <c r="CA53" s="1">
        <f t="shared" si="26"/>
        <v>36.736111111111114</v>
      </c>
      <c r="CB53" s="1">
        <f t="shared" si="26"/>
        <v>37.244444444444447</v>
      </c>
      <c r="CC53" s="1">
        <f t="shared" si="26"/>
        <v>37.75277777777778</v>
      </c>
      <c r="CD53" s="1">
        <f t="shared" si="27"/>
        <v>38.261111111111113</v>
      </c>
      <c r="CE53" s="1">
        <f t="shared" si="27"/>
        <v>38.766666666666666</v>
      </c>
      <c r="CF53" s="1">
        <f t="shared" si="27"/>
        <v>39.274999999999999</v>
      </c>
      <c r="CG53" s="1">
        <f t="shared" si="27"/>
        <v>39.780555555555559</v>
      </c>
      <c r="CH53" s="1">
        <f t="shared" si="27"/>
        <v>40.288888888888891</v>
      </c>
      <c r="CI53" s="1">
        <f t="shared" si="27"/>
        <v>40.794444444444444</v>
      </c>
      <c r="CJ53" s="1">
        <f t="shared" si="27"/>
        <v>41.302777777777777</v>
      </c>
      <c r="CK53" s="1">
        <f t="shared" si="27"/>
        <v>41.81111111111111</v>
      </c>
      <c r="CL53" s="1">
        <f t="shared" si="27"/>
        <v>42.319444444444443</v>
      </c>
      <c r="CM53" s="1">
        <f t="shared" si="27"/>
        <v>42.825000000000003</v>
      </c>
      <c r="CN53" s="1">
        <f t="shared" si="27"/>
        <v>43.333333333333336</v>
      </c>
      <c r="CO53" s="1">
        <f t="shared" si="27"/>
        <v>43.838888888888889</v>
      </c>
      <c r="CP53" s="1">
        <f t="shared" si="27"/>
        <v>44.347222222222221</v>
      </c>
      <c r="CQ53" s="1">
        <f t="shared" si="27"/>
        <v>44.852777777777774</v>
      </c>
      <c r="CR53" s="1">
        <f t="shared" si="27"/>
        <v>45.361111111111114</v>
      </c>
      <c r="CS53" s="1">
        <f t="shared" si="27"/>
        <v>45.869444444444447</v>
      </c>
      <c r="CT53" s="1">
        <f t="shared" si="28"/>
        <v>46.37777777777778</v>
      </c>
      <c r="CU53" s="1">
        <f t="shared" si="28"/>
        <v>46.883333333333333</v>
      </c>
      <c r="CV53" s="1">
        <f t="shared" si="28"/>
        <v>47.391666666666666</v>
      </c>
      <c r="CW53" s="1">
        <f t="shared" si="28"/>
        <v>47.897222222222226</v>
      </c>
      <c r="CX53" s="1">
        <f t="shared" si="28"/>
        <v>48.405555555555559</v>
      </c>
      <c r="CY53" s="1">
        <f t="shared" si="28"/>
        <v>48.911111111111111</v>
      </c>
      <c r="CZ53" s="1">
        <f t="shared" si="28"/>
        <v>49.419444444444444</v>
      </c>
      <c r="DA53" s="1">
        <f t="shared" si="28"/>
        <v>49.927777777777777</v>
      </c>
      <c r="DB53" s="1">
        <f t="shared" si="28"/>
        <v>50.43611111111111</v>
      </c>
      <c r="DC53" s="1">
        <f t="shared" si="28"/>
        <v>50.43611111111111</v>
      </c>
    </row>
    <row r="54" spans="1:107" x14ac:dyDescent="0.25">
      <c r="A54">
        <f t="shared" si="7"/>
        <v>4</v>
      </c>
      <c r="B54" s="2">
        <f>yields_BRUTE!B54</f>
        <v>42081</v>
      </c>
      <c r="C54" s="1">
        <f t="shared" si="30"/>
        <v>-4.7222222222222221E-2</v>
      </c>
      <c r="D54" s="1">
        <f t="shared" si="30"/>
        <v>-8.3333333333333332E-3</v>
      </c>
      <c r="E54" s="1">
        <f t="shared" si="30"/>
        <v>0.20833333333333334</v>
      </c>
      <c r="F54" s="1">
        <f t="shared" si="30"/>
        <v>0.46388888888888891</v>
      </c>
      <c r="G54" s="1">
        <f t="shared" si="30"/>
        <v>0.50277777777777777</v>
      </c>
      <c r="H54" s="1">
        <f t="shared" si="30"/>
        <v>0.71666666666666667</v>
      </c>
      <c r="I54" s="1">
        <f t="shared" si="30"/>
        <v>0.71666666666666667</v>
      </c>
      <c r="J54" s="1">
        <f t="shared" si="30"/>
        <v>0.96944444444444444</v>
      </c>
      <c r="K54" s="1">
        <f t="shared" si="30"/>
        <v>1.0083333333333333</v>
      </c>
      <c r="L54" s="1">
        <f t="shared" si="30"/>
        <v>1.2250000000000001</v>
      </c>
      <c r="M54" s="1">
        <f t="shared" si="30"/>
        <v>1.4805555555555556</v>
      </c>
      <c r="N54" s="1">
        <f t="shared" si="30"/>
        <v>1.4805555555555556</v>
      </c>
      <c r="O54" s="1">
        <f t="shared" si="30"/>
        <v>1.5194444444444444</v>
      </c>
      <c r="P54" s="1">
        <f t="shared" si="30"/>
        <v>1.7333333333333334</v>
      </c>
      <c r="Q54" s="1">
        <f t="shared" si="30"/>
        <v>2.0222222222222221</v>
      </c>
      <c r="R54" s="1">
        <f t="shared" si="30"/>
        <v>2.2388888888888889</v>
      </c>
      <c r="S54" s="1">
        <f t="shared" si="29"/>
        <v>2.5333333333333332</v>
      </c>
      <c r="T54" s="1">
        <f t="shared" si="29"/>
        <v>2.7472222222222222</v>
      </c>
      <c r="U54" s="1">
        <f t="shared" si="29"/>
        <v>3.036111111111111</v>
      </c>
      <c r="V54" s="1">
        <f t="shared" si="29"/>
        <v>3.2527777777777778</v>
      </c>
      <c r="W54" s="1">
        <f t="shared" si="29"/>
        <v>3.5472222222222221</v>
      </c>
      <c r="X54" s="1">
        <f t="shared" si="29"/>
        <v>3.7611111111111111</v>
      </c>
      <c r="Y54" s="1">
        <f t="shared" si="29"/>
        <v>4.05</v>
      </c>
      <c r="Z54" s="1">
        <f t="shared" si="29"/>
        <v>4.2666666666666666</v>
      </c>
      <c r="AA54" s="1">
        <f t="shared" si="29"/>
        <v>4.5611111111111109</v>
      </c>
      <c r="AB54" s="1">
        <f t="shared" si="29"/>
        <v>4.7750000000000004</v>
      </c>
      <c r="AC54" s="1">
        <f t="shared" si="29"/>
        <v>5.0666666666666664</v>
      </c>
      <c r="AD54" s="1">
        <f t="shared" si="29"/>
        <v>5.2833333333333332</v>
      </c>
      <c r="AE54" s="1">
        <f t="shared" si="29"/>
        <v>5.2833333333333332</v>
      </c>
      <c r="AF54" s="3">
        <f t="shared" si="29"/>
        <v>5.5777777777777775</v>
      </c>
      <c r="AG54" s="1">
        <f t="shared" si="29"/>
        <v>5.791666666666667</v>
      </c>
      <c r="AH54" s="1">
        <f t="shared" si="24"/>
        <v>6.0805555555555557</v>
      </c>
      <c r="AI54" s="1">
        <f t="shared" si="24"/>
        <v>6.0805555555555557</v>
      </c>
      <c r="AJ54" s="1">
        <f t="shared" si="24"/>
        <v>6.2972222222222225</v>
      </c>
      <c r="AK54" s="1">
        <f t="shared" si="24"/>
        <v>6.2972222222222225</v>
      </c>
      <c r="AL54" s="1">
        <f t="shared" si="24"/>
        <v>6.8055555555555554</v>
      </c>
      <c r="AM54" s="1">
        <f t="shared" si="24"/>
        <v>7.3111111111111109</v>
      </c>
      <c r="AN54" s="1">
        <f t="shared" si="24"/>
        <v>7.3111111111111109</v>
      </c>
      <c r="AO54" s="1">
        <f t="shared" si="24"/>
        <v>7.8194444444444446</v>
      </c>
      <c r="AP54" s="1">
        <f t="shared" si="24"/>
        <v>8.3249999999999993</v>
      </c>
      <c r="AQ54" s="1">
        <f t="shared" si="24"/>
        <v>8.3249999999999993</v>
      </c>
      <c r="AR54" s="1">
        <f t="shared" si="24"/>
        <v>8.8333333333333339</v>
      </c>
      <c r="AS54" s="1">
        <f t="shared" si="24"/>
        <v>9.3416666666666668</v>
      </c>
      <c r="AT54" s="1">
        <f t="shared" si="24"/>
        <v>9.85</v>
      </c>
      <c r="AU54" s="1">
        <f t="shared" si="24"/>
        <v>10.355555555555556</v>
      </c>
      <c r="AV54" s="1">
        <f t="shared" si="24"/>
        <v>10.355555555555556</v>
      </c>
      <c r="AW54" s="1">
        <f t="shared" si="24"/>
        <v>14.922222222222222</v>
      </c>
      <c r="AX54" s="1">
        <f t="shared" si="25"/>
        <v>15.427777777777777</v>
      </c>
      <c r="AY54" s="1">
        <f t="shared" si="25"/>
        <v>15.936111111111112</v>
      </c>
      <c r="AZ54" s="1">
        <f t="shared" si="25"/>
        <v>16.441666666666666</v>
      </c>
      <c r="BA54" s="1">
        <f t="shared" si="25"/>
        <v>16.95</v>
      </c>
      <c r="BB54" s="1">
        <f t="shared" si="25"/>
        <v>17.458333333333332</v>
      </c>
      <c r="BC54" s="1">
        <f t="shared" si="25"/>
        <v>17.966666666666665</v>
      </c>
      <c r="BD54" s="1">
        <f t="shared" si="25"/>
        <v>18.472222222222221</v>
      </c>
      <c r="BE54" s="1">
        <f t="shared" si="25"/>
        <v>18.472222222222221</v>
      </c>
      <c r="BF54" s="1">
        <f t="shared" si="25"/>
        <v>27.097222222222221</v>
      </c>
      <c r="BG54" s="1">
        <f t="shared" si="25"/>
        <v>27.602777777777778</v>
      </c>
      <c r="BH54" s="1">
        <f t="shared" si="25"/>
        <v>28.111111111111111</v>
      </c>
      <c r="BI54" s="1">
        <f t="shared" si="25"/>
        <v>28.616666666666667</v>
      </c>
      <c r="BJ54" s="1">
        <f t="shared" si="25"/>
        <v>29.125</v>
      </c>
      <c r="BK54" s="1">
        <f t="shared" si="25"/>
        <v>29.633333333333333</v>
      </c>
      <c r="BL54" s="1">
        <f t="shared" si="25"/>
        <v>30.141666666666666</v>
      </c>
      <c r="BM54" s="1">
        <f t="shared" si="25"/>
        <v>30.647222222222222</v>
      </c>
      <c r="BN54" s="1">
        <f t="shared" si="26"/>
        <v>31.155555555555555</v>
      </c>
      <c r="BO54" s="1">
        <f t="shared" si="26"/>
        <v>31.155555555555555</v>
      </c>
      <c r="BP54" s="1">
        <f t="shared" si="26"/>
        <v>31.661111111111111</v>
      </c>
      <c r="BQ54" s="1">
        <f t="shared" si="26"/>
        <v>32.169444444444444</v>
      </c>
      <c r="BR54" s="1">
        <f t="shared" si="26"/>
        <v>32.674999999999997</v>
      </c>
      <c r="BS54" s="1">
        <f t="shared" si="26"/>
        <v>33.18333333333333</v>
      </c>
      <c r="BT54" s="1">
        <f t="shared" si="26"/>
        <v>33.69166666666667</v>
      </c>
      <c r="BU54" s="1">
        <f t="shared" si="26"/>
        <v>34.200000000000003</v>
      </c>
      <c r="BV54" s="1">
        <f t="shared" si="26"/>
        <v>34.200000000000003</v>
      </c>
      <c r="BW54" s="1">
        <f t="shared" si="26"/>
        <v>34.705555555555556</v>
      </c>
      <c r="BX54" s="1">
        <f t="shared" si="26"/>
        <v>35.213888888888889</v>
      </c>
      <c r="BY54" s="1">
        <f t="shared" si="26"/>
        <v>35.719444444444441</v>
      </c>
      <c r="BZ54" s="1">
        <f t="shared" si="26"/>
        <v>36.227777777777774</v>
      </c>
      <c r="CA54" s="1">
        <f t="shared" si="26"/>
        <v>36.733333333333334</v>
      </c>
      <c r="CB54" s="1">
        <f t="shared" si="26"/>
        <v>37.241666666666667</v>
      </c>
      <c r="CC54" s="1">
        <f t="shared" si="26"/>
        <v>37.75</v>
      </c>
      <c r="CD54" s="1">
        <f t="shared" si="27"/>
        <v>38.258333333333333</v>
      </c>
      <c r="CE54" s="1">
        <f t="shared" si="27"/>
        <v>38.763888888888886</v>
      </c>
      <c r="CF54" s="1">
        <f t="shared" si="27"/>
        <v>39.272222222222226</v>
      </c>
      <c r="CG54" s="1">
        <f t="shared" si="27"/>
        <v>39.777777777777779</v>
      </c>
      <c r="CH54" s="1">
        <f t="shared" si="27"/>
        <v>40.286111111111111</v>
      </c>
      <c r="CI54" s="1">
        <f t="shared" si="27"/>
        <v>40.791666666666664</v>
      </c>
      <c r="CJ54" s="1">
        <f t="shared" si="27"/>
        <v>41.3</v>
      </c>
      <c r="CK54" s="1">
        <f t="shared" si="27"/>
        <v>41.80833333333333</v>
      </c>
      <c r="CL54" s="1">
        <f t="shared" si="27"/>
        <v>42.31666666666667</v>
      </c>
      <c r="CM54" s="1">
        <f t="shared" si="27"/>
        <v>42.822222222222223</v>
      </c>
      <c r="CN54" s="1">
        <f t="shared" si="27"/>
        <v>43.330555555555556</v>
      </c>
      <c r="CO54" s="1">
        <f t="shared" si="27"/>
        <v>43.836111111111109</v>
      </c>
      <c r="CP54" s="1">
        <f t="shared" si="27"/>
        <v>44.344444444444441</v>
      </c>
      <c r="CQ54" s="1">
        <f t="shared" si="27"/>
        <v>44.85</v>
      </c>
      <c r="CR54" s="1">
        <f t="shared" si="27"/>
        <v>45.358333333333334</v>
      </c>
      <c r="CS54" s="1">
        <f t="shared" si="27"/>
        <v>45.866666666666667</v>
      </c>
      <c r="CT54" s="1">
        <f t="shared" si="28"/>
        <v>46.375</v>
      </c>
      <c r="CU54" s="1">
        <f t="shared" si="28"/>
        <v>46.880555555555553</v>
      </c>
      <c r="CV54" s="1">
        <f t="shared" si="28"/>
        <v>47.388888888888886</v>
      </c>
      <c r="CW54" s="1">
        <f t="shared" si="28"/>
        <v>47.894444444444446</v>
      </c>
      <c r="CX54" s="1">
        <f t="shared" si="28"/>
        <v>48.402777777777779</v>
      </c>
      <c r="CY54" s="1">
        <f t="shared" si="28"/>
        <v>48.908333333333331</v>
      </c>
      <c r="CZ54" s="1">
        <f t="shared" si="28"/>
        <v>49.416666666666664</v>
      </c>
      <c r="DA54" s="1">
        <f t="shared" si="28"/>
        <v>49.924999999999997</v>
      </c>
      <c r="DB54" s="1">
        <f t="shared" si="28"/>
        <v>50.43333333333333</v>
      </c>
      <c r="DC54" s="1">
        <f t="shared" si="28"/>
        <v>50.43333333333333</v>
      </c>
    </row>
    <row r="55" spans="1:107" x14ac:dyDescent="0.25">
      <c r="A55">
        <f t="shared" si="7"/>
        <v>5</v>
      </c>
      <c r="B55" s="2">
        <f>yields_BRUTE!B55</f>
        <v>42082</v>
      </c>
      <c r="C55" s="1">
        <f t="shared" si="30"/>
        <v>-0.05</v>
      </c>
      <c r="D55" s="1">
        <f t="shared" si="30"/>
        <v>-1.1111111111111112E-2</v>
      </c>
      <c r="E55" s="1">
        <f t="shared" si="30"/>
        <v>0.20555555555555555</v>
      </c>
      <c r="F55" s="1">
        <f t="shared" si="30"/>
        <v>0.46111111111111114</v>
      </c>
      <c r="G55" s="1">
        <f t="shared" si="30"/>
        <v>0.5</v>
      </c>
      <c r="H55" s="1">
        <f t="shared" si="30"/>
        <v>0.71388888888888891</v>
      </c>
      <c r="I55" s="1">
        <f t="shared" si="30"/>
        <v>0.71388888888888891</v>
      </c>
      <c r="J55" s="1">
        <f t="shared" si="30"/>
        <v>0.96666666666666667</v>
      </c>
      <c r="K55" s="1">
        <f t="shared" si="30"/>
        <v>1.0055555555555555</v>
      </c>
      <c r="L55" s="1">
        <f t="shared" si="30"/>
        <v>1.2222222222222223</v>
      </c>
      <c r="M55" s="1">
        <f t="shared" si="30"/>
        <v>1.4777777777777779</v>
      </c>
      <c r="N55" s="1">
        <f t="shared" si="30"/>
        <v>1.4777777777777779</v>
      </c>
      <c r="O55" s="1">
        <f t="shared" si="30"/>
        <v>1.5166666666666666</v>
      </c>
      <c r="P55" s="1">
        <f t="shared" si="30"/>
        <v>1.7305555555555556</v>
      </c>
      <c r="Q55" s="1">
        <f t="shared" si="30"/>
        <v>2.0194444444444444</v>
      </c>
      <c r="R55" s="1">
        <f t="shared" si="30"/>
        <v>2.2361111111111112</v>
      </c>
      <c r="S55" s="1">
        <f t="shared" si="29"/>
        <v>2.5305555555555554</v>
      </c>
      <c r="T55" s="1">
        <f t="shared" si="29"/>
        <v>2.7444444444444445</v>
      </c>
      <c r="U55" s="1">
        <f t="shared" si="29"/>
        <v>3.0333333333333332</v>
      </c>
      <c r="V55" s="1">
        <f t="shared" si="29"/>
        <v>3.25</v>
      </c>
      <c r="W55" s="1">
        <f t="shared" si="29"/>
        <v>3.5444444444444443</v>
      </c>
      <c r="X55" s="1">
        <f t="shared" si="29"/>
        <v>3.7583333333333333</v>
      </c>
      <c r="Y55" s="1">
        <f t="shared" si="29"/>
        <v>4.0472222222222225</v>
      </c>
      <c r="Z55" s="1">
        <f t="shared" si="29"/>
        <v>4.2638888888888893</v>
      </c>
      <c r="AA55" s="1">
        <f t="shared" si="29"/>
        <v>4.5583333333333336</v>
      </c>
      <c r="AB55" s="1">
        <f t="shared" si="29"/>
        <v>4.7722222222222221</v>
      </c>
      <c r="AC55" s="1">
        <f t="shared" si="29"/>
        <v>5.0638888888888891</v>
      </c>
      <c r="AD55" s="1">
        <f t="shared" si="29"/>
        <v>5.2805555555555559</v>
      </c>
      <c r="AE55" s="1">
        <f t="shared" si="29"/>
        <v>5.2805555555555559</v>
      </c>
      <c r="AF55" s="3">
        <f t="shared" si="29"/>
        <v>5.5750000000000002</v>
      </c>
      <c r="AG55" s="1">
        <f t="shared" si="29"/>
        <v>5.7888888888888888</v>
      </c>
      <c r="AH55" s="1">
        <f t="shared" si="24"/>
        <v>6.0777777777777775</v>
      </c>
      <c r="AI55" s="1">
        <f t="shared" si="24"/>
        <v>6.0777777777777775</v>
      </c>
      <c r="AJ55" s="1">
        <f t="shared" si="24"/>
        <v>6.2944444444444443</v>
      </c>
      <c r="AK55" s="1">
        <f t="shared" si="24"/>
        <v>6.2944444444444443</v>
      </c>
      <c r="AL55" s="1">
        <f t="shared" si="24"/>
        <v>6.802777777777778</v>
      </c>
      <c r="AM55" s="1">
        <f t="shared" si="24"/>
        <v>7.3083333333333336</v>
      </c>
      <c r="AN55" s="1">
        <f t="shared" si="24"/>
        <v>7.3083333333333336</v>
      </c>
      <c r="AO55" s="1">
        <f t="shared" si="24"/>
        <v>7.8166666666666664</v>
      </c>
      <c r="AP55" s="1">
        <f t="shared" si="24"/>
        <v>8.3222222222222229</v>
      </c>
      <c r="AQ55" s="1">
        <f t="shared" si="24"/>
        <v>8.3222222222222229</v>
      </c>
      <c r="AR55" s="1">
        <f t="shared" si="24"/>
        <v>8.8305555555555557</v>
      </c>
      <c r="AS55" s="1">
        <f t="shared" si="24"/>
        <v>9.3388888888888886</v>
      </c>
      <c r="AT55" s="1">
        <f t="shared" si="24"/>
        <v>9.8472222222222214</v>
      </c>
      <c r="AU55" s="1">
        <f t="shared" si="24"/>
        <v>10.352777777777778</v>
      </c>
      <c r="AV55" s="1">
        <f t="shared" si="24"/>
        <v>10.352777777777778</v>
      </c>
      <c r="AW55" s="1">
        <f t="shared" si="24"/>
        <v>14.919444444444444</v>
      </c>
      <c r="AX55" s="1">
        <f t="shared" si="25"/>
        <v>15.425000000000001</v>
      </c>
      <c r="AY55" s="1">
        <f t="shared" si="25"/>
        <v>15.933333333333334</v>
      </c>
      <c r="AZ55" s="1">
        <f t="shared" si="25"/>
        <v>16.43888888888889</v>
      </c>
      <c r="BA55" s="1">
        <f t="shared" si="25"/>
        <v>16.947222222222223</v>
      </c>
      <c r="BB55" s="1">
        <f t="shared" si="25"/>
        <v>17.455555555555556</v>
      </c>
      <c r="BC55" s="1">
        <f t="shared" si="25"/>
        <v>17.963888888888889</v>
      </c>
      <c r="BD55" s="1">
        <f t="shared" si="25"/>
        <v>18.469444444444445</v>
      </c>
      <c r="BE55" s="1">
        <f t="shared" si="25"/>
        <v>18.469444444444445</v>
      </c>
      <c r="BF55" s="1">
        <f t="shared" si="25"/>
        <v>27.094444444444445</v>
      </c>
      <c r="BG55" s="1">
        <f t="shared" si="25"/>
        <v>27.6</v>
      </c>
      <c r="BH55" s="1">
        <f t="shared" si="25"/>
        <v>28.108333333333334</v>
      </c>
      <c r="BI55" s="1">
        <f t="shared" si="25"/>
        <v>28.613888888888887</v>
      </c>
      <c r="BJ55" s="1">
        <f t="shared" si="25"/>
        <v>29.122222222222224</v>
      </c>
      <c r="BK55" s="1">
        <f t="shared" si="25"/>
        <v>29.630555555555556</v>
      </c>
      <c r="BL55" s="1">
        <f t="shared" si="25"/>
        <v>30.138888888888889</v>
      </c>
      <c r="BM55" s="1">
        <f t="shared" si="25"/>
        <v>30.644444444444446</v>
      </c>
      <c r="BN55" s="1">
        <f t="shared" si="26"/>
        <v>31.152777777777779</v>
      </c>
      <c r="BO55" s="1">
        <f t="shared" si="26"/>
        <v>31.152777777777779</v>
      </c>
      <c r="BP55" s="1">
        <f t="shared" si="26"/>
        <v>31.658333333333335</v>
      </c>
      <c r="BQ55" s="1">
        <f t="shared" si="26"/>
        <v>32.166666666666664</v>
      </c>
      <c r="BR55" s="1">
        <f t="shared" si="26"/>
        <v>32.672222222222224</v>
      </c>
      <c r="BS55" s="1">
        <f t="shared" si="26"/>
        <v>33.180555555555557</v>
      </c>
      <c r="BT55" s="1">
        <f t="shared" si="26"/>
        <v>33.68888888888889</v>
      </c>
      <c r="BU55" s="1">
        <f t="shared" si="26"/>
        <v>34.197222222222223</v>
      </c>
      <c r="BV55" s="1">
        <f t="shared" si="26"/>
        <v>34.197222222222223</v>
      </c>
      <c r="BW55" s="1">
        <f t="shared" si="26"/>
        <v>34.702777777777776</v>
      </c>
      <c r="BX55" s="1">
        <f t="shared" si="26"/>
        <v>35.211111111111109</v>
      </c>
      <c r="BY55" s="1">
        <f t="shared" si="26"/>
        <v>35.716666666666669</v>
      </c>
      <c r="BZ55" s="1">
        <f t="shared" si="26"/>
        <v>36.225000000000001</v>
      </c>
      <c r="CA55" s="1">
        <f t="shared" si="26"/>
        <v>36.730555555555554</v>
      </c>
      <c r="CB55" s="1">
        <f t="shared" si="26"/>
        <v>37.238888888888887</v>
      </c>
      <c r="CC55" s="1">
        <f t="shared" si="26"/>
        <v>37.74722222222222</v>
      </c>
      <c r="CD55" s="1">
        <f t="shared" si="27"/>
        <v>38.255555555555553</v>
      </c>
      <c r="CE55" s="1">
        <f t="shared" si="27"/>
        <v>38.761111111111113</v>
      </c>
      <c r="CF55" s="1">
        <f t="shared" si="27"/>
        <v>39.269444444444446</v>
      </c>
      <c r="CG55" s="1">
        <f t="shared" si="27"/>
        <v>39.774999999999999</v>
      </c>
      <c r="CH55" s="1">
        <f t="shared" si="27"/>
        <v>40.283333333333331</v>
      </c>
      <c r="CI55" s="1">
        <f t="shared" si="27"/>
        <v>40.788888888888891</v>
      </c>
      <c r="CJ55" s="1">
        <f t="shared" si="27"/>
        <v>41.297222222222224</v>
      </c>
      <c r="CK55" s="1">
        <f t="shared" si="27"/>
        <v>41.805555555555557</v>
      </c>
      <c r="CL55" s="1">
        <f t="shared" si="27"/>
        <v>42.31388888888889</v>
      </c>
      <c r="CM55" s="1">
        <f t="shared" si="27"/>
        <v>42.819444444444443</v>
      </c>
      <c r="CN55" s="1">
        <f t="shared" si="27"/>
        <v>43.327777777777776</v>
      </c>
      <c r="CO55" s="1">
        <f t="shared" si="27"/>
        <v>43.833333333333336</v>
      </c>
      <c r="CP55" s="1">
        <f t="shared" si="27"/>
        <v>44.341666666666669</v>
      </c>
      <c r="CQ55" s="1">
        <f t="shared" si="27"/>
        <v>44.847222222222221</v>
      </c>
      <c r="CR55" s="1">
        <f t="shared" si="27"/>
        <v>45.355555555555554</v>
      </c>
      <c r="CS55" s="1">
        <f t="shared" si="27"/>
        <v>45.863888888888887</v>
      </c>
      <c r="CT55" s="1">
        <f t="shared" si="28"/>
        <v>46.37222222222222</v>
      </c>
      <c r="CU55" s="1">
        <f t="shared" si="28"/>
        <v>46.87777777777778</v>
      </c>
      <c r="CV55" s="1">
        <f t="shared" si="28"/>
        <v>47.386111111111113</v>
      </c>
      <c r="CW55" s="1">
        <f t="shared" si="28"/>
        <v>47.891666666666666</v>
      </c>
      <c r="CX55" s="1">
        <f t="shared" si="28"/>
        <v>48.4</v>
      </c>
      <c r="CY55" s="1">
        <f t="shared" si="28"/>
        <v>48.905555555555559</v>
      </c>
      <c r="CZ55" s="1">
        <f t="shared" si="28"/>
        <v>49.413888888888891</v>
      </c>
      <c r="DA55" s="1">
        <f t="shared" si="28"/>
        <v>49.922222222222224</v>
      </c>
      <c r="DB55" s="1">
        <f t="shared" si="28"/>
        <v>50.430555555555557</v>
      </c>
      <c r="DC55" s="1">
        <f t="shared" si="28"/>
        <v>50.430555555555557</v>
      </c>
    </row>
    <row r="56" spans="1:107" x14ac:dyDescent="0.25">
      <c r="A56">
        <f t="shared" si="7"/>
        <v>6</v>
      </c>
      <c r="B56" s="2">
        <f>yields_BRUTE!B56</f>
        <v>42083</v>
      </c>
      <c r="C56" s="1">
        <f t="shared" si="30"/>
        <v>-5.2777777777777778E-2</v>
      </c>
      <c r="D56" s="1">
        <f t="shared" si="30"/>
        <v>-1.3888888888888888E-2</v>
      </c>
      <c r="E56" s="1">
        <f t="shared" si="30"/>
        <v>0.20277777777777778</v>
      </c>
      <c r="F56" s="1">
        <f t="shared" si="30"/>
        <v>0.45833333333333331</v>
      </c>
      <c r="G56" s="1">
        <f t="shared" si="30"/>
        <v>0.49722222222222223</v>
      </c>
      <c r="H56" s="1">
        <f t="shared" si="30"/>
        <v>0.71111111111111114</v>
      </c>
      <c r="I56" s="1">
        <f t="shared" si="30"/>
        <v>0.71111111111111114</v>
      </c>
      <c r="J56" s="1">
        <f t="shared" si="30"/>
        <v>0.96388888888888891</v>
      </c>
      <c r="K56" s="1">
        <f t="shared" si="30"/>
        <v>1.0027777777777778</v>
      </c>
      <c r="L56" s="1">
        <f t="shared" si="30"/>
        <v>1.2194444444444446</v>
      </c>
      <c r="M56" s="1">
        <f t="shared" si="30"/>
        <v>1.4750000000000001</v>
      </c>
      <c r="N56" s="1">
        <f t="shared" si="30"/>
        <v>1.4750000000000001</v>
      </c>
      <c r="O56" s="1">
        <f t="shared" si="30"/>
        <v>1.5138888888888888</v>
      </c>
      <c r="P56" s="1">
        <f t="shared" si="30"/>
        <v>1.7277777777777779</v>
      </c>
      <c r="Q56" s="1">
        <f t="shared" si="30"/>
        <v>2.0166666666666666</v>
      </c>
      <c r="R56" s="1">
        <f t="shared" si="30"/>
        <v>2.2333333333333334</v>
      </c>
      <c r="S56" s="1">
        <f t="shared" si="29"/>
        <v>2.5277777777777777</v>
      </c>
      <c r="T56" s="1">
        <f t="shared" si="29"/>
        <v>2.7416666666666667</v>
      </c>
      <c r="U56" s="1">
        <f t="shared" si="29"/>
        <v>3.0305555555555554</v>
      </c>
      <c r="V56" s="1">
        <f t="shared" si="29"/>
        <v>3.2472222222222222</v>
      </c>
      <c r="W56" s="1">
        <f t="shared" si="29"/>
        <v>3.5416666666666665</v>
      </c>
      <c r="X56" s="1">
        <f t="shared" si="29"/>
        <v>3.7555555555555555</v>
      </c>
      <c r="Y56" s="1">
        <f t="shared" si="29"/>
        <v>4.0444444444444443</v>
      </c>
      <c r="Z56" s="1">
        <f t="shared" si="29"/>
        <v>4.2611111111111111</v>
      </c>
      <c r="AA56" s="1">
        <f t="shared" si="29"/>
        <v>4.5555555555555554</v>
      </c>
      <c r="AB56" s="1">
        <f t="shared" si="29"/>
        <v>4.7694444444444448</v>
      </c>
      <c r="AC56" s="1">
        <f t="shared" si="29"/>
        <v>5.0611111111111109</v>
      </c>
      <c r="AD56" s="1">
        <f t="shared" si="29"/>
        <v>5.2777777777777777</v>
      </c>
      <c r="AE56" s="1">
        <f t="shared" si="29"/>
        <v>5.2777777777777777</v>
      </c>
      <c r="AF56" s="3">
        <f t="shared" si="29"/>
        <v>5.572222222222222</v>
      </c>
      <c r="AG56" s="1">
        <f t="shared" si="29"/>
        <v>5.7861111111111114</v>
      </c>
      <c r="AH56" s="1">
        <f t="shared" si="24"/>
        <v>6.0750000000000002</v>
      </c>
      <c r="AI56" s="1">
        <f t="shared" si="24"/>
        <v>6.0750000000000002</v>
      </c>
      <c r="AJ56" s="1">
        <f t="shared" si="24"/>
        <v>6.291666666666667</v>
      </c>
      <c r="AK56" s="1">
        <f t="shared" si="24"/>
        <v>6.291666666666667</v>
      </c>
      <c r="AL56" s="1">
        <f t="shared" si="24"/>
        <v>6.8</v>
      </c>
      <c r="AM56" s="1">
        <f t="shared" si="24"/>
        <v>7.3055555555555554</v>
      </c>
      <c r="AN56" s="1">
        <f t="shared" si="24"/>
        <v>7.3055555555555554</v>
      </c>
      <c r="AO56" s="1">
        <f t="shared" si="24"/>
        <v>7.8138888888888891</v>
      </c>
      <c r="AP56" s="1">
        <f t="shared" si="24"/>
        <v>8.3194444444444446</v>
      </c>
      <c r="AQ56" s="1">
        <f t="shared" si="24"/>
        <v>8.3194444444444446</v>
      </c>
      <c r="AR56" s="1">
        <f t="shared" si="24"/>
        <v>8.8277777777777775</v>
      </c>
      <c r="AS56" s="1">
        <f t="shared" si="24"/>
        <v>9.3361111111111104</v>
      </c>
      <c r="AT56" s="1">
        <f t="shared" si="24"/>
        <v>9.844444444444445</v>
      </c>
      <c r="AU56" s="1">
        <f t="shared" si="24"/>
        <v>10.35</v>
      </c>
      <c r="AV56" s="1">
        <f t="shared" si="24"/>
        <v>10.35</v>
      </c>
      <c r="AW56" s="1">
        <f t="shared" si="24"/>
        <v>14.916666666666666</v>
      </c>
      <c r="AX56" s="1">
        <f t="shared" si="25"/>
        <v>15.422222222222222</v>
      </c>
      <c r="AY56" s="1">
        <f t="shared" si="25"/>
        <v>15.930555555555555</v>
      </c>
      <c r="AZ56" s="1">
        <f t="shared" si="25"/>
        <v>16.43611111111111</v>
      </c>
      <c r="BA56" s="1">
        <f t="shared" si="25"/>
        <v>16.944444444444443</v>
      </c>
      <c r="BB56" s="1">
        <f t="shared" si="25"/>
        <v>17.452777777777779</v>
      </c>
      <c r="BC56" s="1">
        <f t="shared" si="25"/>
        <v>17.961111111111112</v>
      </c>
      <c r="BD56" s="1">
        <f t="shared" si="25"/>
        <v>18.466666666666665</v>
      </c>
      <c r="BE56" s="1">
        <f t="shared" si="25"/>
        <v>18.466666666666665</v>
      </c>
      <c r="BF56" s="1">
        <f t="shared" si="25"/>
        <v>27.091666666666665</v>
      </c>
      <c r="BG56" s="1">
        <f t="shared" si="25"/>
        <v>27.597222222222221</v>
      </c>
      <c r="BH56" s="1">
        <f t="shared" si="25"/>
        <v>28.105555555555554</v>
      </c>
      <c r="BI56" s="1">
        <f t="shared" si="25"/>
        <v>28.611111111111111</v>
      </c>
      <c r="BJ56" s="1">
        <f t="shared" si="25"/>
        <v>29.119444444444444</v>
      </c>
      <c r="BK56" s="1">
        <f t="shared" si="25"/>
        <v>29.627777777777776</v>
      </c>
      <c r="BL56" s="1">
        <f t="shared" si="25"/>
        <v>30.136111111111113</v>
      </c>
      <c r="BM56" s="1">
        <f t="shared" si="25"/>
        <v>30.641666666666666</v>
      </c>
      <c r="BN56" s="1">
        <f t="shared" si="26"/>
        <v>31.15</v>
      </c>
      <c r="BO56" s="1">
        <f t="shared" si="26"/>
        <v>31.15</v>
      </c>
      <c r="BP56" s="1">
        <f t="shared" si="26"/>
        <v>31.655555555555555</v>
      </c>
      <c r="BQ56" s="1">
        <f t="shared" si="26"/>
        <v>32.163888888888891</v>
      </c>
      <c r="BR56" s="1">
        <f t="shared" si="26"/>
        <v>32.669444444444444</v>
      </c>
      <c r="BS56" s="1">
        <f t="shared" si="26"/>
        <v>33.177777777777777</v>
      </c>
      <c r="BT56" s="1">
        <f t="shared" si="26"/>
        <v>33.68611111111111</v>
      </c>
      <c r="BU56" s="1">
        <f t="shared" si="26"/>
        <v>34.194444444444443</v>
      </c>
      <c r="BV56" s="1">
        <f t="shared" si="26"/>
        <v>34.194444444444443</v>
      </c>
      <c r="BW56" s="1">
        <f t="shared" si="26"/>
        <v>34.700000000000003</v>
      </c>
      <c r="BX56" s="1">
        <f t="shared" si="26"/>
        <v>35.208333333333336</v>
      </c>
      <c r="BY56" s="1">
        <f t="shared" si="26"/>
        <v>35.713888888888889</v>
      </c>
      <c r="BZ56" s="1">
        <f t="shared" si="26"/>
        <v>36.222222222222221</v>
      </c>
      <c r="CA56" s="1">
        <f t="shared" si="26"/>
        <v>36.727777777777774</v>
      </c>
      <c r="CB56" s="1">
        <f t="shared" si="26"/>
        <v>37.236111111111114</v>
      </c>
      <c r="CC56" s="1">
        <f t="shared" si="26"/>
        <v>37.744444444444447</v>
      </c>
      <c r="CD56" s="1">
        <f t="shared" si="27"/>
        <v>38.25277777777778</v>
      </c>
      <c r="CE56" s="1">
        <f t="shared" si="27"/>
        <v>38.758333333333333</v>
      </c>
      <c r="CF56" s="1">
        <f t="shared" si="27"/>
        <v>39.266666666666666</v>
      </c>
      <c r="CG56" s="1">
        <f t="shared" si="27"/>
        <v>39.772222222222226</v>
      </c>
      <c r="CH56" s="1">
        <f t="shared" si="27"/>
        <v>40.280555555555559</v>
      </c>
      <c r="CI56" s="1">
        <f t="shared" si="27"/>
        <v>40.786111111111111</v>
      </c>
      <c r="CJ56" s="1">
        <f t="shared" si="27"/>
        <v>41.294444444444444</v>
      </c>
      <c r="CK56" s="1">
        <f t="shared" si="27"/>
        <v>41.802777777777777</v>
      </c>
      <c r="CL56" s="1">
        <f t="shared" si="27"/>
        <v>42.31111111111111</v>
      </c>
      <c r="CM56" s="1">
        <f t="shared" si="27"/>
        <v>42.81666666666667</v>
      </c>
      <c r="CN56" s="1">
        <f t="shared" si="27"/>
        <v>43.325000000000003</v>
      </c>
      <c r="CO56" s="1">
        <f t="shared" si="27"/>
        <v>43.830555555555556</v>
      </c>
      <c r="CP56" s="1">
        <f t="shared" si="27"/>
        <v>44.338888888888889</v>
      </c>
      <c r="CQ56" s="1">
        <f t="shared" si="27"/>
        <v>44.844444444444441</v>
      </c>
      <c r="CR56" s="1">
        <f t="shared" si="27"/>
        <v>45.352777777777774</v>
      </c>
      <c r="CS56" s="1">
        <f t="shared" si="27"/>
        <v>45.861111111111114</v>
      </c>
      <c r="CT56" s="1">
        <f t="shared" si="28"/>
        <v>46.369444444444447</v>
      </c>
      <c r="CU56" s="1">
        <f t="shared" si="28"/>
        <v>46.875</v>
      </c>
      <c r="CV56" s="1">
        <f t="shared" si="28"/>
        <v>47.383333333333333</v>
      </c>
      <c r="CW56" s="1">
        <f t="shared" si="28"/>
        <v>47.888888888888886</v>
      </c>
      <c r="CX56" s="1">
        <f t="shared" si="28"/>
        <v>48.397222222222226</v>
      </c>
      <c r="CY56" s="1">
        <f t="shared" si="28"/>
        <v>48.902777777777779</v>
      </c>
      <c r="CZ56" s="1">
        <f t="shared" si="28"/>
        <v>49.411111111111111</v>
      </c>
      <c r="DA56" s="1">
        <f t="shared" si="28"/>
        <v>49.919444444444444</v>
      </c>
      <c r="DB56" s="1">
        <f t="shared" si="28"/>
        <v>50.427777777777777</v>
      </c>
      <c r="DC56" s="1">
        <f t="shared" si="28"/>
        <v>50.427777777777777</v>
      </c>
    </row>
    <row r="57" spans="1:107" x14ac:dyDescent="0.25">
      <c r="A57">
        <f t="shared" si="7"/>
        <v>2</v>
      </c>
      <c r="B57" s="2">
        <f>yields_BRUTE!B57</f>
        <v>42086</v>
      </c>
      <c r="C57" s="1">
        <f t="shared" si="30"/>
        <v>-6.1111111111111109E-2</v>
      </c>
      <c r="D57" s="1">
        <f t="shared" si="30"/>
        <v>-2.2222222222222223E-2</v>
      </c>
      <c r="E57" s="1">
        <f t="shared" si="30"/>
        <v>0.19444444444444445</v>
      </c>
      <c r="F57" s="1">
        <f t="shared" si="30"/>
        <v>0.45</v>
      </c>
      <c r="G57" s="1">
        <f t="shared" si="30"/>
        <v>0.48888888888888887</v>
      </c>
      <c r="H57" s="1">
        <f t="shared" si="30"/>
        <v>0.70277777777777772</v>
      </c>
      <c r="I57" s="1">
        <f t="shared" si="30"/>
        <v>0.70277777777777772</v>
      </c>
      <c r="J57" s="1">
        <f t="shared" si="30"/>
        <v>0.9555555555555556</v>
      </c>
      <c r="K57" s="1">
        <f t="shared" si="30"/>
        <v>0.99444444444444446</v>
      </c>
      <c r="L57" s="1">
        <f t="shared" si="30"/>
        <v>1.211111111111111</v>
      </c>
      <c r="M57" s="1">
        <f t="shared" si="30"/>
        <v>1.4666666666666666</v>
      </c>
      <c r="N57" s="1">
        <f t="shared" si="30"/>
        <v>1.4666666666666666</v>
      </c>
      <c r="O57" s="1">
        <f t="shared" si="30"/>
        <v>1.5055555555555555</v>
      </c>
      <c r="P57" s="1">
        <f t="shared" si="30"/>
        <v>1.7194444444444446</v>
      </c>
      <c r="Q57" s="1">
        <f t="shared" si="30"/>
        <v>2.0083333333333333</v>
      </c>
      <c r="R57" s="1">
        <f t="shared" si="30"/>
        <v>2.2250000000000001</v>
      </c>
      <c r="S57" s="1">
        <f t="shared" si="29"/>
        <v>2.5194444444444444</v>
      </c>
      <c r="T57" s="1">
        <f t="shared" si="29"/>
        <v>2.7333333333333334</v>
      </c>
      <c r="U57" s="1">
        <f t="shared" si="29"/>
        <v>3.0222222222222221</v>
      </c>
      <c r="V57" s="1">
        <f t="shared" si="29"/>
        <v>3.2388888888888889</v>
      </c>
      <c r="W57" s="1">
        <f t="shared" si="29"/>
        <v>3.5333333333333332</v>
      </c>
      <c r="X57" s="1">
        <f t="shared" si="29"/>
        <v>3.7472222222222222</v>
      </c>
      <c r="Y57" s="1">
        <f t="shared" si="29"/>
        <v>4.0361111111111114</v>
      </c>
      <c r="Z57" s="1">
        <f t="shared" si="29"/>
        <v>4.2527777777777782</v>
      </c>
      <c r="AA57" s="1">
        <f t="shared" si="29"/>
        <v>4.5472222222222225</v>
      </c>
      <c r="AB57" s="1">
        <f t="shared" si="29"/>
        <v>4.7611111111111111</v>
      </c>
      <c r="AC57" s="1">
        <f t="shared" si="29"/>
        <v>5.052777777777778</v>
      </c>
      <c r="AD57" s="1">
        <f t="shared" si="29"/>
        <v>5.2694444444444448</v>
      </c>
      <c r="AE57" s="1">
        <f t="shared" si="29"/>
        <v>5.2694444444444448</v>
      </c>
      <c r="AF57" s="3">
        <f t="shared" si="29"/>
        <v>5.5638888888888891</v>
      </c>
      <c r="AG57" s="1">
        <f t="shared" si="29"/>
        <v>5.7777777777777777</v>
      </c>
      <c r="AH57" s="1">
        <f t="shared" si="24"/>
        <v>6.0666666666666664</v>
      </c>
      <c r="AI57" s="1">
        <f t="shared" si="24"/>
        <v>6.0666666666666664</v>
      </c>
      <c r="AJ57" s="1">
        <f t="shared" si="24"/>
        <v>6.2833333333333332</v>
      </c>
      <c r="AK57" s="1">
        <f t="shared" si="24"/>
        <v>6.2833333333333332</v>
      </c>
      <c r="AL57" s="1">
        <f t="shared" si="24"/>
        <v>6.791666666666667</v>
      </c>
      <c r="AM57" s="1">
        <f t="shared" si="24"/>
        <v>7.2972222222222225</v>
      </c>
      <c r="AN57" s="1">
        <f t="shared" si="24"/>
        <v>7.2972222222222225</v>
      </c>
      <c r="AO57" s="1">
        <f t="shared" si="24"/>
        <v>7.8055555555555554</v>
      </c>
      <c r="AP57" s="1">
        <f t="shared" si="24"/>
        <v>8.3111111111111118</v>
      </c>
      <c r="AQ57" s="1">
        <f t="shared" si="24"/>
        <v>8.3111111111111118</v>
      </c>
      <c r="AR57" s="1">
        <f t="shared" si="24"/>
        <v>8.8194444444444446</v>
      </c>
      <c r="AS57" s="1">
        <f t="shared" si="24"/>
        <v>9.3277777777777775</v>
      </c>
      <c r="AT57" s="1">
        <f t="shared" si="24"/>
        <v>9.8361111111111104</v>
      </c>
      <c r="AU57" s="1">
        <f t="shared" si="24"/>
        <v>10.341666666666667</v>
      </c>
      <c r="AV57" s="1">
        <f t="shared" si="24"/>
        <v>10.341666666666667</v>
      </c>
      <c r="AW57" s="1">
        <f t="shared" si="24"/>
        <v>14.908333333333333</v>
      </c>
      <c r="AX57" s="1">
        <f t="shared" si="25"/>
        <v>15.41388888888889</v>
      </c>
      <c r="AY57" s="1">
        <f t="shared" si="25"/>
        <v>15.922222222222222</v>
      </c>
      <c r="AZ57" s="1">
        <f t="shared" si="25"/>
        <v>16.427777777777777</v>
      </c>
      <c r="BA57" s="1">
        <f t="shared" si="25"/>
        <v>16.93611111111111</v>
      </c>
      <c r="BB57" s="1">
        <f t="shared" si="25"/>
        <v>17.444444444444443</v>
      </c>
      <c r="BC57" s="1">
        <f t="shared" si="25"/>
        <v>17.952777777777779</v>
      </c>
      <c r="BD57" s="1">
        <f t="shared" si="25"/>
        <v>18.458333333333332</v>
      </c>
      <c r="BE57" s="1">
        <f t="shared" si="25"/>
        <v>18.458333333333332</v>
      </c>
      <c r="BF57" s="1">
        <f t="shared" si="25"/>
        <v>27.083333333333332</v>
      </c>
      <c r="BG57" s="1">
        <f t="shared" si="25"/>
        <v>27.588888888888889</v>
      </c>
      <c r="BH57" s="1">
        <f t="shared" si="25"/>
        <v>28.097222222222221</v>
      </c>
      <c r="BI57" s="1">
        <f t="shared" si="25"/>
        <v>28.602777777777778</v>
      </c>
      <c r="BJ57" s="1">
        <f t="shared" si="25"/>
        <v>29.111111111111111</v>
      </c>
      <c r="BK57" s="1">
        <f t="shared" si="25"/>
        <v>29.619444444444444</v>
      </c>
      <c r="BL57" s="1">
        <f t="shared" si="25"/>
        <v>30.127777777777776</v>
      </c>
      <c r="BM57" s="1">
        <f t="shared" si="25"/>
        <v>30.633333333333333</v>
      </c>
      <c r="BN57" s="1">
        <f t="shared" si="26"/>
        <v>31.141666666666666</v>
      </c>
      <c r="BO57" s="1">
        <f t="shared" si="26"/>
        <v>31.141666666666666</v>
      </c>
      <c r="BP57" s="1">
        <f t="shared" si="26"/>
        <v>31.647222222222222</v>
      </c>
      <c r="BQ57" s="1">
        <f t="shared" si="26"/>
        <v>32.155555555555559</v>
      </c>
      <c r="BR57" s="1">
        <f t="shared" si="26"/>
        <v>32.661111111111111</v>
      </c>
      <c r="BS57" s="1">
        <f t="shared" si="26"/>
        <v>33.169444444444444</v>
      </c>
      <c r="BT57" s="1">
        <f t="shared" si="26"/>
        <v>33.677777777777777</v>
      </c>
      <c r="BU57" s="1">
        <f t="shared" si="26"/>
        <v>34.18611111111111</v>
      </c>
      <c r="BV57" s="1">
        <f t="shared" si="26"/>
        <v>34.18611111111111</v>
      </c>
      <c r="BW57" s="1">
        <f t="shared" si="26"/>
        <v>34.69166666666667</v>
      </c>
      <c r="BX57" s="1">
        <f t="shared" si="26"/>
        <v>35.200000000000003</v>
      </c>
      <c r="BY57" s="1">
        <f t="shared" si="26"/>
        <v>35.705555555555556</v>
      </c>
      <c r="BZ57" s="1">
        <f t="shared" si="26"/>
        <v>36.213888888888889</v>
      </c>
      <c r="CA57" s="1">
        <f t="shared" si="26"/>
        <v>36.719444444444441</v>
      </c>
      <c r="CB57" s="1">
        <f t="shared" si="26"/>
        <v>37.227777777777774</v>
      </c>
      <c r="CC57" s="1">
        <f t="shared" si="26"/>
        <v>37.736111111111114</v>
      </c>
      <c r="CD57" s="1">
        <f t="shared" si="27"/>
        <v>38.244444444444447</v>
      </c>
      <c r="CE57" s="1">
        <f t="shared" si="27"/>
        <v>38.75</v>
      </c>
      <c r="CF57" s="1">
        <f t="shared" si="27"/>
        <v>39.258333333333333</v>
      </c>
      <c r="CG57" s="1">
        <f t="shared" si="27"/>
        <v>39.763888888888886</v>
      </c>
      <c r="CH57" s="1">
        <f t="shared" si="27"/>
        <v>40.272222222222226</v>
      </c>
      <c r="CI57" s="1">
        <f t="shared" si="27"/>
        <v>40.777777777777779</v>
      </c>
      <c r="CJ57" s="1">
        <f t="shared" si="27"/>
        <v>41.286111111111111</v>
      </c>
      <c r="CK57" s="1">
        <f t="shared" si="27"/>
        <v>41.794444444444444</v>
      </c>
      <c r="CL57" s="1">
        <f t="shared" si="27"/>
        <v>42.302777777777777</v>
      </c>
      <c r="CM57" s="1">
        <f t="shared" si="27"/>
        <v>42.80833333333333</v>
      </c>
      <c r="CN57" s="1">
        <f t="shared" si="27"/>
        <v>43.31666666666667</v>
      </c>
      <c r="CO57" s="1">
        <f t="shared" si="27"/>
        <v>43.822222222222223</v>
      </c>
      <c r="CP57" s="1">
        <f t="shared" si="27"/>
        <v>44.330555555555556</v>
      </c>
      <c r="CQ57" s="1">
        <f t="shared" si="27"/>
        <v>44.836111111111109</v>
      </c>
      <c r="CR57" s="1">
        <f t="shared" si="27"/>
        <v>45.344444444444441</v>
      </c>
      <c r="CS57" s="1">
        <f t="shared" si="27"/>
        <v>45.852777777777774</v>
      </c>
      <c r="CT57" s="1">
        <f t="shared" si="28"/>
        <v>46.361111111111114</v>
      </c>
      <c r="CU57" s="1">
        <f t="shared" si="28"/>
        <v>46.866666666666667</v>
      </c>
      <c r="CV57" s="1">
        <f t="shared" si="28"/>
        <v>47.375</v>
      </c>
      <c r="CW57" s="1">
        <f t="shared" si="28"/>
        <v>47.880555555555553</v>
      </c>
      <c r="CX57" s="1">
        <f t="shared" si="28"/>
        <v>48.388888888888886</v>
      </c>
      <c r="CY57" s="1">
        <f t="shared" si="28"/>
        <v>48.894444444444446</v>
      </c>
      <c r="CZ57" s="1">
        <f t="shared" si="28"/>
        <v>49.402777777777779</v>
      </c>
      <c r="DA57" s="1">
        <f t="shared" si="28"/>
        <v>49.911111111111111</v>
      </c>
      <c r="DB57" s="1">
        <f t="shared" si="28"/>
        <v>50.419444444444444</v>
      </c>
      <c r="DC57" s="1">
        <f t="shared" si="28"/>
        <v>50.419444444444444</v>
      </c>
    </row>
    <row r="58" spans="1:107" x14ac:dyDescent="0.25">
      <c r="A58">
        <f t="shared" si="7"/>
        <v>3</v>
      </c>
      <c r="B58" s="2">
        <f>yields_BRUTE!B58</f>
        <v>42087</v>
      </c>
      <c r="C58" s="1">
        <f t="shared" si="30"/>
        <v>-6.3888888888888884E-2</v>
      </c>
      <c r="D58" s="1">
        <f t="shared" si="30"/>
        <v>-2.5000000000000001E-2</v>
      </c>
      <c r="E58" s="1">
        <f t="shared" si="30"/>
        <v>0.19166666666666668</v>
      </c>
      <c r="F58" s="1">
        <f t="shared" si="30"/>
        <v>0.44722222222222224</v>
      </c>
      <c r="G58" s="1">
        <f t="shared" si="30"/>
        <v>0.4861111111111111</v>
      </c>
      <c r="H58" s="1">
        <f t="shared" si="30"/>
        <v>0.7</v>
      </c>
      <c r="I58" s="1">
        <f t="shared" si="30"/>
        <v>0.7</v>
      </c>
      <c r="J58" s="1">
        <f t="shared" si="30"/>
        <v>0.95277777777777772</v>
      </c>
      <c r="K58" s="1">
        <f t="shared" si="30"/>
        <v>0.9916666666666667</v>
      </c>
      <c r="L58" s="1">
        <f t="shared" si="30"/>
        <v>1.2083333333333333</v>
      </c>
      <c r="M58" s="1">
        <f t="shared" si="30"/>
        <v>1.4638888888888888</v>
      </c>
      <c r="N58" s="1">
        <f t="shared" si="30"/>
        <v>1.4638888888888888</v>
      </c>
      <c r="O58" s="1">
        <f t="shared" si="30"/>
        <v>1.5027777777777778</v>
      </c>
      <c r="P58" s="1">
        <f t="shared" si="30"/>
        <v>1.7166666666666666</v>
      </c>
      <c r="Q58" s="1">
        <f t="shared" si="30"/>
        <v>2.0055555555555555</v>
      </c>
      <c r="R58" s="1">
        <f t="shared" si="30"/>
        <v>2.2222222222222223</v>
      </c>
      <c r="S58" s="1">
        <f t="shared" si="29"/>
        <v>2.5166666666666666</v>
      </c>
      <c r="T58" s="1">
        <f t="shared" si="29"/>
        <v>2.7305555555555556</v>
      </c>
      <c r="U58" s="1">
        <f t="shared" si="29"/>
        <v>3.0194444444444444</v>
      </c>
      <c r="V58" s="1">
        <f t="shared" si="29"/>
        <v>3.2361111111111112</v>
      </c>
      <c r="W58" s="1">
        <f t="shared" si="29"/>
        <v>3.5305555555555554</v>
      </c>
      <c r="X58" s="1">
        <f t="shared" si="29"/>
        <v>3.7444444444444445</v>
      </c>
      <c r="Y58" s="1">
        <f t="shared" si="29"/>
        <v>4.0333333333333332</v>
      </c>
      <c r="Z58" s="1">
        <f t="shared" si="29"/>
        <v>4.25</v>
      </c>
      <c r="AA58" s="1">
        <f t="shared" si="29"/>
        <v>4.5444444444444443</v>
      </c>
      <c r="AB58" s="1">
        <f t="shared" si="29"/>
        <v>4.7583333333333337</v>
      </c>
      <c r="AC58" s="1">
        <f t="shared" si="29"/>
        <v>5.05</v>
      </c>
      <c r="AD58" s="1">
        <f t="shared" si="29"/>
        <v>5.2666666666666666</v>
      </c>
      <c r="AE58" s="1">
        <f t="shared" si="29"/>
        <v>5.2666666666666666</v>
      </c>
      <c r="AF58" s="3">
        <f t="shared" si="29"/>
        <v>5.5611111111111109</v>
      </c>
      <c r="AG58" s="1">
        <f t="shared" si="29"/>
        <v>5.7750000000000004</v>
      </c>
      <c r="AH58" s="1">
        <f t="shared" si="24"/>
        <v>6.0638888888888891</v>
      </c>
      <c r="AI58" s="1">
        <f t="shared" si="24"/>
        <v>6.0638888888888891</v>
      </c>
      <c r="AJ58" s="1">
        <f t="shared" si="24"/>
        <v>6.2805555555555559</v>
      </c>
      <c r="AK58" s="1">
        <f t="shared" si="24"/>
        <v>6.2805555555555559</v>
      </c>
      <c r="AL58" s="1">
        <f t="shared" si="24"/>
        <v>6.7888888888888888</v>
      </c>
      <c r="AM58" s="1">
        <f t="shared" si="24"/>
        <v>7.2944444444444443</v>
      </c>
      <c r="AN58" s="1">
        <f t="shared" si="24"/>
        <v>7.2944444444444443</v>
      </c>
      <c r="AO58" s="1">
        <f t="shared" si="24"/>
        <v>7.802777777777778</v>
      </c>
      <c r="AP58" s="1">
        <f t="shared" si="24"/>
        <v>8.3083333333333336</v>
      </c>
      <c r="AQ58" s="1">
        <f t="shared" si="24"/>
        <v>8.3083333333333336</v>
      </c>
      <c r="AR58" s="1">
        <f t="shared" si="24"/>
        <v>8.8166666666666664</v>
      </c>
      <c r="AS58" s="1">
        <f t="shared" si="24"/>
        <v>9.3249999999999993</v>
      </c>
      <c r="AT58" s="1">
        <f t="shared" si="24"/>
        <v>9.8333333333333339</v>
      </c>
      <c r="AU58" s="1">
        <f t="shared" si="24"/>
        <v>10.338888888888889</v>
      </c>
      <c r="AV58" s="1">
        <f t="shared" si="24"/>
        <v>10.338888888888889</v>
      </c>
      <c r="AW58" s="1">
        <f t="shared" si="24"/>
        <v>14.905555555555555</v>
      </c>
      <c r="AX58" s="1">
        <f t="shared" si="25"/>
        <v>15.411111111111111</v>
      </c>
      <c r="AY58" s="1">
        <f t="shared" si="25"/>
        <v>15.919444444444444</v>
      </c>
      <c r="AZ58" s="1">
        <f t="shared" si="25"/>
        <v>16.425000000000001</v>
      </c>
      <c r="BA58" s="1">
        <f t="shared" si="25"/>
        <v>16.933333333333334</v>
      </c>
      <c r="BB58" s="1">
        <f t="shared" si="25"/>
        <v>17.441666666666666</v>
      </c>
      <c r="BC58" s="1">
        <f t="shared" si="25"/>
        <v>17.95</v>
      </c>
      <c r="BD58" s="1">
        <f t="shared" si="25"/>
        <v>18.455555555555556</v>
      </c>
      <c r="BE58" s="1">
        <f t="shared" si="25"/>
        <v>18.455555555555556</v>
      </c>
      <c r="BF58" s="1">
        <f t="shared" si="25"/>
        <v>27.080555555555556</v>
      </c>
      <c r="BG58" s="1">
        <f t="shared" si="25"/>
        <v>27.586111111111112</v>
      </c>
      <c r="BH58" s="1">
        <f t="shared" si="25"/>
        <v>28.094444444444445</v>
      </c>
      <c r="BI58" s="1">
        <f t="shared" si="25"/>
        <v>28.6</v>
      </c>
      <c r="BJ58" s="1">
        <f t="shared" si="25"/>
        <v>29.108333333333334</v>
      </c>
      <c r="BK58" s="1">
        <f t="shared" si="25"/>
        <v>29.616666666666667</v>
      </c>
      <c r="BL58" s="1">
        <f t="shared" si="25"/>
        <v>30.125</v>
      </c>
      <c r="BM58" s="1">
        <f t="shared" si="25"/>
        <v>30.630555555555556</v>
      </c>
      <c r="BN58" s="1">
        <f t="shared" si="26"/>
        <v>31.138888888888889</v>
      </c>
      <c r="BO58" s="1">
        <f t="shared" si="26"/>
        <v>31.138888888888889</v>
      </c>
      <c r="BP58" s="1">
        <f t="shared" si="26"/>
        <v>31.644444444444446</v>
      </c>
      <c r="BQ58" s="1">
        <f t="shared" si="26"/>
        <v>32.152777777777779</v>
      </c>
      <c r="BR58" s="1">
        <f t="shared" si="26"/>
        <v>32.658333333333331</v>
      </c>
      <c r="BS58" s="1">
        <f t="shared" si="26"/>
        <v>33.166666666666664</v>
      </c>
      <c r="BT58" s="1">
        <f t="shared" si="26"/>
        <v>33.674999999999997</v>
      </c>
      <c r="BU58" s="1">
        <f t="shared" si="26"/>
        <v>34.18333333333333</v>
      </c>
      <c r="BV58" s="1">
        <f t="shared" si="26"/>
        <v>34.18333333333333</v>
      </c>
      <c r="BW58" s="1">
        <f t="shared" si="26"/>
        <v>34.68888888888889</v>
      </c>
      <c r="BX58" s="1">
        <f t="shared" si="26"/>
        <v>35.197222222222223</v>
      </c>
      <c r="BY58" s="1">
        <f t="shared" si="26"/>
        <v>35.702777777777776</v>
      </c>
      <c r="BZ58" s="1">
        <f t="shared" si="26"/>
        <v>36.211111111111109</v>
      </c>
      <c r="CA58" s="1">
        <f t="shared" si="26"/>
        <v>36.716666666666669</v>
      </c>
      <c r="CB58" s="1">
        <f t="shared" si="26"/>
        <v>37.225000000000001</v>
      </c>
      <c r="CC58" s="1">
        <f t="shared" si="26"/>
        <v>37.733333333333334</v>
      </c>
      <c r="CD58" s="1">
        <f t="shared" si="27"/>
        <v>38.241666666666667</v>
      </c>
      <c r="CE58" s="1">
        <f t="shared" si="27"/>
        <v>38.74722222222222</v>
      </c>
      <c r="CF58" s="1">
        <f t="shared" si="27"/>
        <v>39.255555555555553</v>
      </c>
      <c r="CG58" s="1">
        <f t="shared" si="27"/>
        <v>39.761111111111113</v>
      </c>
      <c r="CH58" s="1">
        <f t="shared" si="27"/>
        <v>40.269444444444446</v>
      </c>
      <c r="CI58" s="1">
        <f t="shared" si="27"/>
        <v>40.774999999999999</v>
      </c>
      <c r="CJ58" s="1">
        <f t="shared" si="27"/>
        <v>41.283333333333331</v>
      </c>
      <c r="CK58" s="1">
        <f t="shared" si="27"/>
        <v>41.791666666666664</v>
      </c>
      <c r="CL58" s="1">
        <f t="shared" si="27"/>
        <v>42.3</v>
      </c>
      <c r="CM58" s="1">
        <f t="shared" si="27"/>
        <v>42.805555555555557</v>
      </c>
      <c r="CN58" s="1">
        <f t="shared" si="27"/>
        <v>43.31388888888889</v>
      </c>
      <c r="CO58" s="1">
        <f t="shared" si="27"/>
        <v>43.819444444444443</v>
      </c>
      <c r="CP58" s="1">
        <f t="shared" si="27"/>
        <v>44.327777777777776</v>
      </c>
      <c r="CQ58" s="1">
        <f t="shared" si="27"/>
        <v>44.833333333333336</v>
      </c>
      <c r="CR58" s="1">
        <f t="shared" si="27"/>
        <v>45.341666666666669</v>
      </c>
      <c r="CS58" s="1">
        <f t="shared" si="27"/>
        <v>45.85</v>
      </c>
      <c r="CT58" s="1">
        <f t="shared" si="28"/>
        <v>46.358333333333334</v>
      </c>
      <c r="CU58" s="1">
        <f t="shared" si="28"/>
        <v>46.863888888888887</v>
      </c>
      <c r="CV58" s="1">
        <f t="shared" si="28"/>
        <v>47.37222222222222</v>
      </c>
      <c r="CW58" s="1">
        <f t="shared" si="28"/>
        <v>47.87777777777778</v>
      </c>
      <c r="CX58" s="1">
        <f t="shared" si="28"/>
        <v>48.386111111111113</v>
      </c>
      <c r="CY58" s="1">
        <f t="shared" si="28"/>
        <v>48.891666666666666</v>
      </c>
      <c r="CZ58" s="1">
        <f t="shared" si="28"/>
        <v>49.4</v>
      </c>
      <c r="DA58" s="1">
        <f t="shared" si="28"/>
        <v>49.908333333333331</v>
      </c>
      <c r="DB58" s="1">
        <f t="shared" si="28"/>
        <v>50.416666666666664</v>
      </c>
      <c r="DC58" s="1">
        <f t="shared" si="28"/>
        <v>50.416666666666664</v>
      </c>
    </row>
    <row r="59" spans="1:107" x14ac:dyDescent="0.25">
      <c r="A59">
        <f t="shared" si="7"/>
        <v>4</v>
      </c>
      <c r="B59" s="2">
        <f>yields_BRUTE!B59</f>
        <v>42088</v>
      </c>
      <c r="C59" s="1">
        <f t="shared" si="30"/>
        <v>-6.6666666666666666E-2</v>
      </c>
      <c r="D59" s="1">
        <f t="shared" si="30"/>
        <v>-2.7777777777777776E-2</v>
      </c>
      <c r="E59" s="1">
        <f t="shared" si="30"/>
        <v>0.18888888888888888</v>
      </c>
      <c r="F59" s="1">
        <f t="shared" si="30"/>
        <v>0.44444444444444442</v>
      </c>
      <c r="G59" s="1">
        <f t="shared" si="30"/>
        <v>0.48333333333333334</v>
      </c>
      <c r="H59" s="1">
        <f t="shared" si="30"/>
        <v>0.69722222222222219</v>
      </c>
      <c r="I59" s="1">
        <f t="shared" si="30"/>
        <v>0.69722222222222219</v>
      </c>
      <c r="J59" s="1">
        <f t="shared" si="30"/>
        <v>0.95</v>
      </c>
      <c r="K59" s="1">
        <f t="shared" si="30"/>
        <v>0.98888888888888893</v>
      </c>
      <c r="L59" s="1">
        <f t="shared" si="30"/>
        <v>1.2055555555555555</v>
      </c>
      <c r="M59" s="1">
        <f t="shared" si="30"/>
        <v>1.461111111111111</v>
      </c>
      <c r="N59" s="1">
        <f t="shared" si="30"/>
        <v>1.461111111111111</v>
      </c>
      <c r="O59" s="1">
        <f t="shared" si="30"/>
        <v>1.5</v>
      </c>
      <c r="P59" s="1">
        <f t="shared" si="30"/>
        <v>1.7138888888888888</v>
      </c>
      <c r="Q59" s="1">
        <f t="shared" si="30"/>
        <v>2.0027777777777778</v>
      </c>
      <c r="R59" s="1">
        <f t="shared" si="30"/>
        <v>2.2194444444444446</v>
      </c>
      <c r="S59" s="1">
        <f t="shared" si="29"/>
        <v>2.5138888888888888</v>
      </c>
      <c r="T59" s="1">
        <f t="shared" si="29"/>
        <v>2.7277777777777779</v>
      </c>
      <c r="U59" s="1">
        <f t="shared" si="29"/>
        <v>3.0166666666666666</v>
      </c>
      <c r="V59" s="1">
        <f t="shared" si="29"/>
        <v>3.2333333333333334</v>
      </c>
      <c r="W59" s="1">
        <f t="shared" si="29"/>
        <v>3.5277777777777777</v>
      </c>
      <c r="X59" s="1">
        <f t="shared" si="29"/>
        <v>3.7416666666666667</v>
      </c>
      <c r="Y59" s="1">
        <f t="shared" si="29"/>
        <v>4.0305555555555559</v>
      </c>
      <c r="Z59" s="1">
        <f t="shared" si="29"/>
        <v>4.2472222222222218</v>
      </c>
      <c r="AA59" s="1">
        <f t="shared" si="29"/>
        <v>4.541666666666667</v>
      </c>
      <c r="AB59" s="1">
        <f t="shared" si="29"/>
        <v>4.7555555555555555</v>
      </c>
      <c r="AC59" s="1">
        <f t="shared" si="29"/>
        <v>5.0472222222222225</v>
      </c>
      <c r="AD59" s="1">
        <f t="shared" si="29"/>
        <v>5.2638888888888893</v>
      </c>
      <c r="AE59" s="1">
        <f t="shared" si="29"/>
        <v>5.2638888888888893</v>
      </c>
      <c r="AF59" s="3">
        <f t="shared" si="29"/>
        <v>5.5583333333333336</v>
      </c>
      <c r="AG59" s="1">
        <f t="shared" si="29"/>
        <v>5.7722222222222221</v>
      </c>
      <c r="AH59" s="1">
        <f t="shared" si="24"/>
        <v>6.0611111111111109</v>
      </c>
      <c r="AI59" s="1">
        <f t="shared" si="24"/>
        <v>6.0611111111111109</v>
      </c>
      <c r="AJ59" s="1">
        <f t="shared" si="24"/>
        <v>6.2777777777777777</v>
      </c>
      <c r="AK59" s="1">
        <f t="shared" si="24"/>
        <v>6.2777777777777777</v>
      </c>
      <c r="AL59" s="1">
        <f t="shared" si="24"/>
        <v>6.7861111111111114</v>
      </c>
      <c r="AM59" s="1">
        <f t="shared" si="24"/>
        <v>7.291666666666667</v>
      </c>
      <c r="AN59" s="1">
        <f t="shared" si="24"/>
        <v>7.291666666666667</v>
      </c>
      <c r="AO59" s="1">
        <f t="shared" si="24"/>
        <v>7.8</v>
      </c>
      <c r="AP59" s="1">
        <f t="shared" si="24"/>
        <v>8.3055555555555554</v>
      </c>
      <c r="AQ59" s="1">
        <f t="shared" si="24"/>
        <v>8.3055555555555554</v>
      </c>
      <c r="AR59" s="1">
        <f t="shared" si="24"/>
        <v>8.8138888888888882</v>
      </c>
      <c r="AS59" s="1">
        <f t="shared" si="24"/>
        <v>9.3222222222222229</v>
      </c>
      <c r="AT59" s="1">
        <f t="shared" si="24"/>
        <v>9.8305555555555557</v>
      </c>
      <c r="AU59" s="1">
        <f t="shared" si="24"/>
        <v>10.33611111111111</v>
      </c>
      <c r="AV59" s="1">
        <f t="shared" si="24"/>
        <v>10.33611111111111</v>
      </c>
      <c r="AW59" s="1">
        <f t="shared" si="24"/>
        <v>14.902777777777779</v>
      </c>
      <c r="AX59" s="1">
        <f t="shared" si="25"/>
        <v>15.408333333333333</v>
      </c>
      <c r="AY59" s="1">
        <f t="shared" si="25"/>
        <v>15.916666666666666</v>
      </c>
      <c r="AZ59" s="1">
        <f t="shared" si="25"/>
        <v>16.422222222222221</v>
      </c>
      <c r="BA59" s="1">
        <f t="shared" si="25"/>
        <v>16.930555555555557</v>
      </c>
      <c r="BB59" s="1">
        <f t="shared" si="25"/>
        <v>17.43888888888889</v>
      </c>
      <c r="BC59" s="1">
        <f t="shared" si="25"/>
        <v>17.947222222222223</v>
      </c>
      <c r="BD59" s="1">
        <f t="shared" si="25"/>
        <v>18.452777777777779</v>
      </c>
      <c r="BE59" s="1">
        <f t="shared" si="25"/>
        <v>18.452777777777779</v>
      </c>
      <c r="BF59" s="1">
        <f t="shared" si="25"/>
        <v>27.077777777777779</v>
      </c>
      <c r="BG59" s="1">
        <f t="shared" si="25"/>
        <v>27.583333333333332</v>
      </c>
      <c r="BH59" s="1">
        <f t="shared" si="25"/>
        <v>28.091666666666665</v>
      </c>
      <c r="BI59" s="1">
        <f t="shared" si="25"/>
        <v>28.597222222222221</v>
      </c>
      <c r="BJ59" s="1">
        <f t="shared" si="25"/>
        <v>29.105555555555554</v>
      </c>
      <c r="BK59" s="1">
        <f t="shared" si="25"/>
        <v>29.613888888888887</v>
      </c>
      <c r="BL59" s="1">
        <f t="shared" si="25"/>
        <v>30.122222222222224</v>
      </c>
      <c r="BM59" s="1">
        <f t="shared" si="25"/>
        <v>30.627777777777776</v>
      </c>
      <c r="BN59" s="1">
        <f t="shared" si="26"/>
        <v>31.136111111111113</v>
      </c>
      <c r="BO59" s="1">
        <f t="shared" si="26"/>
        <v>31.136111111111113</v>
      </c>
      <c r="BP59" s="1">
        <f t="shared" si="26"/>
        <v>31.641666666666666</v>
      </c>
      <c r="BQ59" s="1">
        <f t="shared" si="26"/>
        <v>32.15</v>
      </c>
      <c r="BR59" s="1">
        <f t="shared" si="26"/>
        <v>32.655555555555559</v>
      </c>
      <c r="BS59" s="1">
        <f t="shared" si="26"/>
        <v>33.163888888888891</v>
      </c>
      <c r="BT59" s="1">
        <f t="shared" si="26"/>
        <v>33.672222222222224</v>
      </c>
      <c r="BU59" s="1">
        <f t="shared" si="26"/>
        <v>34.180555555555557</v>
      </c>
      <c r="BV59" s="1">
        <f t="shared" si="26"/>
        <v>34.180555555555557</v>
      </c>
      <c r="BW59" s="1">
        <f t="shared" si="26"/>
        <v>34.68611111111111</v>
      </c>
      <c r="BX59" s="1">
        <f t="shared" si="26"/>
        <v>35.194444444444443</v>
      </c>
      <c r="BY59" s="1">
        <f t="shared" si="26"/>
        <v>35.700000000000003</v>
      </c>
      <c r="BZ59" s="1">
        <f t="shared" si="26"/>
        <v>36.208333333333336</v>
      </c>
      <c r="CA59" s="1">
        <f t="shared" si="26"/>
        <v>36.713888888888889</v>
      </c>
      <c r="CB59" s="1">
        <f t="shared" si="26"/>
        <v>37.222222222222221</v>
      </c>
      <c r="CC59" s="1">
        <f t="shared" si="26"/>
        <v>37.730555555555554</v>
      </c>
      <c r="CD59" s="1">
        <f t="shared" si="27"/>
        <v>38.238888888888887</v>
      </c>
      <c r="CE59" s="1">
        <f t="shared" si="27"/>
        <v>38.744444444444447</v>
      </c>
      <c r="CF59" s="1">
        <f t="shared" si="27"/>
        <v>39.25277777777778</v>
      </c>
      <c r="CG59" s="1">
        <f t="shared" si="27"/>
        <v>39.758333333333333</v>
      </c>
      <c r="CH59" s="1">
        <f t="shared" si="27"/>
        <v>40.266666666666666</v>
      </c>
      <c r="CI59" s="1">
        <f t="shared" si="27"/>
        <v>40.772222222222226</v>
      </c>
      <c r="CJ59" s="1">
        <f t="shared" si="27"/>
        <v>41.280555555555559</v>
      </c>
      <c r="CK59" s="1">
        <f t="shared" si="27"/>
        <v>41.788888888888891</v>
      </c>
      <c r="CL59" s="1">
        <f t="shared" si="27"/>
        <v>42.297222222222224</v>
      </c>
      <c r="CM59" s="1">
        <f t="shared" si="27"/>
        <v>42.802777777777777</v>
      </c>
      <c r="CN59" s="1">
        <f t="shared" si="27"/>
        <v>43.31111111111111</v>
      </c>
      <c r="CO59" s="1">
        <f t="shared" si="27"/>
        <v>43.81666666666667</v>
      </c>
      <c r="CP59" s="1">
        <f t="shared" si="27"/>
        <v>44.325000000000003</v>
      </c>
      <c r="CQ59" s="1">
        <f t="shared" si="27"/>
        <v>44.830555555555556</v>
      </c>
      <c r="CR59" s="1">
        <f t="shared" si="27"/>
        <v>45.338888888888889</v>
      </c>
      <c r="CS59" s="1">
        <f t="shared" si="27"/>
        <v>45.847222222222221</v>
      </c>
      <c r="CT59" s="1">
        <f t="shared" si="28"/>
        <v>46.355555555555554</v>
      </c>
      <c r="CU59" s="1">
        <f t="shared" si="28"/>
        <v>46.861111111111114</v>
      </c>
      <c r="CV59" s="1">
        <f t="shared" si="28"/>
        <v>47.369444444444447</v>
      </c>
      <c r="CW59" s="1">
        <f t="shared" si="28"/>
        <v>47.875</v>
      </c>
      <c r="CX59" s="1">
        <f t="shared" si="28"/>
        <v>48.383333333333333</v>
      </c>
      <c r="CY59" s="1">
        <f t="shared" si="28"/>
        <v>48.888888888888886</v>
      </c>
      <c r="CZ59" s="1">
        <f t="shared" si="28"/>
        <v>49.397222222222226</v>
      </c>
      <c r="DA59" s="1">
        <f t="shared" si="28"/>
        <v>49.905555555555559</v>
      </c>
      <c r="DB59" s="1">
        <f t="shared" si="28"/>
        <v>50.413888888888891</v>
      </c>
      <c r="DC59" s="1">
        <f t="shared" si="28"/>
        <v>50.413888888888891</v>
      </c>
    </row>
    <row r="60" spans="1:107" x14ac:dyDescent="0.25">
      <c r="A60">
        <f t="shared" si="7"/>
        <v>5</v>
      </c>
      <c r="B60" s="2">
        <f>yields_BRUTE!B60</f>
        <v>42089</v>
      </c>
      <c r="C60" s="1">
        <f t="shared" si="30"/>
        <v>-6.9444444444444448E-2</v>
      </c>
      <c r="D60" s="1">
        <f t="shared" si="30"/>
        <v>-3.0555555555555555E-2</v>
      </c>
      <c r="E60" s="1">
        <f t="shared" si="30"/>
        <v>0.18611111111111112</v>
      </c>
      <c r="F60" s="1">
        <f t="shared" si="30"/>
        <v>0.44166666666666665</v>
      </c>
      <c r="G60" s="1">
        <f t="shared" si="30"/>
        <v>0.48055555555555557</v>
      </c>
      <c r="H60" s="1">
        <f t="shared" si="30"/>
        <v>0.69444444444444442</v>
      </c>
      <c r="I60" s="1">
        <f t="shared" si="30"/>
        <v>0.69444444444444442</v>
      </c>
      <c r="J60" s="1">
        <f t="shared" si="30"/>
        <v>0.94722222222222219</v>
      </c>
      <c r="K60" s="1">
        <f t="shared" si="30"/>
        <v>0.98611111111111116</v>
      </c>
      <c r="L60" s="1">
        <f t="shared" si="30"/>
        <v>1.2027777777777777</v>
      </c>
      <c r="M60" s="1">
        <f t="shared" si="30"/>
        <v>1.4583333333333333</v>
      </c>
      <c r="N60" s="1">
        <f t="shared" si="30"/>
        <v>1.4583333333333333</v>
      </c>
      <c r="O60" s="1">
        <f t="shared" si="30"/>
        <v>1.4972222222222222</v>
      </c>
      <c r="P60" s="1">
        <f t="shared" si="30"/>
        <v>1.711111111111111</v>
      </c>
      <c r="Q60" s="1">
        <f t="shared" si="30"/>
        <v>2</v>
      </c>
      <c r="R60" s="1">
        <f t="shared" si="30"/>
        <v>2.2166666666666668</v>
      </c>
      <c r="S60" s="1">
        <f t="shared" si="29"/>
        <v>2.5111111111111111</v>
      </c>
      <c r="T60" s="1">
        <f t="shared" si="29"/>
        <v>2.7250000000000001</v>
      </c>
      <c r="U60" s="1">
        <f t="shared" si="29"/>
        <v>3.0138888888888888</v>
      </c>
      <c r="V60" s="1">
        <f t="shared" si="29"/>
        <v>3.2305555555555556</v>
      </c>
      <c r="W60" s="1">
        <f t="shared" si="29"/>
        <v>3.5249999999999999</v>
      </c>
      <c r="X60" s="1">
        <f t="shared" si="29"/>
        <v>3.7388888888888889</v>
      </c>
      <c r="Y60" s="1">
        <f t="shared" si="29"/>
        <v>4.0277777777777777</v>
      </c>
      <c r="Z60" s="1">
        <f t="shared" si="29"/>
        <v>4.2444444444444445</v>
      </c>
      <c r="AA60" s="1">
        <f t="shared" si="29"/>
        <v>4.5388888888888888</v>
      </c>
      <c r="AB60" s="1">
        <f t="shared" si="29"/>
        <v>4.7527777777777782</v>
      </c>
      <c r="AC60" s="1">
        <f t="shared" si="29"/>
        <v>5.0444444444444443</v>
      </c>
      <c r="AD60" s="1">
        <f t="shared" si="29"/>
        <v>5.2611111111111111</v>
      </c>
      <c r="AE60" s="1">
        <f t="shared" si="29"/>
        <v>5.2611111111111111</v>
      </c>
      <c r="AF60" s="3">
        <f t="shared" si="29"/>
        <v>5.5555555555555554</v>
      </c>
      <c r="AG60" s="1">
        <f t="shared" si="29"/>
        <v>5.7694444444444448</v>
      </c>
      <c r="AH60" s="1">
        <f t="shared" si="24"/>
        <v>6.0583333333333336</v>
      </c>
      <c r="AI60" s="1">
        <f t="shared" si="24"/>
        <v>6.0583333333333336</v>
      </c>
      <c r="AJ60" s="1">
        <f t="shared" si="24"/>
        <v>6.2750000000000004</v>
      </c>
      <c r="AK60" s="1">
        <f t="shared" si="24"/>
        <v>6.2750000000000004</v>
      </c>
      <c r="AL60" s="1">
        <f t="shared" si="24"/>
        <v>6.7833333333333332</v>
      </c>
      <c r="AM60" s="1">
        <f t="shared" si="24"/>
        <v>7.2888888888888888</v>
      </c>
      <c r="AN60" s="1">
        <f t="shared" si="24"/>
        <v>7.2888888888888888</v>
      </c>
      <c r="AO60" s="1">
        <f t="shared" si="24"/>
        <v>7.7972222222222225</v>
      </c>
      <c r="AP60" s="1">
        <f t="shared" si="24"/>
        <v>8.3027777777777771</v>
      </c>
      <c r="AQ60" s="1">
        <f t="shared" si="24"/>
        <v>8.3027777777777771</v>
      </c>
      <c r="AR60" s="1">
        <f t="shared" si="24"/>
        <v>8.8111111111111118</v>
      </c>
      <c r="AS60" s="1">
        <f t="shared" si="24"/>
        <v>9.3194444444444446</v>
      </c>
      <c r="AT60" s="1">
        <f t="shared" si="24"/>
        <v>9.8277777777777775</v>
      </c>
      <c r="AU60" s="1">
        <f t="shared" si="24"/>
        <v>10.333333333333334</v>
      </c>
      <c r="AV60" s="1">
        <f t="shared" si="24"/>
        <v>10.333333333333334</v>
      </c>
      <c r="AW60" s="1">
        <f t="shared" si="24"/>
        <v>14.9</v>
      </c>
      <c r="AX60" s="1">
        <f t="shared" si="25"/>
        <v>15.405555555555555</v>
      </c>
      <c r="AY60" s="1">
        <f t="shared" si="25"/>
        <v>15.91388888888889</v>
      </c>
      <c r="AZ60" s="1">
        <f t="shared" si="25"/>
        <v>16.419444444444444</v>
      </c>
      <c r="BA60" s="1">
        <f t="shared" si="25"/>
        <v>16.927777777777777</v>
      </c>
      <c r="BB60" s="1">
        <f t="shared" si="25"/>
        <v>17.43611111111111</v>
      </c>
      <c r="BC60" s="1">
        <f t="shared" si="25"/>
        <v>17.944444444444443</v>
      </c>
      <c r="BD60" s="1">
        <f t="shared" si="25"/>
        <v>18.45</v>
      </c>
      <c r="BE60" s="1">
        <f t="shared" si="25"/>
        <v>18.45</v>
      </c>
      <c r="BF60" s="1">
        <f t="shared" si="25"/>
        <v>27.074999999999999</v>
      </c>
      <c r="BG60" s="1">
        <f t="shared" si="25"/>
        <v>27.580555555555556</v>
      </c>
      <c r="BH60" s="1">
        <f t="shared" si="25"/>
        <v>28.088888888888889</v>
      </c>
      <c r="BI60" s="1">
        <f t="shared" si="25"/>
        <v>28.594444444444445</v>
      </c>
      <c r="BJ60" s="1">
        <f t="shared" si="25"/>
        <v>29.102777777777778</v>
      </c>
      <c r="BK60" s="1">
        <f t="shared" si="25"/>
        <v>29.611111111111111</v>
      </c>
      <c r="BL60" s="1">
        <f t="shared" si="25"/>
        <v>30.119444444444444</v>
      </c>
      <c r="BM60" s="1">
        <f t="shared" si="25"/>
        <v>30.625</v>
      </c>
      <c r="BN60" s="1">
        <f t="shared" si="26"/>
        <v>31.133333333333333</v>
      </c>
      <c r="BO60" s="1">
        <f t="shared" si="26"/>
        <v>31.133333333333333</v>
      </c>
      <c r="BP60" s="1">
        <f t="shared" si="26"/>
        <v>31.638888888888889</v>
      </c>
      <c r="BQ60" s="1">
        <f t="shared" si="26"/>
        <v>32.147222222222226</v>
      </c>
      <c r="BR60" s="1">
        <f t="shared" si="26"/>
        <v>32.652777777777779</v>
      </c>
      <c r="BS60" s="1">
        <f t="shared" si="26"/>
        <v>33.161111111111111</v>
      </c>
      <c r="BT60" s="1">
        <f t="shared" si="26"/>
        <v>33.669444444444444</v>
      </c>
      <c r="BU60" s="1">
        <f t="shared" si="26"/>
        <v>34.177777777777777</v>
      </c>
      <c r="BV60" s="1">
        <f t="shared" si="26"/>
        <v>34.177777777777777</v>
      </c>
      <c r="BW60" s="1">
        <f t="shared" si="26"/>
        <v>34.68333333333333</v>
      </c>
      <c r="BX60" s="1">
        <f t="shared" si="26"/>
        <v>35.19166666666667</v>
      </c>
      <c r="BY60" s="1">
        <f t="shared" si="26"/>
        <v>35.697222222222223</v>
      </c>
      <c r="BZ60" s="1">
        <f t="shared" si="26"/>
        <v>36.205555555555556</v>
      </c>
      <c r="CA60" s="1">
        <f t="shared" si="26"/>
        <v>36.711111111111109</v>
      </c>
      <c r="CB60" s="1">
        <f t="shared" si="26"/>
        <v>37.219444444444441</v>
      </c>
      <c r="CC60" s="1">
        <f t="shared" si="26"/>
        <v>37.727777777777774</v>
      </c>
      <c r="CD60" s="1">
        <f t="shared" si="27"/>
        <v>38.236111111111114</v>
      </c>
      <c r="CE60" s="1">
        <f t="shared" si="27"/>
        <v>38.741666666666667</v>
      </c>
      <c r="CF60" s="1">
        <f t="shared" si="27"/>
        <v>39.25</v>
      </c>
      <c r="CG60" s="1">
        <f t="shared" si="27"/>
        <v>39.755555555555553</v>
      </c>
      <c r="CH60" s="1">
        <f t="shared" si="27"/>
        <v>40.263888888888886</v>
      </c>
      <c r="CI60" s="1">
        <f t="shared" si="27"/>
        <v>40.769444444444446</v>
      </c>
      <c r="CJ60" s="1">
        <f t="shared" si="27"/>
        <v>41.277777777777779</v>
      </c>
      <c r="CK60" s="1">
        <f t="shared" si="27"/>
        <v>41.786111111111111</v>
      </c>
      <c r="CL60" s="1">
        <f t="shared" si="27"/>
        <v>42.294444444444444</v>
      </c>
      <c r="CM60" s="1">
        <f t="shared" si="27"/>
        <v>42.8</v>
      </c>
      <c r="CN60" s="1">
        <f t="shared" si="27"/>
        <v>43.30833333333333</v>
      </c>
      <c r="CO60" s="1">
        <f t="shared" si="27"/>
        <v>43.81388888888889</v>
      </c>
      <c r="CP60" s="1">
        <f t="shared" si="27"/>
        <v>44.322222222222223</v>
      </c>
      <c r="CQ60" s="1">
        <f t="shared" si="27"/>
        <v>44.827777777777776</v>
      </c>
      <c r="CR60" s="1">
        <f t="shared" si="27"/>
        <v>45.336111111111109</v>
      </c>
      <c r="CS60" s="1">
        <f t="shared" si="27"/>
        <v>45.844444444444441</v>
      </c>
      <c r="CT60" s="1">
        <f t="shared" si="28"/>
        <v>46.352777777777774</v>
      </c>
      <c r="CU60" s="1">
        <f t="shared" si="28"/>
        <v>46.858333333333334</v>
      </c>
      <c r="CV60" s="1">
        <f t="shared" si="28"/>
        <v>47.366666666666667</v>
      </c>
      <c r="CW60" s="1">
        <f t="shared" si="28"/>
        <v>47.87222222222222</v>
      </c>
      <c r="CX60" s="1">
        <f t="shared" si="28"/>
        <v>48.380555555555553</v>
      </c>
      <c r="CY60" s="1">
        <f t="shared" si="28"/>
        <v>48.886111111111113</v>
      </c>
      <c r="CZ60" s="1">
        <f t="shared" si="28"/>
        <v>49.394444444444446</v>
      </c>
      <c r="DA60" s="1">
        <f t="shared" si="28"/>
        <v>49.902777777777779</v>
      </c>
      <c r="DB60" s="1">
        <f t="shared" si="28"/>
        <v>50.411111111111111</v>
      </c>
      <c r="DC60" s="1">
        <f t="shared" si="28"/>
        <v>50.411111111111111</v>
      </c>
    </row>
    <row r="61" spans="1:107" x14ac:dyDescent="0.25">
      <c r="A61">
        <f t="shared" si="7"/>
        <v>6</v>
      </c>
      <c r="B61" s="2">
        <f>yields_BRUTE!B61</f>
        <v>42090</v>
      </c>
      <c r="C61" s="1">
        <f t="shared" si="30"/>
        <v>-7.2222222222222215E-2</v>
      </c>
      <c r="D61" s="1">
        <f t="shared" si="30"/>
        <v>-3.3333333333333333E-2</v>
      </c>
      <c r="E61" s="1">
        <f t="shared" si="30"/>
        <v>0.18333333333333332</v>
      </c>
      <c r="F61" s="1">
        <f t="shared" si="30"/>
        <v>0.43888888888888888</v>
      </c>
      <c r="G61" s="1">
        <f t="shared" si="30"/>
        <v>0.4777777777777778</v>
      </c>
      <c r="H61" s="1">
        <f t="shared" si="30"/>
        <v>0.69166666666666665</v>
      </c>
      <c r="I61" s="1">
        <f t="shared" si="30"/>
        <v>0.69166666666666665</v>
      </c>
      <c r="J61" s="1">
        <f t="shared" si="30"/>
        <v>0.94444444444444442</v>
      </c>
      <c r="K61" s="1">
        <f t="shared" si="30"/>
        <v>0.98333333333333328</v>
      </c>
      <c r="L61" s="1">
        <f t="shared" si="30"/>
        <v>1.2</v>
      </c>
      <c r="M61" s="1">
        <f t="shared" si="30"/>
        <v>1.4555555555555555</v>
      </c>
      <c r="N61" s="1">
        <f t="shared" si="30"/>
        <v>1.4555555555555555</v>
      </c>
      <c r="O61" s="1">
        <f t="shared" si="30"/>
        <v>1.4944444444444445</v>
      </c>
      <c r="P61" s="1">
        <f t="shared" si="30"/>
        <v>1.7083333333333333</v>
      </c>
      <c r="Q61" s="1">
        <f t="shared" si="30"/>
        <v>1.9972222222222222</v>
      </c>
      <c r="R61" s="1">
        <f t="shared" si="30"/>
        <v>2.213888888888889</v>
      </c>
      <c r="S61" s="1">
        <f t="shared" si="29"/>
        <v>2.5083333333333333</v>
      </c>
      <c r="T61" s="1">
        <f t="shared" si="29"/>
        <v>2.7222222222222223</v>
      </c>
      <c r="U61" s="1">
        <f t="shared" si="29"/>
        <v>3.0111111111111111</v>
      </c>
      <c r="V61" s="1">
        <f t="shared" si="29"/>
        <v>3.2277777777777779</v>
      </c>
      <c r="W61" s="1">
        <f t="shared" si="29"/>
        <v>3.5222222222222221</v>
      </c>
      <c r="X61" s="1">
        <f t="shared" si="29"/>
        <v>3.7361111111111112</v>
      </c>
      <c r="Y61" s="1">
        <f t="shared" si="29"/>
        <v>4.0250000000000004</v>
      </c>
      <c r="Z61" s="1">
        <f t="shared" si="29"/>
        <v>4.2416666666666663</v>
      </c>
      <c r="AA61" s="1">
        <f t="shared" si="29"/>
        <v>4.5361111111111114</v>
      </c>
      <c r="AB61" s="1">
        <f t="shared" si="29"/>
        <v>4.75</v>
      </c>
      <c r="AC61" s="1">
        <f t="shared" si="29"/>
        <v>5.041666666666667</v>
      </c>
      <c r="AD61" s="1">
        <f t="shared" si="29"/>
        <v>5.2583333333333337</v>
      </c>
      <c r="AE61" s="1">
        <f t="shared" si="29"/>
        <v>5.2583333333333337</v>
      </c>
      <c r="AF61" s="3">
        <f t="shared" si="29"/>
        <v>5.552777777777778</v>
      </c>
      <c r="AG61" s="1">
        <f t="shared" si="29"/>
        <v>5.7666666666666666</v>
      </c>
      <c r="AH61" s="1">
        <f t="shared" si="24"/>
        <v>6.0555555555555554</v>
      </c>
      <c r="AI61" s="1">
        <f t="shared" si="24"/>
        <v>6.0555555555555554</v>
      </c>
      <c r="AJ61" s="1">
        <f t="shared" si="24"/>
        <v>6.2722222222222221</v>
      </c>
      <c r="AK61" s="1">
        <f t="shared" si="24"/>
        <v>6.2722222222222221</v>
      </c>
      <c r="AL61" s="1">
        <f t="shared" si="24"/>
        <v>6.7805555555555559</v>
      </c>
      <c r="AM61" s="1">
        <f t="shared" si="24"/>
        <v>7.2861111111111114</v>
      </c>
      <c r="AN61" s="1">
        <f t="shared" si="24"/>
        <v>7.2861111111111114</v>
      </c>
      <c r="AO61" s="1">
        <f t="shared" si="24"/>
        <v>7.7944444444444443</v>
      </c>
      <c r="AP61" s="1">
        <f t="shared" si="24"/>
        <v>8.3000000000000007</v>
      </c>
      <c r="AQ61" s="1">
        <f t="shared" si="24"/>
        <v>8.3000000000000007</v>
      </c>
      <c r="AR61" s="1">
        <f t="shared" si="24"/>
        <v>8.8083333333333336</v>
      </c>
      <c r="AS61" s="1">
        <f t="shared" si="24"/>
        <v>9.3166666666666664</v>
      </c>
      <c r="AT61" s="1">
        <f t="shared" si="24"/>
        <v>9.8249999999999993</v>
      </c>
      <c r="AU61" s="1">
        <f t="shared" si="24"/>
        <v>10.330555555555556</v>
      </c>
      <c r="AV61" s="1">
        <f t="shared" si="24"/>
        <v>10.330555555555556</v>
      </c>
      <c r="AW61" s="1">
        <f t="shared" si="24"/>
        <v>14.897222222222222</v>
      </c>
      <c r="AX61" s="1">
        <f t="shared" si="25"/>
        <v>15.402777777777779</v>
      </c>
      <c r="AY61" s="1">
        <f t="shared" si="25"/>
        <v>15.911111111111111</v>
      </c>
      <c r="AZ61" s="1">
        <f t="shared" si="25"/>
        <v>16.416666666666668</v>
      </c>
      <c r="BA61" s="1">
        <f t="shared" si="25"/>
        <v>16.925000000000001</v>
      </c>
      <c r="BB61" s="1">
        <f t="shared" si="25"/>
        <v>17.433333333333334</v>
      </c>
      <c r="BC61" s="1">
        <f t="shared" si="25"/>
        <v>17.941666666666666</v>
      </c>
      <c r="BD61" s="1">
        <f t="shared" si="25"/>
        <v>18.447222222222223</v>
      </c>
      <c r="BE61" s="1">
        <f t="shared" si="25"/>
        <v>18.447222222222223</v>
      </c>
      <c r="BF61" s="1">
        <f t="shared" si="25"/>
        <v>27.072222222222223</v>
      </c>
      <c r="BG61" s="1">
        <f t="shared" si="25"/>
        <v>27.577777777777779</v>
      </c>
      <c r="BH61" s="1">
        <f t="shared" si="25"/>
        <v>28.086111111111112</v>
      </c>
      <c r="BI61" s="1">
        <f t="shared" si="25"/>
        <v>28.591666666666665</v>
      </c>
      <c r="BJ61" s="1">
        <f t="shared" si="25"/>
        <v>29.1</v>
      </c>
      <c r="BK61" s="1">
        <f t="shared" si="25"/>
        <v>29.608333333333334</v>
      </c>
      <c r="BL61" s="1">
        <f t="shared" si="25"/>
        <v>30.116666666666667</v>
      </c>
      <c r="BM61" s="1">
        <f t="shared" si="25"/>
        <v>30.622222222222224</v>
      </c>
      <c r="BN61" s="1">
        <f t="shared" si="26"/>
        <v>31.130555555555556</v>
      </c>
      <c r="BO61" s="1">
        <f t="shared" si="26"/>
        <v>31.130555555555556</v>
      </c>
      <c r="BP61" s="1">
        <f t="shared" si="26"/>
        <v>31.636111111111113</v>
      </c>
      <c r="BQ61" s="1">
        <f t="shared" si="26"/>
        <v>32.144444444444446</v>
      </c>
      <c r="BR61" s="1">
        <f t="shared" si="26"/>
        <v>32.65</v>
      </c>
      <c r="BS61" s="1">
        <f t="shared" si="26"/>
        <v>33.158333333333331</v>
      </c>
      <c r="BT61" s="1">
        <f t="shared" si="26"/>
        <v>33.666666666666664</v>
      </c>
      <c r="BU61" s="1">
        <f t="shared" si="26"/>
        <v>34.174999999999997</v>
      </c>
      <c r="BV61" s="1">
        <f t="shared" si="26"/>
        <v>34.174999999999997</v>
      </c>
      <c r="BW61" s="1">
        <f t="shared" si="26"/>
        <v>34.680555555555557</v>
      </c>
      <c r="BX61" s="1">
        <f t="shared" si="26"/>
        <v>35.18888888888889</v>
      </c>
      <c r="BY61" s="1">
        <f t="shared" si="26"/>
        <v>35.694444444444443</v>
      </c>
      <c r="BZ61" s="1">
        <f t="shared" si="26"/>
        <v>36.202777777777776</v>
      </c>
      <c r="CA61" s="1">
        <f t="shared" si="26"/>
        <v>36.708333333333336</v>
      </c>
      <c r="CB61" s="1">
        <f t="shared" si="26"/>
        <v>37.216666666666669</v>
      </c>
      <c r="CC61" s="1">
        <f t="shared" si="26"/>
        <v>37.725000000000001</v>
      </c>
      <c r="CD61" s="1">
        <f t="shared" si="27"/>
        <v>38.233333333333334</v>
      </c>
      <c r="CE61" s="1">
        <f t="shared" si="27"/>
        <v>38.738888888888887</v>
      </c>
      <c r="CF61" s="1">
        <f t="shared" si="27"/>
        <v>39.24722222222222</v>
      </c>
      <c r="CG61" s="1">
        <f t="shared" si="27"/>
        <v>39.75277777777778</v>
      </c>
      <c r="CH61" s="1">
        <f t="shared" si="27"/>
        <v>40.261111111111113</v>
      </c>
      <c r="CI61" s="1">
        <f t="shared" si="27"/>
        <v>40.766666666666666</v>
      </c>
      <c r="CJ61" s="1">
        <f t="shared" si="27"/>
        <v>41.274999999999999</v>
      </c>
      <c r="CK61" s="1">
        <f t="shared" si="27"/>
        <v>41.783333333333331</v>
      </c>
      <c r="CL61" s="1">
        <f t="shared" si="27"/>
        <v>42.291666666666664</v>
      </c>
      <c r="CM61" s="1">
        <f t="shared" si="27"/>
        <v>42.797222222222224</v>
      </c>
      <c r="CN61" s="1">
        <f t="shared" si="27"/>
        <v>43.305555555555557</v>
      </c>
      <c r="CO61" s="1">
        <f t="shared" si="27"/>
        <v>43.81111111111111</v>
      </c>
      <c r="CP61" s="1">
        <f t="shared" si="27"/>
        <v>44.319444444444443</v>
      </c>
      <c r="CQ61" s="1">
        <f t="shared" si="27"/>
        <v>44.825000000000003</v>
      </c>
      <c r="CR61" s="1">
        <f t="shared" si="27"/>
        <v>45.333333333333336</v>
      </c>
      <c r="CS61" s="1">
        <f t="shared" si="27"/>
        <v>45.841666666666669</v>
      </c>
      <c r="CT61" s="1">
        <f t="shared" si="28"/>
        <v>46.35</v>
      </c>
      <c r="CU61" s="1">
        <f t="shared" si="28"/>
        <v>46.855555555555554</v>
      </c>
      <c r="CV61" s="1">
        <f t="shared" si="28"/>
        <v>47.363888888888887</v>
      </c>
      <c r="CW61" s="1">
        <f t="shared" si="28"/>
        <v>47.869444444444447</v>
      </c>
      <c r="CX61" s="1">
        <f t="shared" si="28"/>
        <v>48.37777777777778</v>
      </c>
      <c r="CY61" s="1">
        <f t="shared" si="28"/>
        <v>48.883333333333333</v>
      </c>
      <c r="CZ61" s="1">
        <f t="shared" si="28"/>
        <v>49.391666666666666</v>
      </c>
      <c r="DA61" s="1">
        <f t="shared" si="28"/>
        <v>49.9</v>
      </c>
      <c r="DB61" s="1">
        <f t="shared" si="28"/>
        <v>50.408333333333331</v>
      </c>
      <c r="DC61" s="1">
        <f t="shared" si="28"/>
        <v>50.408333333333331</v>
      </c>
    </row>
    <row r="62" spans="1:107" x14ac:dyDescent="0.25">
      <c r="A62">
        <f t="shared" si="7"/>
        <v>2</v>
      </c>
      <c r="B62" s="2">
        <f>yields_BRUTE!B62</f>
        <v>42093</v>
      </c>
      <c r="C62" s="1">
        <f t="shared" si="30"/>
        <v>-8.0555555555555561E-2</v>
      </c>
      <c r="D62" s="1">
        <f t="shared" si="30"/>
        <v>-4.1666666666666664E-2</v>
      </c>
      <c r="E62" s="1">
        <f t="shared" si="30"/>
        <v>0.17499999999999999</v>
      </c>
      <c r="F62" s="1">
        <f t="shared" si="30"/>
        <v>0.43055555555555558</v>
      </c>
      <c r="G62" s="1">
        <f t="shared" si="30"/>
        <v>0.46944444444444444</v>
      </c>
      <c r="H62" s="1">
        <f t="shared" si="30"/>
        <v>0.68333333333333335</v>
      </c>
      <c r="I62" s="1">
        <f t="shared" si="30"/>
        <v>0.68333333333333335</v>
      </c>
      <c r="J62" s="1">
        <f t="shared" si="30"/>
        <v>0.93611111111111112</v>
      </c>
      <c r="K62" s="1">
        <f t="shared" si="30"/>
        <v>0.97499999999999998</v>
      </c>
      <c r="L62" s="1">
        <f t="shared" si="30"/>
        <v>1.1916666666666667</v>
      </c>
      <c r="M62" s="1">
        <f t="shared" si="30"/>
        <v>1.4472222222222222</v>
      </c>
      <c r="N62" s="1">
        <f t="shared" si="30"/>
        <v>1.4472222222222222</v>
      </c>
      <c r="O62" s="1">
        <f t="shared" si="30"/>
        <v>1.4861111111111112</v>
      </c>
      <c r="P62" s="1">
        <f t="shared" si="30"/>
        <v>1.7</v>
      </c>
      <c r="Q62" s="1">
        <f t="shared" si="30"/>
        <v>1.9888888888888889</v>
      </c>
      <c r="R62" s="1">
        <f t="shared" si="30"/>
        <v>2.2055555555555557</v>
      </c>
      <c r="S62" s="1">
        <f t="shared" si="29"/>
        <v>2.5</v>
      </c>
      <c r="T62" s="1">
        <f t="shared" si="29"/>
        <v>2.713888888888889</v>
      </c>
      <c r="U62" s="1">
        <f t="shared" si="29"/>
        <v>3.0027777777777778</v>
      </c>
      <c r="V62" s="1">
        <f t="shared" si="29"/>
        <v>3.2194444444444446</v>
      </c>
      <c r="W62" s="1">
        <f t="shared" si="29"/>
        <v>3.5138888888888888</v>
      </c>
      <c r="X62" s="1">
        <f t="shared" si="29"/>
        <v>3.7277777777777779</v>
      </c>
      <c r="Y62" s="1">
        <f t="shared" si="29"/>
        <v>4.0166666666666666</v>
      </c>
      <c r="Z62" s="1">
        <f t="shared" si="29"/>
        <v>4.2333333333333334</v>
      </c>
      <c r="AA62" s="1">
        <f t="shared" si="29"/>
        <v>4.5277777777777777</v>
      </c>
      <c r="AB62" s="1">
        <f t="shared" si="29"/>
        <v>4.7416666666666663</v>
      </c>
      <c r="AC62" s="1">
        <f t="shared" si="29"/>
        <v>5.0333333333333332</v>
      </c>
      <c r="AD62" s="1">
        <f t="shared" si="29"/>
        <v>5.25</v>
      </c>
      <c r="AE62" s="1">
        <f t="shared" si="29"/>
        <v>5.25</v>
      </c>
      <c r="AF62" s="3">
        <f t="shared" si="29"/>
        <v>5.5444444444444443</v>
      </c>
      <c r="AG62" s="1">
        <f t="shared" si="29"/>
        <v>5.7583333333333337</v>
      </c>
      <c r="AH62" s="1">
        <f t="shared" si="24"/>
        <v>6.0472222222222225</v>
      </c>
      <c r="AI62" s="1">
        <f t="shared" si="24"/>
        <v>6.0472222222222225</v>
      </c>
      <c r="AJ62" s="1">
        <f t="shared" si="24"/>
        <v>6.2638888888888893</v>
      </c>
      <c r="AK62" s="1">
        <f t="shared" si="24"/>
        <v>6.2638888888888893</v>
      </c>
      <c r="AL62" s="1">
        <f t="shared" si="24"/>
        <v>6.7722222222222221</v>
      </c>
      <c r="AM62" s="1">
        <f t="shared" si="24"/>
        <v>7.2777777777777777</v>
      </c>
      <c r="AN62" s="1">
        <f t="shared" si="24"/>
        <v>7.2777777777777777</v>
      </c>
      <c r="AO62" s="1">
        <f t="shared" si="24"/>
        <v>7.7861111111111114</v>
      </c>
      <c r="AP62" s="1">
        <f t="shared" si="24"/>
        <v>8.2916666666666661</v>
      </c>
      <c r="AQ62" s="1">
        <f t="shared" si="24"/>
        <v>8.2916666666666661</v>
      </c>
      <c r="AR62" s="1">
        <f t="shared" si="24"/>
        <v>8.8000000000000007</v>
      </c>
      <c r="AS62" s="1">
        <f t="shared" si="24"/>
        <v>9.3083333333333336</v>
      </c>
      <c r="AT62" s="1">
        <f t="shared" si="24"/>
        <v>9.8166666666666664</v>
      </c>
      <c r="AU62" s="1">
        <f t="shared" si="24"/>
        <v>10.322222222222223</v>
      </c>
      <c r="AV62" s="1">
        <f t="shared" si="24"/>
        <v>10.322222222222223</v>
      </c>
      <c r="AW62" s="1">
        <f t="shared" si="24"/>
        <v>14.888888888888889</v>
      </c>
      <c r="AX62" s="1">
        <f t="shared" si="25"/>
        <v>15.394444444444444</v>
      </c>
      <c r="AY62" s="1">
        <f t="shared" si="25"/>
        <v>15.902777777777779</v>
      </c>
      <c r="AZ62" s="1">
        <f t="shared" si="25"/>
        <v>16.408333333333335</v>
      </c>
      <c r="BA62" s="1">
        <f t="shared" si="25"/>
        <v>16.916666666666668</v>
      </c>
      <c r="BB62" s="1">
        <f t="shared" si="25"/>
        <v>17.425000000000001</v>
      </c>
      <c r="BC62" s="1">
        <f t="shared" si="25"/>
        <v>17.933333333333334</v>
      </c>
      <c r="BD62" s="1">
        <f t="shared" si="25"/>
        <v>18.43888888888889</v>
      </c>
      <c r="BE62" s="1">
        <f t="shared" si="25"/>
        <v>18.43888888888889</v>
      </c>
      <c r="BF62" s="1">
        <f t="shared" si="25"/>
        <v>27.06388888888889</v>
      </c>
      <c r="BG62" s="1">
        <f t="shared" si="25"/>
        <v>27.569444444444443</v>
      </c>
      <c r="BH62" s="1">
        <f t="shared" si="25"/>
        <v>28.077777777777779</v>
      </c>
      <c r="BI62" s="1">
        <f t="shared" si="25"/>
        <v>28.583333333333332</v>
      </c>
      <c r="BJ62" s="1">
        <f t="shared" si="25"/>
        <v>29.091666666666665</v>
      </c>
      <c r="BK62" s="1">
        <f t="shared" si="25"/>
        <v>29.6</v>
      </c>
      <c r="BL62" s="1">
        <f t="shared" si="25"/>
        <v>30.108333333333334</v>
      </c>
      <c r="BM62" s="1">
        <f t="shared" si="25"/>
        <v>30.613888888888887</v>
      </c>
      <c r="BN62" s="1">
        <f t="shared" si="26"/>
        <v>31.122222222222224</v>
      </c>
      <c r="BO62" s="1">
        <f t="shared" si="26"/>
        <v>31.122222222222224</v>
      </c>
      <c r="BP62" s="1">
        <f t="shared" si="26"/>
        <v>31.627777777777776</v>
      </c>
      <c r="BQ62" s="1">
        <f t="shared" si="26"/>
        <v>32.136111111111113</v>
      </c>
      <c r="BR62" s="1">
        <f t="shared" si="26"/>
        <v>32.641666666666666</v>
      </c>
      <c r="BS62" s="1">
        <f t="shared" si="26"/>
        <v>33.15</v>
      </c>
      <c r="BT62" s="1">
        <f t="shared" si="26"/>
        <v>33.658333333333331</v>
      </c>
      <c r="BU62" s="1">
        <f t="shared" si="26"/>
        <v>34.166666666666664</v>
      </c>
      <c r="BV62" s="1">
        <f t="shared" si="26"/>
        <v>34.166666666666664</v>
      </c>
      <c r="BW62" s="1">
        <f t="shared" si="26"/>
        <v>34.672222222222224</v>
      </c>
      <c r="BX62" s="1">
        <f t="shared" si="26"/>
        <v>35.180555555555557</v>
      </c>
      <c r="BY62" s="1">
        <f t="shared" si="26"/>
        <v>35.68611111111111</v>
      </c>
      <c r="BZ62" s="1">
        <f t="shared" si="26"/>
        <v>36.194444444444443</v>
      </c>
      <c r="CA62" s="1">
        <f t="shared" si="26"/>
        <v>36.700000000000003</v>
      </c>
      <c r="CB62" s="1">
        <f t="shared" si="26"/>
        <v>37.208333333333336</v>
      </c>
      <c r="CC62" s="1">
        <f t="shared" si="26"/>
        <v>37.716666666666669</v>
      </c>
      <c r="CD62" s="1">
        <f t="shared" si="27"/>
        <v>38.225000000000001</v>
      </c>
      <c r="CE62" s="1">
        <f t="shared" si="27"/>
        <v>38.730555555555554</v>
      </c>
      <c r="CF62" s="1">
        <f t="shared" si="27"/>
        <v>39.238888888888887</v>
      </c>
      <c r="CG62" s="1">
        <f t="shared" si="27"/>
        <v>39.744444444444447</v>
      </c>
      <c r="CH62" s="1">
        <f t="shared" si="27"/>
        <v>40.25277777777778</v>
      </c>
      <c r="CI62" s="1">
        <f t="shared" si="27"/>
        <v>40.758333333333333</v>
      </c>
      <c r="CJ62" s="1">
        <f t="shared" si="27"/>
        <v>41.266666666666666</v>
      </c>
      <c r="CK62" s="1">
        <f t="shared" si="27"/>
        <v>41.774999999999999</v>
      </c>
      <c r="CL62" s="1">
        <f t="shared" si="27"/>
        <v>42.283333333333331</v>
      </c>
      <c r="CM62" s="1">
        <f t="shared" si="27"/>
        <v>42.788888888888891</v>
      </c>
      <c r="CN62" s="1">
        <f t="shared" si="27"/>
        <v>43.297222222222224</v>
      </c>
      <c r="CO62" s="1">
        <f t="shared" si="27"/>
        <v>43.802777777777777</v>
      </c>
      <c r="CP62" s="1">
        <f t="shared" si="27"/>
        <v>44.31111111111111</v>
      </c>
      <c r="CQ62" s="1">
        <f t="shared" si="27"/>
        <v>44.81666666666667</v>
      </c>
      <c r="CR62" s="1">
        <f t="shared" si="27"/>
        <v>45.325000000000003</v>
      </c>
      <c r="CS62" s="1">
        <f t="shared" si="27"/>
        <v>45.833333333333336</v>
      </c>
      <c r="CT62" s="1">
        <f t="shared" si="28"/>
        <v>46.341666666666669</v>
      </c>
      <c r="CU62" s="1">
        <f t="shared" si="28"/>
        <v>46.847222222222221</v>
      </c>
      <c r="CV62" s="1">
        <f t="shared" si="28"/>
        <v>47.355555555555554</v>
      </c>
      <c r="CW62" s="1">
        <f t="shared" si="28"/>
        <v>47.861111111111114</v>
      </c>
      <c r="CX62" s="1">
        <f t="shared" si="28"/>
        <v>48.369444444444447</v>
      </c>
      <c r="CY62" s="1">
        <f t="shared" si="28"/>
        <v>48.875</v>
      </c>
      <c r="CZ62" s="1">
        <f t="shared" si="28"/>
        <v>49.383333333333333</v>
      </c>
      <c r="DA62" s="1">
        <f t="shared" si="28"/>
        <v>49.891666666666666</v>
      </c>
      <c r="DB62" s="1">
        <f t="shared" si="28"/>
        <v>50.4</v>
      </c>
      <c r="DC62" s="1">
        <f t="shared" si="28"/>
        <v>50.4</v>
      </c>
    </row>
    <row r="63" spans="1:107" x14ac:dyDescent="0.25">
      <c r="A63">
        <f t="shared" si="7"/>
        <v>3</v>
      </c>
      <c r="B63" s="2">
        <f>yields_BRUTE!B63</f>
        <v>42094</v>
      </c>
      <c r="C63" s="1">
        <f t="shared" si="30"/>
        <v>-8.3333333333333329E-2</v>
      </c>
      <c r="D63" s="1">
        <f t="shared" si="30"/>
        <v>-4.4444444444444446E-2</v>
      </c>
      <c r="E63" s="1">
        <f t="shared" si="30"/>
        <v>0.17222222222222222</v>
      </c>
      <c r="F63" s="1">
        <f t="shared" si="30"/>
        <v>0.42777777777777776</v>
      </c>
      <c r="G63" s="1">
        <f t="shared" si="30"/>
        <v>0.46666666666666667</v>
      </c>
      <c r="H63" s="1">
        <f t="shared" si="30"/>
        <v>0.68055555555555558</v>
      </c>
      <c r="I63" s="1">
        <f t="shared" si="30"/>
        <v>0.68055555555555558</v>
      </c>
      <c r="J63" s="1">
        <f t="shared" si="30"/>
        <v>0.93333333333333335</v>
      </c>
      <c r="K63" s="1">
        <f t="shared" si="30"/>
        <v>0.97222222222222221</v>
      </c>
      <c r="L63" s="1">
        <f t="shared" si="30"/>
        <v>1.1888888888888889</v>
      </c>
      <c r="M63" s="1">
        <f t="shared" si="30"/>
        <v>1.4444444444444444</v>
      </c>
      <c r="N63" s="1">
        <f t="shared" si="30"/>
        <v>1.4444444444444444</v>
      </c>
      <c r="O63" s="1">
        <f t="shared" si="30"/>
        <v>1.4833333333333334</v>
      </c>
      <c r="P63" s="1">
        <f t="shared" si="30"/>
        <v>1.6972222222222222</v>
      </c>
      <c r="Q63" s="1">
        <f t="shared" si="30"/>
        <v>1.9861111111111112</v>
      </c>
      <c r="R63" s="1">
        <f t="shared" si="30"/>
        <v>2.2027777777777779</v>
      </c>
      <c r="S63" s="1">
        <f t="shared" si="29"/>
        <v>2.4972222222222222</v>
      </c>
      <c r="T63" s="1">
        <f t="shared" si="29"/>
        <v>2.7111111111111112</v>
      </c>
      <c r="U63" s="1">
        <f t="shared" si="29"/>
        <v>3</v>
      </c>
      <c r="V63" s="1">
        <f t="shared" si="29"/>
        <v>3.2166666666666668</v>
      </c>
      <c r="W63" s="1">
        <f t="shared" si="29"/>
        <v>3.5111111111111111</v>
      </c>
      <c r="X63" s="1">
        <f t="shared" si="29"/>
        <v>3.7250000000000001</v>
      </c>
      <c r="Y63" s="1">
        <f t="shared" si="29"/>
        <v>4.0138888888888893</v>
      </c>
      <c r="Z63" s="1">
        <f t="shared" si="29"/>
        <v>4.2305555555555552</v>
      </c>
      <c r="AA63" s="1">
        <f t="shared" si="29"/>
        <v>4.5250000000000004</v>
      </c>
      <c r="AB63" s="1">
        <f t="shared" si="29"/>
        <v>4.7388888888888889</v>
      </c>
      <c r="AC63" s="1">
        <f t="shared" si="29"/>
        <v>5.0305555555555559</v>
      </c>
      <c r="AD63" s="1">
        <f t="shared" si="29"/>
        <v>5.2472222222222218</v>
      </c>
      <c r="AE63" s="1">
        <f t="shared" si="29"/>
        <v>5.2472222222222218</v>
      </c>
      <c r="AF63" s="3">
        <f t="shared" si="29"/>
        <v>5.541666666666667</v>
      </c>
      <c r="AG63" s="1">
        <f t="shared" si="29"/>
        <v>5.7555555555555555</v>
      </c>
      <c r="AH63" s="1">
        <f t="shared" si="24"/>
        <v>6.0444444444444443</v>
      </c>
      <c r="AI63" s="1">
        <f t="shared" si="24"/>
        <v>6.0444444444444443</v>
      </c>
      <c r="AJ63" s="1">
        <f t="shared" si="24"/>
        <v>6.2611111111111111</v>
      </c>
      <c r="AK63" s="1">
        <f t="shared" si="24"/>
        <v>6.2611111111111111</v>
      </c>
      <c r="AL63" s="1">
        <f t="shared" si="24"/>
        <v>6.7694444444444448</v>
      </c>
      <c r="AM63" s="1">
        <f t="shared" si="24"/>
        <v>7.2750000000000004</v>
      </c>
      <c r="AN63" s="1">
        <f t="shared" si="24"/>
        <v>7.2750000000000004</v>
      </c>
      <c r="AO63" s="1">
        <f t="shared" si="24"/>
        <v>7.7833333333333332</v>
      </c>
      <c r="AP63" s="1">
        <f t="shared" si="24"/>
        <v>8.2888888888888896</v>
      </c>
      <c r="AQ63" s="1">
        <f t="shared" si="24"/>
        <v>8.2888888888888896</v>
      </c>
      <c r="AR63" s="1">
        <f t="shared" si="24"/>
        <v>8.7972222222222225</v>
      </c>
      <c r="AS63" s="1">
        <f t="shared" si="24"/>
        <v>9.3055555555555554</v>
      </c>
      <c r="AT63" s="1">
        <f t="shared" si="24"/>
        <v>9.8138888888888882</v>
      </c>
      <c r="AU63" s="1">
        <f t="shared" si="24"/>
        <v>10.319444444444445</v>
      </c>
      <c r="AV63" s="1">
        <f t="shared" si="24"/>
        <v>10.319444444444445</v>
      </c>
      <c r="AW63" s="1">
        <f t="shared" si="24"/>
        <v>14.886111111111111</v>
      </c>
      <c r="AX63" s="1">
        <f t="shared" si="25"/>
        <v>15.391666666666667</v>
      </c>
      <c r="AY63" s="1">
        <f t="shared" si="25"/>
        <v>15.9</v>
      </c>
      <c r="AZ63" s="1">
        <f t="shared" si="25"/>
        <v>16.405555555555555</v>
      </c>
      <c r="BA63" s="1">
        <f t="shared" si="25"/>
        <v>16.913888888888888</v>
      </c>
      <c r="BB63" s="1">
        <f t="shared" si="25"/>
        <v>17.422222222222221</v>
      </c>
      <c r="BC63" s="1">
        <f t="shared" si="25"/>
        <v>17.930555555555557</v>
      </c>
      <c r="BD63" s="1">
        <f t="shared" si="25"/>
        <v>18.43611111111111</v>
      </c>
      <c r="BE63" s="1">
        <f t="shared" si="25"/>
        <v>18.43611111111111</v>
      </c>
      <c r="BF63" s="1">
        <f t="shared" si="25"/>
        <v>27.06111111111111</v>
      </c>
      <c r="BG63" s="1">
        <f t="shared" si="25"/>
        <v>27.566666666666666</v>
      </c>
      <c r="BH63" s="1">
        <f t="shared" si="25"/>
        <v>28.074999999999999</v>
      </c>
      <c r="BI63" s="1">
        <f t="shared" si="25"/>
        <v>28.580555555555556</v>
      </c>
      <c r="BJ63" s="1">
        <f t="shared" si="25"/>
        <v>29.088888888888889</v>
      </c>
      <c r="BK63" s="1">
        <f t="shared" si="25"/>
        <v>29.597222222222221</v>
      </c>
      <c r="BL63" s="1">
        <f t="shared" si="25"/>
        <v>30.105555555555554</v>
      </c>
      <c r="BM63" s="1">
        <f t="shared" si="25"/>
        <v>30.611111111111111</v>
      </c>
      <c r="BN63" s="1">
        <f t="shared" si="26"/>
        <v>31.119444444444444</v>
      </c>
      <c r="BO63" s="1">
        <f t="shared" si="26"/>
        <v>31.119444444444444</v>
      </c>
      <c r="BP63" s="1">
        <f t="shared" si="26"/>
        <v>31.625</v>
      </c>
      <c r="BQ63" s="1">
        <f t="shared" si="26"/>
        <v>32.133333333333333</v>
      </c>
      <c r="BR63" s="1">
        <f t="shared" si="26"/>
        <v>32.638888888888886</v>
      </c>
      <c r="BS63" s="1">
        <f t="shared" si="26"/>
        <v>33.147222222222226</v>
      </c>
      <c r="BT63" s="1">
        <f t="shared" si="26"/>
        <v>33.655555555555559</v>
      </c>
      <c r="BU63" s="1">
        <f t="shared" si="26"/>
        <v>34.163888888888891</v>
      </c>
      <c r="BV63" s="1">
        <f t="shared" si="26"/>
        <v>34.163888888888891</v>
      </c>
      <c r="BW63" s="1">
        <f t="shared" si="26"/>
        <v>34.669444444444444</v>
      </c>
      <c r="BX63" s="1">
        <f t="shared" si="26"/>
        <v>35.177777777777777</v>
      </c>
      <c r="BY63" s="1">
        <f t="shared" si="26"/>
        <v>35.68333333333333</v>
      </c>
      <c r="BZ63" s="1">
        <f t="shared" si="26"/>
        <v>36.19166666666667</v>
      </c>
      <c r="CA63" s="1">
        <f t="shared" si="26"/>
        <v>36.697222222222223</v>
      </c>
      <c r="CB63" s="1">
        <f t="shared" si="26"/>
        <v>37.205555555555556</v>
      </c>
      <c r="CC63" s="1">
        <f t="shared" si="26"/>
        <v>37.713888888888889</v>
      </c>
      <c r="CD63" s="1">
        <f t="shared" si="27"/>
        <v>38.222222222222221</v>
      </c>
      <c r="CE63" s="1">
        <f t="shared" si="27"/>
        <v>38.727777777777774</v>
      </c>
      <c r="CF63" s="1">
        <f t="shared" si="27"/>
        <v>39.236111111111114</v>
      </c>
      <c r="CG63" s="1">
        <f t="shared" si="27"/>
        <v>39.741666666666667</v>
      </c>
      <c r="CH63" s="1">
        <f t="shared" si="27"/>
        <v>40.25</v>
      </c>
      <c r="CI63" s="1">
        <f t="shared" si="27"/>
        <v>40.755555555555553</v>
      </c>
      <c r="CJ63" s="1">
        <f t="shared" si="27"/>
        <v>41.263888888888886</v>
      </c>
      <c r="CK63" s="1">
        <f t="shared" si="27"/>
        <v>41.772222222222226</v>
      </c>
      <c r="CL63" s="1">
        <f t="shared" si="27"/>
        <v>42.280555555555559</v>
      </c>
      <c r="CM63" s="1">
        <f t="shared" si="27"/>
        <v>42.786111111111111</v>
      </c>
      <c r="CN63" s="1">
        <f t="shared" si="27"/>
        <v>43.294444444444444</v>
      </c>
      <c r="CO63" s="1">
        <f t="shared" si="27"/>
        <v>43.8</v>
      </c>
      <c r="CP63" s="1">
        <f t="shared" si="27"/>
        <v>44.30833333333333</v>
      </c>
      <c r="CQ63" s="1">
        <f t="shared" si="27"/>
        <v>44.81388888888889</v>
      </c>
      <c r="CR63" s="1">
        <f t="shared" si="27"/>
        <v>45.322222222222223</v>
      </c>
      <c r="CS63" s="1">
        <f t="shared" si="27"/>
        <v>45.830555555555556</v>
      </c>
      <c r="CT63" s="1">
        <f t="shared" si="28"/>
        <v>46.338888888888889</v>
      </c>
      <c r="CU63" s="1">
        <f t="shared" si="28"/>
        <v>46.844444444444441</v>
      </c>
      <c r="CV63" s="1">
        <f t="shared" si="28"/>
        <v>47.352777777777774</v>
      </c>
      <c r="CW63" s="1">
        <f t="shared" si="28"/>
        <v>47.858333333333334</v>
      </c>
      <c r="CX63" s="1">
        <f t="shared" si="28"/>
        <v>48.366666666666667</v>
      </c>
      <c r="CY63" s="1">
        <f t="shared" si="28"/>
        <v>48.87222222222222</v>
      </c>
      <c r="CZ63" s="1">
        <f t="shared" si="28"/>
        <v>49.380555555555553</v>
      </c>
      <c r="DA63" s="1">
        <f t="shared" si="28"/>
        <v>49.888888888888886</v>
      </c>
      <c r="DB63" s="1">
        <f t="shared" si="28"/>
        <v>50.397222222222226</v>
      </c>
      <c r="DC63" s="1">
        <f t="shared" si="28"/>
        <v>50.397222222222226</v>
      </c>
    </row>
    <row r="64" spans="1:107" x14ac:dyDescent="0.25">
      <c r="A64">
        <f t="shared" si="7"/>
        <v>4</v>
      </c>
      <c r="B64" s="2">
        <f>yields_BRUTE!B64</f>
        <v>42095</v>
      </c>
      <c r="C64" s="1">
        <f t="shared" si="30"/>
        <v>-8.611111111111111E-2</v>
      </c>
      <c r="D64" s="1">
        <f t="shared" si="30"/>
        <v>-4.7222222222222221E-2</v>
      </c>
      <c r="E64" s="1">
        <f t="shared" si="30"/>
        <v>0.16944444444444445</v>
      </c>
      <c r="F64" s="1">
        <f t="shared" si="30"/>
        <v>0.42499999999999999</v>
      </c>
      <c r="G64" s="1">
        <f t="shared" si="30"/>
        <v>0.46388888888888891</v>
      </c>
      <c r="H64" s="1">
        <f t="shared" si="30"/>
        <v>0.67777777777777781</v>
      </c>
      <c r="I64" s="1">
        <f t="shared" si="30"/>
        <v>0.67777777777777781</v>
      </c>
      <c r="J64" s="1">
        <f t="shared" si="30"/>
        <v>0.93055555555555558</v>
      </c>
      <c r="K64" s="1">
        <f t="shared" si="30"/>
        <v>0.96944444444444444</v>
      </c>
      <c r="L64" s="1">
        <f t="shared" si="30"/>
        <v>1.1861111111111111</v>
      </c>
      <c r="M64" s="1">
        <f t="shared" si="30"/>
        <v>1.4416666666666667</v>
      </c>
      <c r="N64" s="1">
        <f t="shared" si="30"/>
        <v>1.4416666666666667</v>
      </c>
      <c r="O64" s="1">
        <f t="shared" si="30"/>
        <v>1.4805555555555556</v>
      </c>
      <c r="P64" s="1">
        <f t="shared" si="30"/>
        <v>1.6944444444444444</v>
      </c>
      <c r="Q64" s="1">
        <f t="shared" si="30"/>
        <v>1.9833333333333334</v>
      </c>
      <c r="R64" s="1">
        <f t="shared" si="30"/>
        <v>2.2000000000000002</v>
      </c>
      <c r="S64" s="1">
        <f t="shared" si="29"/>
        <v>2.4944444444444445</v>
      </c>
      <c r="T64" s="1">
        <f t="shared" si="29"/>
        <v>2.7083333333333335</v>
      </c>
      <c r="U64" s="1">
        <f t="shared" si="29"/>
        <v>2.9972222222222222</v>
      </c>
      <c r="V64" s="1">
        <f t="shared" si="29"/>
        <v>3.213888888888889</v>
      </c>
      <c r="W64" s="1">
        <f t="shared" si="29"/>
        <v>3.5083333333333333</v>
      </c>
      <c r="X64" s="1">
        <f t="shared" si="29"/>
        <v>3.7222222222222223</v>
      </c>
      <c r="Y64" s="1">
        <f t="shared" si="29"/>
        <v>4.0111111111111111</v>
      </c>
      <c r="Z64" s="1">
        <f t="shared" si="29"/>
        <v>4.2277777777777779</v>
      </c>
      <c r="AA64" s="1">
        <f t="shared" si="29"/>
        <v>4.5222222222222221</v>
      </c>
      <c r="AB64" s="1">
        <f t="shared" si="29"/>
        <v>4.7361111111111107</v>
      </c>
      <c r="AC64" s="1">
        <f t="shared" si="29"/>
        <v>5.0277777777777777</v>
      </c>
      <c r="AD64" s="1">
        <f t="shared" si="29"/>
        <v>5.2444444444444445</v>
      </c>
      <c r="AE64" s="1">
        <f t="shared" si="29"/>
        <v>5.2444444444444445</v>
      </c>
      <c r="AF64" s="3">
        <f t="shared" si="29"/>
        <v>5.5388888888888888</v>
      </c>
      <c r="AG64" s="1">
        <f t="shared" si="29"/>
        <v>5.7527777777777782</v>
      </c>
      <c r="AH64" s="1">
        <f t="shared" si="29"/>
        <v>6.041666666666667</v>
      </c>
      <c r="AI64" s="1">
        <f t="shared" ref="AI64:AX79" si="31">(AI$1-$B64)/360</f>
        <v>6.041666666666667</v>
      </c>
      <c r="AJ64" s="1">
        <f t="shared" si="31"/>
        <v>6.2583333333333337</v>
      </c>
      <c r="AK64" s="1">
        <f t="shared" si="31"/>
        <v>6.2583333333333337</v>
      </c>
      <c r="AL64" s="1">
        <f t="shared" si="31"/>
        <v>6.7666666666666666</v>
      </c>
      <c r="AM64" s="1">
        <f t="shared" si="31"/>
        <v>7.2722222222222221</v>
      </c>
      <c r="AN64" s="1">
        <f t="shared" si="31"/>
        <v>7.2722222222222221</v>
      </c>
      <c r="AO64" s="1">
        <f t="shared" si="31"/>
        <v>7.7805555555555559</v>
      </c>
      <c r="AP64" s="1">
        <f t="shared" si="31"/>
        <v>8.2861111111111114</v>
      </c>
      <c r="AQ64" s="1">
        <f t="shared" si="31"/>
        <v>8.2861111111111114</v>
      </c>
      <c r="AR64" s="1">
        <f t="shared" si="31"/>
        <v>8.7944444444444443</v>
      </c>
      <c r="AS64" s="1">
        <f t="shared" si="31"/>
        <v>9.3027777777777771</v>
      </c>
      <c r="AT64" s="1">
        <f t="shared" si="31"/>
        <v>9.8111111111111118</v>
      </c>
      <c r="AU64" s="1">
        <f t="shared" si="31"/>
        <v>10.316666666666666</v>
      </c>
      <c r="AV64" s="1">
        <f t="shared" si="31"/>
        <v>10.316666666666666</v>
      </c>
      <c r="AW64" s="1">
        <f t="shared" si="31"/>
        <v>14.883333333333333</v>
      </c>
      <c r="AX64" s="1">
        <f t="shared" si="31"/>
        <v>15.388888888888889</v>
      </c>
      <c r="AY64" s="1">
        <f t="shared" ref="AY64:BN79" si="32">(AY$1-$B64)/360</f>
        <v>15.897222222222222</v>
      </c>
      <c r="AZ64" s="1">
        <f t="shared" si="32"/>
        <v>16.402777777777779</v>
      </c>
      <c r="BA64" s="1">
        <f t="shared" si="32"/>
        <v>16.911111111111111</v>
      </c>
      <c r="BB64" s="1">
        <f t="shared" si="32"/>
        <v>17.419444444444444</v>
      </c>
      <c r="BC64" s="1">
        <f t="shared" si="32"/>
        <v>17.927777777777777</v>
      </c>
      <c r="BD64" s="1">
        <f t="shared" si="32"/>
        <v>18.433333333333334</v>
      </c>
      <c r="BE64" s="1">
        <f t="shared" si="32"/>
        <v>18.433333333333334</v>
      </c>
      <c r="BF64" s="1">
        <f t="shared" si="32"/>
        <v>27.058333333333334</v>
      </c>
      <c r="BG64" s="1">
        <f t="shared" si="32"/>
        <v>27.56388888888889</v>
      </c>
      <c r="BH64" s="1">
        <f t="shared" si="32"/>
        <v>28.072222222222223</v>
      </c>
      <c r="BI64" s="1">
        <f t="shared" si="32"/>
        <v>28.577777777777779</v>
      </c>
      <c r="BJ64" s="1">
        <f t="shared" si="32"/>
        <v>29.086111111111112</v>
      </c>
      <c r="BK64" s="1">
        <f t="shared" si="32"/>
        <v>29.594444444444445</v>
      </c>
      <c r="BL64" s="1">
        <f t="shared" si="32"/>
        <v>30.102777777777778</v>
      </c>
      <c r="BM64" s="1">
        <f t="shared" si="32"/>
        <v>30.608333333333334</v>
      </c>
      <c r="BN64" s="1">
        <f t="shared" si="32"/>
        <v>31.116666666666667</v>
      </c>
      <c r="BO64" s="1">
        <f t="shared" ref="BO64:CD79" si="33">(BO$1-$B64)/360</f>
        <v>31.116666666666667</v>
      </c>
      <c r="BP64" s="1">
        <f t="shared" si="33"/>
        <v>31.622222222222224</v>
      </c>
      <c r="BQ64" s="1">
        <f t="shared" si="33"/>
        <v>32.130555555555553</v>
      </c>
      <c r="BR64" s="1">
        <f t="shared" si="33"/>
        <v>32.636111111111113</v>
      </c>
      <c r="BS64" s="1">
        <f t="shared" si="33"/>
        <v>33.144444444444446</v>
      </c>
      <c r="BT64" s="1">
        <f t="shared" si="33"/>
        <v>33.652777777777779</v>
      </c>
      <c r="BU64" s="1">
        <f t="shared" si="33"/>
        <v>34.161111111111111</v>
      </c>
      <c r="BV64" s="1">
        <f t="shared" si="33"/>
        <v>34.161111111111111</v>
      </c>
      <c r="BW64" s="1">
        <f t="shared" si="33"/>
        <v>34.666666666666664</v>
      </c>
      <c r="BX64" s="1">
        <f t="shared" si="33"/>
        <v>35.174999999999997</v>
      </c>
      <c r="BY64" s="1">
        <f t="shared" si="33"/>
        <v>35.680555555555557</v>
      </c>
      <c r="BZ64" s="1">
        <f t="shared" si="33"/>
        <v>36.18888888888889</v>
      </c>
      <c r="CA64" s="1">
        <f t="shared" si="33"/>
        <v>36.694444444444443</v>
      </c>
      <c r="CB64" s="1">
        <f t="shared" si="33"/>
        <v>37.202777777777776</v>
      </c>
      <c r="CC64" s="1">
        <f t="shared" si="33"/>
        <v>37.711111111111109</v>
      </c>
      <c r="CD64" s="1">
        <f t="shared" si="33"/>
        <v>38.219444444444441</v>
      </c>
      <c r="CE64" s="1">
        <f t="shared" ref="CE64:CT79" si="34">(CE$1-$B64)/360</f>
        <v>38.725000000000001</v>
      </c>
      <c r="CF64" s="1">
        <f t="shared" si="34"/>
        <v>39.233333333333334</v>
      </c>
      <c r="CG64" s="1">
        <f t="shared" si="34"/>
        <v>39.738888888888887</v>
      </c>
      <c r="CH64" s="1">
        <f t="shared" si="34"/>
        <v>40.24722222222222</v>
      </c>
      <c r="CI64" s="1">
        <f t="shared" si="34"/>
        <v>40.75277777777778</v>
      </c>
      <c r="CJ64" s="1">
        <f t="shared" si="34"/>
        <v>41.261111111111113</v>
      </c>
      <c r="CK64" s="1">
        <f t="shared" si="34"/>
        <v>41.769444444444446</v>
      </c>
      <c r="CL64" s="1">
        <f t="shared" si="34"/>
        <v>42.277777777777779</v>
      </c>
      <c r="CM64" s="1">
        <f t="shared" si="34"/>
        <v>42.783333333333331</v>
      </c>
      <c r="CN64" s="1">
        <f t="shared" si="34"/>
        <v>43.291666666666664</v>
      </c>
      <c r="CO64" s="1">
        <f t="shared" si="34"/>
        <v>43.797222222222224</v>
      </c>
      <c r="CP64" s="1">
        <f t="shared" si="34"/>
        <v>44.305555555555557</v>
      </c>
      <c r="CQ64" s="1">
        <f t="shared" si="34"/>
        <v>44.81111111111111</v>
      </c>
      <c r="CR64" s="1">
        <f t="shared" si="34"/>
        <v>45.319444444444443</v>
      </c>
      <c r="CS64" s="1">
        <f t="shared" si="34"/>
        <v>45.827777777777776</v>
      </c>
      <c r="CT64" s="1">
        <f t="shared" si="34"/>
        <v>46.336111111111109</v>
      </c>
      <c r="CU64" s="1">
        <f t="shared" ref="CU64:DC79" si="35">(CU$1-$B64)/360</f>
        <v>46.841666666666669</v>
      </c>
      <c r="CV64" s="1">
        <f t="shared" si="35"/>
        <v>47.35</v>
      </c>
      <c r="CW64" s="1">
        <f t="shared" si="35"/>
        <v>47.855555555555554</v>
      </c>
      <c r="CX64" s="1">
        <f t="shared" si="35"/>
        <v>48.363888888888887</v>
      </c>
      <c r="CY64" s="1">
        <f t="shared" si="35"/>
        <v>48.869444444444447</v>
      </c>
      <c r="CZ64" s="1">
        <f t="shared" si="35"/>
        <v>49.37777777777778</v>
      </c>
      <c r="DA64" s="1">
        <f t="shared" si="35"/>
        <v>49.886111111111113</v>
      </c>
      <c r="DB64" s="1">
        <f t="shared" si="35"/>
        <v>50.394444444444446</v>
      </c>
      <c r="DC64" s="1">
        <f t="shared" si="35"/>
        <v>50.394444444444446</v>
      </c>
    </row>
    <row r="65" spans="1:107" x14ac:dyDescent="0.25">
      <c r="A65">
        <f t="shared" si="7"/>
        <v>5</v>
      </c>
      <c r="B65" s="2">
        <f>yields_BRUTE!B65</f>
        <v>42096</v>
      </c>
      <c r="C65" s="1">
        <f t="shared" si="30"/>
        <v>-8.8888888888888892E-2</v>
      </c>
      <c r="D65" s="1">
        <f t="shared" si="30"/>
        <v>-0.05</v>
      </c>
      <c r="E65" s="1">
        <f t="shared" si="30"/>
        <v>0.16666666666666666</v>
      </c>
      <c r="F65" s="1">
        <f t="shared" si="30"/>
        <v>0.42222222222222222</v>
      </c>
      <c r="G65" s="1">
        <f t="shared" si="30"/>
        <v>0.46111111111111114</v>
      </c>
      <c r="H65" s="1">
        <f t="shared" si="30"/>
        <v>0.67500000000000004</v>
      </c>
      <c r="I65" s="1">
        <f t="shared" si="30"/>
        <v>0.67500000000000004</v>
      </c>
      <c r="J65" s="1">
        <f t="shared" si="30"/>
        <v>0.92777777777777781</v>
      </c>
      <c r="K65" s="1">
        <f t="shared" si="30"/>
        <v>0.96666666666666667</v>
      </c>
      <c r="L65" s="1">
        <f t="shared" si="30"/>
        <v>1.1833333333333333</v>
      </c>
      <c r="M65" s="1">
        <f t="shared" si="30"/>
        <v>1.4388888888888889</v>
      </c>
      <c r="N65" s="1">
        <f t="shared" si="30"/>
        <v>1.4388888888888889</v>
      </c>
      <c r="O65" s="1">
        <f t="shared" si="30"/>
        <v>1.4777777777777779</v>
      </c>
      <c r="P65" s="1">
        <f t="shared" si="30"/>
        <v>1.6916666666666667</v>
      </c>
      <c r="Q65" s="1">
        <f t="shared" si="30"/>
        <v>1.9805555555555556</v>
      </c>
      <c r="R65" s="1">
        <f t="shared" si="30"/>
        <v>2.1972222222222224</v>
      </c>
      <c r="S65" s="1">
        <f t="shared" si="29"/>
        <v>2.4916666666666667</v>
      </c>
      <c r="T65" s="1">
        <f t="shared" si="29"/>
        <v>2.7055555555555557</v>
      </c>
      <c r="U65" s="1">
        <f t="shared" si="29"/>
        <v>2.9944444444444445</v>
      </c>
      <c r="V65" s="1">
        <f t="shared" si="29"/>
        <v>3.2111111111111112</v>
      </c>
      <c r="W65" s="1">
        <f t="shared" si="29"/>
        <v>3.5055555555555555</v>
      </c>
      <c r="X65" s="1">
        <f t="shared" si="29"/>
        <v>3.7194444444444446</v>
      </c>
      <c r="Y65" s="1">
        <f t="shared" si="29"/>
        <v>4.0083333333333337</v>
      </c>
      <c r="Z65" s="1">
        <f t="shared" si="29"/>
        <v>4.2249999999999996</v>
      </c>
      <c r="AA65" s="1">
        <f t="shared" si="29"/>
        <v>4.5194444444444448</v>
      </c>
      <c r="AB65" s="1">
        <f t="shared" si="29"/>
        <v>4.7333333333333334</v>
      </c>
      <c r="AC65" s="1">
        <f t="shared" si="29"/>
        <v>5.0250000000000004</v>
      </c>
      <c r="AD65" s="1">
        <f t="shared" si="29"/>
        <v>5.2416666666666663</v>
      </c>
      <c r="AE65" s="1">
        <f t="shared" si="29"/>
        <v>5.2416666666666663</v>
      </c>
      <c r="AF65" s="3">
        <f t="shared" si="29"/>
        <v>5.5361111111111114</v>
      </c>
      <c r="AG65" s="1">
        <f t="shared" si="29"/>
        <v>5.75</v>
      </c>
      <c r="AH65" s="1">
        <f t="shared" si="29"/>
        <v>6.0388888888888888</v>
      </c>
      <c r="AI65" s="1">
        <f t="shared" si="31"/>
        <v>6.0388888888888888</v>
      </c>
      <c r="AJ65" s="1">
        <f t="shared" si="31"/>
        <v>6.2555555555555555</v>
      </c>
      <c r="AK65" s="1">
        <f t="shared" si="31"/>
        <v>6.2555555555555555</v>
      </c>
      <c r="AL65" s="1">
        <f t="shared" si="31"/>
        <v>6.7638888888888893</v>
      </c>
      <c r="AM65" s="1">
        <f t="shared" si="31"/>
        <v>7.2694444444444448</v>
      </c>
      <c r="AN65" s="1">
        <f t="shared" si="31"/>
        <v>7.2694444444444448</v>
      </c>
      <c r="AO65" s="1">
        <f t="shared" si="31"/>
        <v>7.7777777777777777</v>
      </c>
      <c r="AP65" s="1">
        <f t="shared" si="31"/>
        <v>8.2833333333333332</v>
      </c>
      <c r="AQ65" s="1">
        <f t="shared" si="31"/>
        <v>8.2833333333333332</v>
      </c>
      <c r="AR65" s="1">
        <f t="shared" si="31"/>
        <v>8.7916666666666661</v>
      </c>
      <c r="AS65" s="1">
        <f t="shared" si="31"/>
        <v>9.3000000000000007</v>
      </c>
      <c r="AT65" s="1">
        <f t="shared" si="31"/>
        <v>9.8083333333333336</v>
      </c>
      <c r="AU65" s="1">
        <f t="shared" si="31"/>
        <v>10.313888888888888</v>
      </c>
      <c r="AV65" s="1">
        <f t="shared" si="31"/>
        <v>10.313888888888888</v>
      </c>
      <c r="AW65" s="1">
        <f t="shared" si="31"/>
        <v>14.880555555555556</v>
      </c>
      <c r="AX65" s="1">
        <f t="shared" si="31"/>
        <v>15.386111111111111</v>
      </c>
      <c r="AY65" s="1">
        <f t="shared" si="32"/>
        <v>15.894444444444444</v>
      </c>
      <c r="AZ65" s="1">
        <f t="shared" si="32"/>
        <v>16.399999999999999</v>
      </c>
      <c r="BA65" s="1">
        <f t="shared" si="32"/>
        <v>16.908333333333335</v>
      </c>
      <c r="BB65" s="1">
        <f t="shared" si="32"/>
        <v>17.416666666666668</v>
      </c>
      <c r="BC65" s="1">
        <f t="shared" si="32"/>
        <v>17.925000000000001</v>
      </c>
      <c r="BD65" s="1">
        <f t="shared" si="32"/>
        <v>18.430555555555557</v>
      </c>
      <c r="BE65" s="1">
        <f t="shared" si="32"/>
        <v>18.430555555555557</v>
      </c>
      <c r="BF65" s="1">
        <f t="shared" si="32"/>
        <v>27.055555555555557</v>
      </c>
      <c r="BG65" s="1">
        <f t="shared" si="32"/>
        <v>27.56111111111111</v>
      </c>
      <c r="BH65" s="1">
        <f t="shared" si="32"/>
        <v>28.069444444444443</v>
      </c>
      <c r="BI65" s="1">
        <f t="shared" si="32"/>
        <v>28.574999999999999</v>
      </c>
      <c r="BJ65" s="1">
        <f t="shared" si="32"/>
        <v>29.083333333333332</v>
      </c>
      <c r="BK65" s="1">
        <f t="shared" si="32"/>
        <v>29.591666666666665</v>
      </c>
      <c r="BL65" s="1">
        <f t="shared" si="32"/>
        <v>30.1</v>
      </c>
      <c r="BM65" s="1">
        <f t="shared" si="32"/>
        <v>30.605555555555554</v>
      </c>
      <c r="BN65" s="1">
        <f t="shared" si="32"/>
        <v>31.113888888888887</v>
      </c>
      <c r="BO65" s="1">
        <f t="shared" si="33"/>
        <v>31.113888888888887</v>
      </c>
      <c r="BP65" s="1">
        <f t="shared" si="33"/>
        <v>31.619444444444444</v>
      </c>
      <c r="BQ65" s="1">
        <f t="shared" si="33"/>
        <v>32.12777777777778</v>
      </c>
      <c r="BR65" s="1">
        <f t="shared" si="33"/>
        <v>32.633333333333333</v>
      </c>
      <c r="BS65" s="1">
        <f t="shared" si="33"/>
        <v>33.141666666666666</v>
      </c>
      <c r="BT65" s="1">
        <f t="shared" si="33"/>
        <v>33.65</v>
      </c>
      <c r="BU65" s="1">
        <f t="shared" si="33"/>
        <v>34.158333333333331</v>
      </c>
      <c r="BV65" s="1">
        <f t="shared" si="33"/>
        <v>34.158333333333331</v>
      </c>
      <c r="BW65" s="1">
        <f t="shared" si="33"/>
        <v>34.663888888888891</v>
      </c>
      <c r="BX65" s="1">
        <f t="shared" si="33"/>
        <v>35.172222222222224</v>
      </c>
      <c r="BY65" s="1">
        <f t="shared" si="33"/>
        <v>35.677777777777777</v>
      </c>
      <c r="BZ65" s="1">
        <f t="shared" si="33"/>
        <v>36.18611111111111</v>
      </c>
      <c r="CA65" s="1">
        <f t="shared" si="33"/>
        <v>36.69166666666667</v>
      </c>
      <c r="CB65" s="1">
        <f t="shared" si="33"/>
        <v>37.200000000000003</v>
      </c>
      <c r="CC65" s="1">
        <f t="shared" si="33"/>
        <v>37.708333333333336</v>
      </c>
      <c r="CD65" s="1">
        <f t="shared" si="33"/>
        <v>38.216666666666669</v>
      </c>
      <c r="CE65" s="1">
        <f t="shared" si="34"/>
        <v>38.722222222222221</v>
      </c>
      <c r="CF65" s="1">
        <f t="shared" si="34"/>
        <v>39.230555555555554</v>
      </c>
      <c r="CG65" s="1">
        <f t="shared" si="34"/>
        <v>39.736111111111114</v>
      </c>
      <c r="CH65" s="1">
        <f t="shared" si="34"/>
        <v>40.244444444444447</v>
      </c>
      <c r="CI65" s="1">
        <f t="shared" si="34"/>
        <v>40.75</v>
      </c>
      <c r="CJ65" s="1">
        <f t="shared" si="34"/>
        <v>41.258333333333333</v>
      </c>
      <c r="CK65" s="1">
        <f t="shared" si="34"/>
        <v>41.766666666666666</v>
      </c>
      <c r="CL65" s="1">
        <f t="shared" si="34"/>
        <v>42.274999999999999</v>
      </c>
      <c r="CM65" s="1">
        <f t="shared" si="34"/>
        <v>42.780555555555559</v>
      </c>
      <c r="CN65" s="1">
        <f t="shared" si="34"/>
        <v>43.288888888888891</v>
      </c>
      <c r="CO65" s="1">
        <f t="shared" si="34"/>
        <v>43.794444444444444</v>
      </c>
      <c r="CP65" s="1">
        <f t="shared" si="34"/>
        <v>44.302777777777777</v>
      </c>
      <c r="CQ65" s="1">
        <f t="shared" si="34"/>
        <v>44.80833333333333</v>
      </c>
      <c r="CR65" s="1">
        <f t="shared" si="34"/>
        <v>45.31666666666667</v>
      </c>
      <c r="CS65" s="1">
        <f t="shared" si="34"/>
        <v>45.825000000000003</v>
      </c>
      <c r="CT65" s="1">
        <f t="shared" si="34"/>
        <v>46.333333333333336</v>
      </c>
      <c r="CU65" s="1">
        <f t="shared" si="35"/>
        <v>46.838888888888889</v>
      </c>
      <c r="CV65" s="1">
        <f t="shared" si="35"/>
        <v>47.347222222222221</v>
      </c>
      <c r="CW65" s="1">
        <f t="shared" si="35"/>
        <v>47.852777777777774</v>
      </c>
      <c r="CX65" s="1">
        <f t="shared" si="35"/>
        <v>48.361111111111114</v>
      </c>
      <c r="CY65" s="1">
        <f t="shared" si="35"/>
        <v>48.866666666666667</v>
      </c>
      <c r="CZ65" s="1">
        <f t="shared" si="35"/>
        <v>49.375</v>
      </c>
      <c r="DA65" s="1">
        <f t="shared" si="35"/>
        <v>49.883333333333333</v>
      </c>
      <c r="DB65" s="1">
        <f t="shared" si="35"/>
        <v>50.391666666666666</v>
      </c>
      <c r="DC65" s="1">
        <f t="shared" si="35"/>
        <v>50.391666666666666</v>
      </c>
    </row>
    <row r="66" spans="1:107" x14ac:dyDescent="0.25">
      <c r="A66">
        <f t="shared" si="7"/>
        <v>2</v>
      </c>
      <c r="B66" s="2">
        <f>yields_BRUTE!B66</f>
        <v>42100</v>
      </c>
      <c r="C66" s="1">
        <f t="shared" si="30"/>
        <v>-0.1</v>
      </c>
      <c r="D66" s="1">
        <f t="shared" si="30"/>
        <v>-6.1111111111111109E-2</v>
      </c>
      <c r="E66" s="1">
        <f t="shared" si="30"/>
        <v>0.15555555555555556</v>
      </c>
      <c r="F66" s="1">
        <f t="shared" si="30"/>
        <v>0.41111111111111109</v>
      </c>
      <c r="G66" s="1">
        <f t="shared" si="30"/>
        <v>0.45</v>
      </c>
      <c r="H66" s="1">
        <f t="shared" si="30"/>
        <v>0.66388888888888886</v>
      </c>
      <c r="I66" s="1">
        <f t="shared" si="30"/>
        <v>0.66388888888888886</v>
      </c>
      <c r="J66" s="1">
        <f t="shared" si="30"/>
        <v>0.91666666666666663</v>
      </c>
      <c r="K66" s="1">
        <f t="shared" si="30"/>
        <v>0.9555555555555556</v>
      </c>
      <c r="L66" s="1">
        <f t="shared" si="30"/>
        <v>1.1722222222222223</v>
      </c>
      <c r="M66" s="1">
        <f t="shared" si="30"/>
        <v>1.4277777777777778</v>
      </c>
      <c r="N66" s="1">
        <f t="shared" si="30"/>
        <v>1.4277777777777778</v>
      </c>
      <c r="O66" s="1">
        <f t="shared" si="30"/>
        <v>1.4666666666666666</v>
      </c>
      <c r="P66" s="1">
        <f t="shared" si="30"/>
        <v>1.6805555555555556</v>
      </c>
      <c r="Q66" s="1">
        <f t="shared" si="30"/>
        <v>1.9694444444444446</v>
      </c>
      <c r="R66" s="1">
        <f t="shared" ref="R66:AG81" si="36">(R$1-$B66)/360</f>
        <v>2.1861111111111109</v>
      </c>
      <c r="S66" s="1">
        <f t="shared" si="36"/>
        <v>2.4805555555555556</v>
      </c>
      <c r="T66" s="1">
        <f t="shared" si="36"/>
        <v>2.6944444444444446</v>
      </c>
      <c r="U66" s="1">
        <f t="shared" si="36"/>
        <v>2.9833333333333334</v>
      </c>
      <c r="V66" s="1">
        <f t="shared" si="36"/>
        <v>3.2</v>
      </c>
      <c r="W66" s="1">
        <f t="shared" si="36"/>
        <v>3.4944444444444445</v>
      </c>
      <c r="X66" s="1">
        <f t="shared" si="36"/>
        <v>3.7083333333333335</v>
      </c>
      <c r="Y66" s="1">
        <f t="shared" si="36"/>
        <v>3.9972222222222222</v>
      </c>
      <c r="Z66" s="1">
        <f t="shared" si="36"/>
        <v>4.2138888888888886</v>
      </c>
      <c r="AA66" s="1">
        <f t="shared" si="36"/>
        <v>4.5083333333333337</v>
      </c>
      <c r="AB66" s="1">
        <f t="shared" si="36"/>
        <v>4.7222222222222223</v>
      </c>
      <c r="AC66" s="1">
        <f t="shared" si="36"/>
        <v>5.0138888888888893</v>
      </c>
      <c r="AD66" s="1">
        <f t="shared" si="36"/>
        <v>5.2305555555555552</v>
      </c>
      <c r="AE66" s="1">
        <f t="shared" si="36"/>
        <v>5.2305555555555552</v>
      </c>
      <c r="AF66" s="3">
        <f t="shared" si="36"/>
        <v>5.5250000000000004</v>
      </c>
      <c r="AG66" s="1">
        <f t="shared" si="36"/>
        <v>5.7388888888888889</v>
      </c>
      <c r="AH66" s="1">
        <f t="shared" ref="AH66:AW81" si="37">(AH$1-$B66)/360</f>
        <v>6.0277777777777777</v>
      </c>
      <c r="AI66" s="1">
        <f t="shared" si="31"/>
        <v>6.0277777777777777</v>
      </c>
      <c r="AJ66" s="1">
        <f t="shared" si="31"/>
        <v>6.2444444444444445</v>
      </c>
      <c r="AK66" s="1">
        <f t="shared" si="31"/>
        <v>6.2444444444444445</v>
      </c>
      <c r="AL66" s="1">
        <f t="shared" si="31"/>
        <v>6.7527777777777782</v>
      </c>
      <c r="AM66" s="1">
        <f t="shared" si="31"/>
        <v>7.2583333333333337</v>
      </c>
      <c r="AN66" s="1">
        <f t="shared" si="31"/>
        <v>7.2583333333333337</v>
      </c>
      <c r="AO66" s="1">
        <f t="shared" si="31"/>
        <v>7.7666666666666666</v>
      </c>
      <c r="AP66" s="1">
        <f t="shared" si="31"/>
        <v>8.2722222222222221</v>
      </c>
      <c r="AQ66" s="1">
        <f t="shared" si="31"/>
        <v>8.2722222222222221</v>
      </c>
      <c r="AR66" s="1">
        <f t="shared" si="31"/>
        <v>8.780555555555555</v>
      </c>
      <c r="AS66" s="1">
        <f t="shared" si="31"/>
        <v>9.2888888888888896</v>
      </c>
      <c r="AT66" s="1">
        <f t="shared" si="31"/>
        <v>9.7972222222222225</v>
      </c>
      <c r="AU66" s="1">
        <f t="shared" si="31"/>
        <v>10.302777777777777</v>
      </c>
      <c r="AV66" s="1">
        <f t="shared" si="31"/>
        <v>10.302777777777777</v>
      </c>
      <c r="AW66" s="1">
        <f t="shared" si="31"/>
        <v>14.869444444444444</v>
      </c>
      <c r="AX66" s="1">
        <f t="shared" si="31"/>
        <v>15.375</v>
      </c>
      <c r="AY66" s="1">
        <f t="shared" si="32"/>
        <v>15.883333333333333</v>
      </c>
      <c r="AZ66" s="1">
        <f t="shared" si="32"/>
        <v>16.388888888888889</v>
      </c>
      <c r="BA66" s="1">
        <f t="shared" si="32"/>
        <v>16.897222222222222</v>
      </c>
      <c r="BB66" s="1">
        <f t="shared" si="32"/>
        <v>17.405555555555555</v>
      </c>
      <c r="BC66" s="1">
        <f t="shared" si="32"/>
        <v>17.913888888888888</v>
      </c>
      <c r="BD66" s="1">
        <f t="shared" si="32"/>
        <v>18.419444444444444</v>
      </c>
      <c r="BE66" s="1">
        <f t="shared" si="32"/>
        <v>18.419444444444444</v>
      </c>
      <c r="BF66" s="1">
        <f t="shared" si="32"/>
        <v>27.044444444444444</v>
      </c>
      <c r="BG66" s="1">
        <f t="shared" si="32"/>
        <v>27.55</v>
      </c>
      <c r="BH66" s="1">
        <f t="shared" si="32"/>
        <v>28.058333333333334</v>
      </c>
      <c r="BI66" s="1">
        <f t="shared" si="32"/>
        <v>28.56388888888889</v>
      </c>
      <c r="BJ66" s="1">
        <f t="shared" si="32"/>
        <v>29.072222222222223</v>
      </c>
      <c r="BK66" s="1">
        <f t="shared" si="32"/>
        <v>29.580555555555556</v>
      </c>
      <c r="BL66" s="1">
        <f t="shared" si="32"/>
        <v>30.088888888888889</v>
      </c>
      <c r="BM66" s="1">
        <f t="shared" si="32"/>
        <v>30.594444444444445</v>
      </c>
      <c r="BN66" s="1">
        <f t="shared" si="32"/>
        <v>31.102777777777778</v>
      </c>
      <c r="BO66" s="1">
        <f t="shared" si="33"/>
        <v>31.102777777777778</v>
      </c>
      <c r="BP66" s="1">
        <f t="shared" si="33"/>
        <v>31.608333333333334</v>
      </c>
      <c r="BQ66" s="1">
        <f t="shared" si="33"/>
        <v>32.116666666666667</v>
      </c>
      <c r="BR66" s="1">
        <f t="shared" si="33"/>
        <v>32.62222222222222</v>
      </c>
      <c r="BS66" s="1">
        <f t="shared" si="33"/>
        <v>33.130555555555553</v>
      </c>
      <c r="BT66" s="1">
        <f t="shared" si="33"/>
        <v>33.638888888888886</v>
      </c>
      <c r="BU66" s="1">
        <f t="shared" si="33"/>
        <v>34.147222222222226</v>
      </c>
      <c r="BV66" s="1">
        <f t="shared" si="33"/>
        <v>34.147222222222226</v>
      </c>
      <c r="BW66" s="1">
        <f t="shared" si="33"/>
        <v>34.652777777777779</v>
      </c>
      <c r="BX66" s="1">
        <f t="shared" si="33"/>
        <v>35.161111111111111</v>
      </c>
      <c r="BY66" s="1">
        <f t="shared" si="33"/>
        <v>35.666666666666664</v>
      </c>
      <c r="BZ66" s="1">
        <f t="shared" si="33"/>
        <v>36.174999999999997</v>
      </c>
      <c r="CA66" s="1">
        <f t="shared" si="33"/>
        <v>36.680555555555557</v>
      </c>
      <c r="CB66" s="1">
        <f t="shared" si="33"/>
        <v>37.18888888888889</v>
      </c>
      <c r="CC66" s="1">
        <f t="shared" si="33"/>
        <v>37.697222222222223</v>
      </c>
      <c r="CD66" s="1">
        <f t="shared" si="33"/>
        <v>38.205555555555556</v>
      </c>
      <c r="CE66" s="1">
        <f t="shared" si="34"/>
        <v>38.711111111111109</v>
      </c>
      <c r="CF66" s="1">
        <f t="shared" si="34"/>
        <v>39.219444444444441</v>
      </c>
      <c r="CG66" s="1">
        <f t="shared" si="34"/>
        <v>39.725000000000001</v>
      </c>
      <c r="CH66" s="1">
        <f t="shared" si="34"/>
        <v>40.233333333333334</v>
      </c>
      <c r="CI66" s="1">
        <f t="shared" si="34"/>
        <v>40.738888888888887</v>
      </c>
      <c r="CJ66" s="1">
        <f t="shared" si="34"/>
        <v>41.24722222222222</v>
      </c>
      <c r="CK66" s="1">
        <f t="shared" si="34"/>
        <v>41.755555555555553</v>
      </c>
      <c r="CL66" s="1">
        <f t="shared" si="34"/>
        <v>42.263888888888886</v>
      </c>
      <c r="CM66" s="1">
        <f t="shared" si="34"/>
        <v>42.769444444444446</v>
      </c>
      <c r="CN66" s="1">
        <f t="shared" si="34"/>
        <v>43.277777777777779</v>
      </c>
      <c r="CO66" s="1">
        <f t="shared" si="34"/>
        <v>43.783333333333331</v>
      </c>
      <c r="CP66" s="1">
        <f t="shared" si="34"/>
        <v>44.291666666666664</v>
      </c>
      <c r="CQ66" s="1">
        <f t="shared" si="34"/>
        <v>44.797222222222224</v>
      </c>
      <c r="CR66" s="1">
        <f t="shared" si="34"/>
        <v>45.305555555555557</v>
      </c>
      <c r="CS66" s="1">
        <f t="shared" si="34"/>
        <v>45.81388888888889</v>
      </c>
      <c r="CT66" s="1">
        <f t="shared" si="34"/>
        <v>46.322222222222223</v>
      </c>
      <c r="CU66" s="1">
        <f t="shared" si="35"/>
        <v>46.827777777777776</v>
      </c>
      <c r="CV66" s="1">
        <f t="shared" si="35"/>
        <v>47.336111111111109</v>
      </c>
      <c r="CW66" s="1">
        <f t="shared" si="35"/>
        <v>47.841666666666669</v>
      </c>
      <c r="CX66" s="1">
        <f t="shared" si="35"/>
        <v>48.35</v>
      </c>
      <c r="CY66" s="1">
        <f t="shared" si="35"/>
        <v>48.855555555555554</v>
      </c>
      <c r="CZ66" s="1">
        <f t="shared" si="35"/>
        <v>49.363888888888887</v>
      </c>
      <c r="DA66" s="1">
        <f t="shared" si="35"/>
        <v>49.87222222222222</v>
      </c>
      <c r="DB66" s="1">
        <f t="shared" si="35"/>
        <v>50.380555555555553</v>
      </c>
      <c r="DC66" s="1">
        <f t="shared" si="35"/>
        <v>50.380555555555553</v>
      </c>
    </row>
    <row r="67" spans="1:107" x14ac:dyDescent="0.25">
      <c r="A67">
        <f t="shared" ref="A67:A130" si="38">WEEKDAY(B67)</f>
        <v>3</v>
      </c>
      <c r="B67" s="2">
        <f>yields_BRUTE!B67</f>
        <v>42101</v>
      </c>
      <c r="C67" s="1">
        <f t="shared" ref="C67:R82" si="39">(C$1-$B67)/360</f>
        <v>-0.10277777777777777</v>
      </c>
      <c r="D67" s="1">
        <f t="shared" si="39"/>
        <v>-6.3888888888888884E-2</v>
      </c>
      <c r="E67" s="1">
        <f t="shared" si="39"/>
        <v>0.15277777777777779</v>
      </c>
      <c r="F67" s="1">
        <f t="shared" si="39"/>
        <v>0.40833333333333333</v>
      </c>
      <c r="G67" s="1">
        <f t="shared" si="39"/>
        <v>0.44722222222222224</v>
      </c>
      <c r="H67" s="1">
        <f t="shared" si="39"/>
        <v>0.66111111111111109</v>
      </c>
      <c r="I67" s="1">
        <f t="shared" si="39"/>
        <v>0.66111111111111109</v>
      </c>
      <c r="J67" s="1">
        <f t="shared" si="39"/>
        <v>0.91388888888888886</v>
      </c>
      <c r="K67" s="1">
        <f t="shared" si="39"/>
        <v>0.95277777777777772</v>
      </c>
      <c r="L67" s="1">
        <f t="shared" si="39"/>
        <v>1.1694444444444445</v>
      </c>
      <c r="M67" s="1">
        <f t="shared" si="39"/>
        <v>1.425</v>
      </c>
      <c r="N67" s="1">
        <f t="shared" si="39"/>
        <v>1.425</v>
      </c>
      <c r="O67" s="1">
        <f t="shared" si="39"/>
        <v>1.4638888888888888</v>
      </c>
      <c r="P67" s="1">
        <f t="shared" si="39"/>
        <v>1.6777777777777778</v>
      </c>
      <c r="Q67" s="1">
        <f t="shared" si="39"/>
        <v>1.9666666666666666</v>
      </c>
      <c r="R67" s="1">
        <f t="shared" si="36"/>
        <v>2.1833333333333331</v>
      </c>
      <c r="S67" s="1">
        <f t="shared" si="36"/>
        <v>2.4777777777777779</v>
      </c>
      <c r="T67" s="1">
        <f t="shared" si="36"/>
        <v>2.6916666666666669</v>
      </c>
      <c r="U67" s="1">
        <f t="shared" si="36"/>
        <v>2.9805555555555556</v>
      </c>
      <c r="V67" s="1">
        <f t="shared" si="36"/>
        <v>3.1972222222222224</v>
      </c>
      <c r="W67" s="1">
        <f t="shared" si="36"/>
        <v>3.4916666666666667</v>
      </c>
      <c r="X67" s="1">
        <f t="shared" si="36"/>
        <v>3.7055555555555557</v>
      </c>
      <c r="Y67" s="1">
        <f t="shared" si="36"/>
        <v>3.9944444444444445</v>
      </c>
      <c r="Z67" s="1">
        <f t="shared" si="36"/>
        <v>4.2111111111111112</v>
      </c>
      <c r="AA67" s="1">
        <f t="shared" si="36"/>
        <v>4.5055555555555555</v>
      </c>
      <c r="AB67" s="1">
        <f t="shared" si="36"/>
        <v>4.7194444444444441</v>
      </c>
      <c r="AC67" s="1">
        <f t="shared" si="36"/>
        <v>5.0111111111111111</v>
      </c>
      <c r="AD67" s="1">
        <f t="shared" si="36"/>
        <v>5.2277777777777779</v>
      </c>
      <c r="AE67" s="1">
        <f t="shared" si="36"/>
        <v>5.2277777777777779</v>
      </c>
      <c r="AF67" s="3">
        <f t="shared" si="36"/>
        <v>5.5222222222222221</v>
      </c>
      <c r="AG67" s="1">
        <f t="shared" si="36"/>
        <v>5.7361111111111107</v>
      </c>
      <c r="AH67" s="1">
        <f t="shared" si="37"/>
        <v>6.0250000000000004</v>
      </c>
      <c r="AI67" s="1">
        <f t="shared" si="31"/>
        <v>6.0250000000000004</v>
      </c>
      <c r="AJ67" s="1">
        <f t="shared" si="31"/>
        <v>6.2416666666666663</v>
      </c>
      <c r="AK67" s="1">
        <f t="shared" si="31"/>
        <v>6.2416666666666663</v>
      </c>
      <c r="AL67" s="1">
        <f t="shared" si="31"/>
        <v>6.75</v>
      </c>
      <c r="AM67" s="1">
        <f t="shared" si="31"/>
        <v>7.2555555555555555</v>
      </c>
      <c r="AN67" s="1">
        <f t="shared" si="31"/>
        <v>7.2555555555555555</v>
      </c>
      <c r="AO67" s="1">
        <f t="shared" si="31"/>
        <v>7.7638888888888893</v>
      </c>
      <c r="AP67" s="1">
        <f t="shared" si="31"/>
        <v>8.2694444444444439</v>
      </c>
      <c r="AQ67" s="1">
        <f t="shared" si="31"/>
        <v>8.2694444444444439</v>
      </c>
      <c r="AR67" s="1">
        <f t="shared" si="31"/>
        <v>8.7777777777777786</v>
      </c>
      <c r="AS67" s="1">
        <f t="shared" si="31"/>
        <v>9.2861111111111114</v>
      </c>
      <c r="AT67" s="1">
        <f t="shared" si="31"/>
        <v>9.7944444444444443</v>
      </c>
      <c r="AU67" s="1">
        <f t="shared" si="31"/>
        <v>10.3</v>
      </c>
      <c r="AV67" s="1">
        <f t="shared" si="31"/>
        <v>10.3</v>
      </c>
      <c r="AW67" s="1">
        <f t="shared" si="31"/>
        <v>14.866666666666667</v>
      </c>
      <c r="AX67" s="1">
        <f t="shared" si="31"/>
        <v>15.372222222222222</v>
      </c>
      <c r="AY67" s="1">
        <f t="shared" si="32"/>
        <v>15.880555555555556</v>
      </c>
      <c r="AZ67" s="1">
        <f t="shared" si="32"/>
        <v>16.386111111111113</v>
      </c>
      <c r="BA67" s="1">
        <f t="shared" si="32"/>
        <v>16.894444444444446</v>
      </c>
      <c r="BB67" s="1">
        <f t="shared" si="32"/>
        <v>17.402777777777779</v>
      </c>
      <c r="BC67" s="1">
        <f t="shared" si="32"/>
        <v>17.911111111111111</v>
      </c>
      <c r="BD67" s="1">
        <f t="shared" si="32"/>
        <v>18.416666666666668</v>
      </c>
      <c r="BE67" s="1">
        <f t="shared" si="32"/>
        <v>18.416666666666668</v>
      </c>
      <c r="BF67" s="1">
        <f t="shared" si="32"/>
        <v>27.041666666666668</v>
      </c>
      <c r="BG67" s="1">
        <f t="shared" si="32"/>
        <v>27.547222222222221</v>
      </c>
      <c r="BH67" s="1">
        <f t="shared" si="32"/>
        <v>28.055555555555557</v>
      </c>
      <c r="BI67" s="1">
        <f t="shared" si="32"/>
        <v>28.56111111111111</v>
      </c>
      <c r="BJ67" s="1">
        <f t="shared" si="32"/>
        <v>29.069444444444443</v>
      </c>
      <c r="BK67" s="1">
        <f t="shared" si="32"/>
        <v>29.577777777777779</v>
      </c>
      <c r="BL67" s="1">
        <f t="shared" si="32"/>
        <v>30.086111111111112</v>
      </c>
      <c r="BM67" s="1">
        <f t="shared" si="32"/>
        <v>30.591666666666665</v>
      </c>
      <c r="BN67" s="1">
        <f t="shared" si="32"/>
        <v>31.1</v>
      </c>
      <c r="BO67" s="1">
        <f t="shared" si="33"/>
        <v>31.1</v>
      </c>
      <c r="BP67" s="1">
        <f t="shared" si="33"/>
        <v>31.605555555555554</v>
      </c>
      <c r="BQ67" s="1">
        <f t="shared" si="33"/>
        <v>32.113888888888887</v>
      </c>
      <c r="BR67" s="1">
        <f t="shared" si="33"/>
        <v>32.619444444444447</v>
      </c>
      <c r="BS67" s="1">
        <f t="shared" si="33"/>
        <v>33.12777777777778</v>
      </c>
      <c r="BT67" s="1">
        <f t="shared" si="33"/>
        <v>33.636111111111113</v>
      </c>
      <c r="BU67" s="1">
        <f t="shared" si="33"/>
        <v>34.144444444444446</v>
      </c>
      <c r="BV67" s="1">
        <f t="shared" si="33"/>
        <v>34.144444444444446</v>
      </c>
      <c r="BW67" s="1">
        <f t="shared" si="33"/>
        <v>34.65</v>
      </c>
      <c r="BX67" s="1">
        <f t="shared" si="33"/>
        <v>35.158333333333331</v>
      </c>
      <c r="BY67" s="1">
        <f t="shared" si="33"/>
        <v>35.663888888888891</v>
      </c>
      <c r="BZ67" s="1">
        <f t="shared" si="33"/>
        <v>36.172222222222224</v>
      </c>
      <c r="CA67" s="1">
        <f t="shared" si="33"/>
        <v>36.677777777777777</v>
      </c>
      <c r="CB67" s="1">
        <f t="shared" si="33"/>
        <v>37.18611111111111</v>
      </c>
      <c r="CC67" s="1">
        <f t="shared" si="33"/>
        <v>37.694444444444443</v>
      </c>
      <c r="CD67" s="1">
        <f t="shared" si="33"/>
        <v>38.202777777777776</v>
      </c>
      <c r="CE67" s="1">
        <f t="shared" si="34"/>
        <v>38.708333333333336</v>
      </c>
      <c r="CF67" s="1">
        <f t="shared" si="34"/>
        <v>39.216666666666669</v>
      </c>
      <c r="CG67" s="1">
        <f t="shared" si="34"/>
        <v>39.722222222222221</v>
      </c>
      <c r="CH67" s="1">
        <f t="shared" si="34"/>
        <v>40.230555555555554</v>
      </c>
      <c r="CI67" s="1">
        <f t="shared" si="34"/>
        <v>40.736111111111114</v>
      </c>
      <c r="CJ67" s="1">
        <f t="shared" si="34"/>
        <v>41.244444444444447</v>
      </c>
      <c r="CK67" s="1">
        <f t="shared" si="34"/>
        <v>41.75277777777778</v>
      </c>
      <c r="CL67" s="1">
        <f t="shared" si="34"/>
        <v>42.261111111111113</v>
      </c>
      <c r="CM67" s="1">
        <f t="shared" si="34"/>
        <v>42.766666666666666</v>
      </c>
      <c r="CN67" s="1">
        <f t="shared" si="34"/>
        <v>43.274999999999999</v>
      </c>
      <c r="CO67" s="1">
        <f t="shared" si="34"/>
        <v>43.780555555555559</v>
      </c>
      <c r="CP67" s="1">
        <f t="shared" si="34"/>
        <v>44.288888888888891</v>
      </c>
      <c r="CQ67" s="1">
        <f t="shared" si="34"/>
        <v>44.794444444444444</v>
      </c>
      <c r="CR67" s="1">
        <f t="shared" si="34"/>
        <v>45.302777777777777</v>
      </c>
      <c r="CS67" s="1">
        <f t="shared" si="34"/>
        <v>45.81111111111111</v>
      </c>
      <c r="CT67" s="1">
        <f t="shared" si="34"/>
        <v>46.319444444444443</v>
      </c>
      <c r="CU67" s="1">
        <f t="shared" si="35"/>
        <v>46.825000000000003</v>
      </c>
      <c r="CV67" s="1">
        <f t="shared" si="35"/>
        <v>47.333333333333336</v>
      </c>
      <c r="CW67" s="1">
        <f t="shared" si="35"/>
        <v>47.838888888888889</v>
      </c>
      <c r="CX67" s="1">
        <f t="shared" si="35"/>
        <v>48.347222222222221</v>
      </c>
      <c r="CY67" s="1">
        <f t="shared" si="35"/>
        <v>48.852777777777774</v>
      </c>
      <c r="CZ67" s="1">
        <f t="shared" si="35"/>
        <v>49.361111111111114</v>
      </c>
      <c r="DA67" s="1">
        <f t="shared" si="35"/>
        <v>49.869444444444447</v>
      </c>
      <c r="DB67" s="1">
        <f t="shared" si="35"/>
        <v>50.37777777777778</v>
      </c>
      <c r="DC67" s="1">
        <f t="shared" si="35"/>
        <v>50.37777777777778</v>
      </c>
    </row>
    <row r="68" spans="1:107" x14ac:dyDescent="0.25">
      <c r="A68">
        <f t="shared" si="38"/>
        <v>4</v>
      </c>
      <c r="B68" s="2">
        <f>yields_BRUTE!B68</f>
        <v>42102</v>
      </c>
      <c r="C68" s="1">
        <f t="shared" si="39"/>
        <v>-0.10555555555555556</v>
      </c>
      <c r="D68" s="1">
        <f t="shared" si="39"/>
        <v>-6.6666666666666666E-2</v>
      </c>
      <c r="E68" s="1">
        <f t="shared" si="39"/>
        <v>0.15</v>
      </c>
      <c r="F68" s="1">
        <f t="shared" si="39"/>
        <v>0.40555555555555556</v>
      </c>
      <c r="G68" s="1">
        <f t="shared" si="39"/>
        <v>0.44444444444444442</v>
      </c>
      <c r="H68" s="1">
        <f t="shared" si="39"/>
        <v>0.65833333333333333</v>
      </c>
      <c r="I68" s="1">
        <f t="shared" si="39"/>
        <v>0.65833333333333333</v>
      </c>
      <c r="J68" s="1">
        <f t="shared" si="39"/>
        <v>0.91111111111111109</v>
      </c>
      <c r="K68" s="1">
        <f t="shared" si="39"/>
        <v>0.95</v>
      </c>
      <c r="L68" s="1">
        <f t="shared" si="39"/>
        <v>1.1666666666666667</v>
      </c>
      <c r="M68" s="1">
        <f t="shared" si="39"/>
        <v>1.4222222222222223</v>
      </c>
      <c r="N68" s="1">
        <f t="shared" si="39"/>
        <v>1.4222222222222223</v>
      </c>
      <c r="O68" s="1">
        <f t="shared" si="39"/>
        <v>1.461111111111111</v>
      </c>
      <c r="P68" s="1">
        <f t="shared" si="39"/>
        <v>1.675</v>
      </c>
      <c r="Q68" s="1">
        <f t="shared" si="39"/>
        <v>1.9638888888888888</v>
      </c>
      <c r="R68" s="1">
        <f t="shared" si="36"/>
        <v>2.1805555555555554</v>
      </c>
      <c r="S68" s="1">
        <f t="shared" si="36"/>
        <v>2.4750000000000001</v>
      </c>
      <c r="T68" s="1">
        <f t="shared" si="36"/>
        <v>2.6888888888888891</v>
      </c>
      <c r="U68" s="1">
        <f t="shared" si="36"/>
        <v>2.9777777777777779</v>
      </c>
      <c r="V68" s="1">
        <f t="shared" si="36"/>
        <v>3.1944444444444446</v>
      </c>
      <c r="W68" s="1">
        <f t="shared" si="36"/>
        <v>3.4888888888888889</v>
      </c>
      <c r="X68" s="1">
        <f t="shared" si="36"/>
        <v>3.7027777777777779</v>
      </c>
      <c r="Y68" s="1">
        <f t="shared" si="36"/>
        <v>3.9916666666666667</v>
      </c>
      <c r="Z68" s="1">
        <f t="shared" si="36"/>
        <v>4.208333333333333</v>
      </c>
      <c r="AA68" s="1">
        <f t="shared" si="36"/>
        <v>4.5027777777777782</v>
      </c>
      <c r="AB68" s="1">
        <f t="shared" si="36"/>
        <v>4.7166666666666668</v>
      </c>
      <c r="AC68" s="1">
        <f t="shared" si="36"/>
        <v>5.0083333333333337</v>
      </c>
      <c r="AD68" s="1">
        <f t="shared" si="36"/>
        <v>5.2249999999999996</v>
      </c>
      <c r="AE68" s="1">
        <f t="shared" si="36"/>
        <v>5.2249999999999996</v>
      </c>
      <c r="AF68" s="3">
        <f t="shared" si="36"/>
        <v>5.5194444444444448</v>
      </c>
      <c r="AG68" s="1">
        <f t="shared" si="36"/>
        <v>5.7333333333333334</v>
      </c>
      <c r="AH68" s="1">
        <f t="shared" si="37"/>
        <v>6.0222222222222221</v>
      </c>
      <c r="AI68" s="1">
        <f t="shared" si="31"/>
        <v>6.0222222222222221</v>
      </c>
      <c r="AJ68" s="1">
        <f t="shared" si="31"/>
        <v>6.2388888888888889</v>
      </c>
      <c r="AK68" s="1">
        <f t="shared" si="31"/>
        <v>6.2388888888888889</v>
      </c>
      <c r="AL68" s="1">
        <f t="shared" si="31"/>
        <v>6.7472222222222218</v>
      </c>
      <c r="AM68" s="1">
        <f t="shared" si="31"/>
        <v>7.2527777777777782</v>
      </c>
      <c r="AN68" s="1">
        <f t="shared" si="31"/>
        <v>7.2527777777777782</v>
      </c>
      <c r="AO68" s="1">
        <f t="shared" si="31"/>
        <v>7.7611111111111111</v>
      </c>
      <c r="AP68" s="1">
        <f t="shared" si="31"/>
        <v>8.2666666666666675</v>
      </c>
      <c r="AQ68" s="1">
        <f t="shared" si="31"/>
        <v>8.2666666666666675</v>
      </c>
      <c r="AR68" s="1">
        <f t="shared" si="31"/>
        <v>8.7750000000000004</v>
      </c>
      <c r="AS68" s="1">
        <f t="shared" si="31"/>
        <v>9.2833333333333332</v>
      </c>
      <c r="AT68" s="1">
        <f t="shared" si="31"/>
        <v>9.7916666666666661</v>
      </c>
      <c r="AU68" s="1">
        <f t="shared" si="31"/>
        <v>10.297222222222222</v>
      </c>
      <c r="AV68" s="1">
        <f t="shared" si="31"/>
        <v>10.297222222222222</v>
      </c>
      <c r="AW68" s="1">
        <f t="shared" si="31"/>
        <v>14.863888888888889</v>
      </c>
      <c r="AX68" s="1">
        <f t="shared" si="31"/>
        <v>15.369444444444444</v>
      </c>
      <c r="AY68" s="1">
        <f t="shared" si="32"/>
        <v>15.877777777777778</v>
      </c>
      <c r="AZ68" s="1">
        <f t="shared" si="32"/>
        <v>16.383333333333333</v>
      </c>
      <c r="BA68" s="1">
        <f t="shared" si="32"/>
        <v>16.891666666666666</v>
      </c>
      <c r="BB68" s="1">
        <f t="shared" si="32"/>
        <v>17.399999999999999</v>
      </c>
      <c r="BC68" s="1">
        <f t="shared" si="32"/>
        <v>17.908333333333335</v>
      </c>
      <c r="BD68" s="1">
        <f t="shared" si="32"/>
        <v>18.413888888888888</v>
      </c>
      <c r="BE68" s="1">
        <f t="shared" si="32"/>
        <v>18.413888888888888</v>
      </c>
      <c r="BF68" s="1">
        <f t="shared" si="32"/>
        <v>27.038888888888888</v>
      </c>
      <c r="BG68" s="1">
        <f t="shared" si="32"/>
        <v>27.544444444444444</v>
      </c>
      <c r="BH68" s="1">
        <f t="shared" si="32"/>
        <v>28.052777777777777</v>
      </c>
      <c r="BI68" s="1">
        <f t="shared" si="32"/>
        <v>28.558333333333334</v>
      </c>
      <c r="BJ68" s="1">
        <f t="shared" si="32"/>
        <v>29.066666666666666</v>
      </c>
      <c r="BK68" s="1">
        <f t="shared" si="32"/>
        <v>29.574999999999999</v>
      </c>
      <c r="BL68" s="1">
        <f t="shared" si="32"/>
        <v>30.083333333333332</v>
      </c>
      <c r="BM68" s="1">
        <f t="shared" si="32"/>
        <v>30.588888888888889</v>
      </c>
      <c r="BN68" s="1">
        <f t="shared" si="32"/>
        <v>31.097222222222221</v>
      </c>
      <c r="BO68" s="1">
        <f t="shared" si="33"/>
        <v>31.097222222222221</v>
      </c>
      <c r="BP68" s="1">
        <f t="shared" si="33"/>
        <v>31.602777777777778</v>
      </c>
      <c r="BQ68" s="1">
        <f t="shared" si="33"/>
        <v>32.111111111111114</v>
      </c>
      <c r="BR68" s="1">
        <f t="shared" si="33"/>
        <v>32.616666666666667</v>
      </c>
      <c r="BS68" s="1">
        <f t="shared" si="33"/>
        <v>33.125</v>
      </c>
      <c r="BT68" s="1">
        <f t="shared" si="33"/>
        <v>33.633333333333333</v>
      </c>
      <c r="BU68" s="1">
        <f t="shared" si="33"/>
        <v>34.141666666666666</v>
      </c>
      <c r="BV68" s="1">
        <f t="shared" si="33"/>
        <v>34.141666666666666</v>
      </c>
      <c r="BW68" s="1">
        <f t="shared" si="33"/>
        <v>34.647222222222226</v>
      </c>
      <c r="BX68" s="1">
        <f t="shared" si="33"/>
        <v>35.155555555555559</v>
      </c>
      <c r="BY68" s="1">
        <f t="shared" si="33"/>
        <v>35.661111111111111</v>
      </c>
      <c r="BZ68" s="1">
        <f t="shared" si="33"/>
        <v>36.169444444444444</v>
      </c>
      <c r="CA68" s="1">
        <f t="shared" si="33"/>
        <v>36.674999999999997</v>
      </c>
      <c r="CB68" s="1">
        <f t="shared" si="33"/>
        <v>37.18333333333333</v>
      </c>
      <c r="CC68" s="1">
        <f t="shared" si="33"/>
        <v>37.69166666666667</v>
      </c>
      <c r="CD68" s="1">
        <f t="shared" si="33"/>
        <v>38.200000000000003</v>
      </c>
      <c r="CE68" s="1">
        <f t="shared" si="34"/>
        <v>38.705555555555556</v>
      </c>
      <c r="CF68" s="1">
        <f t="shared" si="34"/>
        <v>39.213888888888889</v>
      </c>
      <c r="CG68" s="1">
        <f t="shared" si="34"/>
        <v>39.719444444444441</v>
      </c>
      <c r="CH68" s="1">
        <f t="shared" si="34"/>
        <v>40.227777777777774</v>
      </c>
      <c r="CI68" s="1">
        <f t="shared" si="34"/>
        <v>40.733333333333334</v>
      </c>
      <c r="CJ68" s="1">
        <f t="shared" si="34"/>
        <v>41.241666666666667</v>
      </c>
      <c r="CK68" s="1">
        <f t="shared" si="34"/>
        <v>41.75</v>
      </c>
      <c r="CL68" s="1">
        <f t="shared" si="34"/>
        <v>42.258333333333333</v>
      </c>
      <c r="CM68" s="1">
        <f t="shared" si="34"/>
        <v>42.763888888888886</v>
      </c>
      <c r="CN68" s="1">
        <f t="shared" si="34"/>
        <v>43.272222222222226</v>
      </c>
      <c r="CO68" s="1">
        <f t="shared" si="34"/>
        <v>43.777777777777779</v>
      </c>
      <c r="CP68" s="1">
        <f t="shared" si="34"/>
        <v>44.286111111111111</v>
      </c>
      <c r="CQ68" s="1">
        <f t="shared" si="34"/>
        <v>44.791666666666664</v>
      </c>
      <c r="CR68" s="1">
        <f t="shared" si="34"/>
        <v>45.3</v>
      </c>
      <c r="CS68" s="1">
        <f t="shared" si="34"/>
        <v>45.80833333333333</v>
      </c>
      <c r="CT68" s="1">
        <f t="shared" si="34"/>
        <v>46.31666666666667</v>
      </c>
      <c r="CU68" s="1">
        <f t="shared" si="35"/>
        <v>46.822222222222223</v>
      </c>
      <c r="CV68" s="1">
        <f t="shared" si="35"/>
        <v>47.330555555555556</v>
      </c>
      <c r="CW68" s="1">
        <f t="shared" si="35"/>
        <v>47.836111111111109</v>
      </c>
      <c r="CX68" s="1">
        <f t="shared" si="35"/>
        <v>48.344444444444441</v>
      </c>
      <c r="CY68" s="1">
        <f t="shared" si="35"/>
        <v>48.85</v>
      </c>
      <c r="CZ68" s="1">
        <f t="shared" si="35"/>
        <v>49.358333333333334</v>
      </c>
      <c r="DA68" s="1">
        <f t="shared" si="35"/>
        <v>49.866666666666667</v>
      </c>
      <c r="DB68" s="1">
        <f t="shared" si="35"/>
        <v>50.375</v>
      </c>
      <c r="DC68" s="1">
        <f t="shared" si="35"/>
        <v>50.375</v>
      </c>
    </row>
    <row r="69" spans="1:107" x14ac:dyDescent="0.25">
      <c r="A69">
        <f t="shared" si="38"/>
        <v>5</v>
      </c>
      <c r="B69" s="2">
        <f>yields_BRUTE!B69</f>
        <v>42103</v>
      </c>
      <c r="C69" s="1">
        <f t="shared" si="39"/>
        <v>-0.10833333333333334</v>
      </c>
      <c r="D69" s="1">
        <f t="shared" si="39"/>
        <v>-6.9444444444444448E-2</v>
      </c>
      <c r="E69" s="1">
        <f t="shared" si="39"/>
        <v>0.14722222222222223</v>
      </c>
      <c r="F69" s="1">
        <f t="shared" si="39"/>
        <v>0.40277777777777779</v>
      </c>
      <c r="G69" s="1">
        <f t="shared" si="39"/>
        <v>0.44166666666666665</v>
      </c>
      <c r="H69" s="1">
        <f t="shared" si="39"/>
        <v>0.65555555555555556</v>
      </c>
      <c r="I69" s="1">
        <f t="shared" si="39"/>
        <v>0.65555555555555556</v>
      </c>
      <c r="J69" s="1">
        <f t="shared" si="39"/>
        <v>0.90833333333333333</v>
      </c>
      <c r="K69" s="1">
        <f t="shared" si="39"/>
        <v>0.94722222222222219</v>
      </c>
      <c r="L69" s="1">
        <f t="shared" si="39"/>
        <v>1.163888888888889</v>
      </c>
      <c r="M69" s="1">
        <f t="shared" si="39"/>
        <v>1.4194444444444445</v>
      </c>
      <c r="N69" s="1">
        <f t="shared" si="39"/>
        <v>1.4194444444444445</v>
      </c>
      <c r="O69" s="1">
        <f t="shared" si="39"/>
        <v>1.4583333333333333</v>
      </c>
      <c r="P69" s="1">
        <f t="shared" si="39"/>
        <v>1.6722222222222223</v>
      </c>
      <c r="Q69" s="1">
        <f t="shared" si="39"/>
        <v>1.961111111111111</v>
      </c>
      <c r="R69" s="1">
        <f t="shared" si="36"/>
        <v>2.1777777777777776</v>
      </c>
      <c r="S69" s="1">
        <f t="shared" si="36"/>
        <v>2.4722222222222223</v>
      </c>
      <c r="T69" s="1">
        <f t="shared" si="36"/>
        <v>2.6861111111111109</v>
      </c>
      <c r="U69" s="1">
        <f t="shared" si="36"/>
        <v>2.9750000000000001</v>
      </c>
      <c r="V69" s="1">
        <f t="shared" si="36"/>
        <v>3.1916666666666669</v>
      </c>
      <c r="W69" s="1">
        <f t="shared" si="36"/>
        <v>3.4861111111111112</v>
      </c>
      <c r="X69" s="1">
        <f t="shared" si="36"/>
        <v>3.7</v>
      </c>
      <c r="Y69" s="1">
        <f t="shared" si="36"/>
        <v>3.9888888888888889</v>
      </c>
      <c r="Z69" s="1">
        <f t="shared" si="36"/>
        <v>4.2055555555555557</v>
      </c>
      <c r="AA69" s="1">
        <f t="shared" si="36"/>
        <v>4.5</v>
      </c>
      <c r="AB69" s="1">
        <f t="shared" si="36"/>
        <v>4.7138888888888886</v>
      </c>
      <c r="AC69" s="1">
        <f t="shared" si="36"/>
        <v>5.0055555555555555</v>
      </c>
      <c r="AD69" s="1">
        <f t="shared" si="36"/>
        <v>5.2222222222222223</v>
      </c>
      <c r="AE69" s="1">
        <f t="shared" si="36"/>
        <v>5.2222222222222223</v>
      </c>
      <c r="AF69" s="3">
        <f t="shared" si="36"/>
        <v>5.5166666666666666</v>
      </c>
      <c r="AG69" s="1">
        <f t="shared" si="36"/>
        <v>5.7305555555555552</v>
      </c>
      <c r="AH69" s="1">
        <f t="shared" si="37"/>
        <v>6.0194444444444448</v>
      </c>
      <c r="AI69" s="1">
        <f t="shared" si="31"/>
        <v>6.0194444444444448</v>
      </c>
      <c r="AJ69" s="1">
        <f t="shared" si="31"/>
        <v>6.2361111111111107</v>
      </c>
      <c r="AK69" s="1">
        <f t="shared" si="31"/>
        <v>6.2361111111111107</v>
      </c>
      <c r="AL69" s="1">
        <f t="shared" si="31"/>
        <v>6.7444444444444445</v>
      </c>
      <c r="AM69" s="1">
        <f t="shared" si="31"/>
        <v>7.25</v>
      </c>
      <c r="AN69" s="1">
        <f t="shared" si="31"/>
        <v>7.25</v>
      </c>
      <c r="AO69" s="1">
        <f t="shared" si="31"/>
        <v>7.7583333333333337</v>
      </c>
      <c r="AP69" s="1">
        <f t="shared" si="31"/>
        <v>8.2638888888888893</v>
      </c>
      <c r="AQ69" s="1">
        <f t="shared" si="31"/>
        <v>8.2638888888888893</v>
      </c>
      <c r="AR69" s="1">
        <f t="shared" si="31"/>
        <v>8.7722222222222221</v>
      </c>
      <c r="AS69" s="1">
        <f t="shared" si="31"/>
        <v>9.280555555555555</v>
      </c>
      <c r="AT69" s="1">
        <f t="shared" si="31"/>
        <v>9.7888888888888896</v>
      </c>
      <c r="AU69" s="1">
        <f t="shared" si="31"/>
        <v>10.294444444444444</v>
      </c>
      <c r="AV69" s="1">
        <f t="shared" si="31"/>
        <v>10.294444444444444</v>
      </c>
      <c r="AW69" s="1">
        <f t="shared" si="31"/>
        <v>14.861111111111111</v>
      </c>
      <c r="AX69" s="1">
        <f t="shared" si="31"/>
        <v>15.366666666666667</v>
      </c>
      <c r="AY69" s="1">
        <f t="shared" si="32"/>
        <v>15.875</v>
      </c>
      <c r="AZ69" s="1">
        <f t="shared" si="32"/>
        <v>16.380555555555556</v>
      </c>
      <c r="BA69" s="1">
        <f t="shared" si="32"/>
        <v>16.888888888888889</v>
      </c>
      <c r="BB69" s="1">
        <f t="shared" si="32"/>
        <v>17.397222222222222</v>
      </c>
      <c r="BC69" s="1">
        <f t="shared" si="32"/>
        <v>17.905555555555555</v>
      </c>
      <c r="BD69" s="1">
        <f t="shared" si="32"/>
        <v>18.411111111111111</v>
      </c>
      <c r="BE69" s="1">
        <f t="shared" si="32"/>
        <v>18.411111111111111</v>
      </c>
      <c r="BF69" s="1">
        <f t="shared" si="32"/>
        <v>27.036111111111111</v>
      </c>
      <c r="BG69" s="1">
        <f t="shared" si="32"/>
        <v>27.541666666666668</v>
      </c>
      <c r="BH69" s="1">
        <f t="shared" si="32"/>
        <v>28.05</v>
      </c>
      <c r="BI69" s="1">
        <f t="shared" si="32"/>
        <v>28.555555555555557</v>
      </c>
      <c r="BJ69" s="1">
        <f t="shared" si="32"/>
        <v>29.06388888888889</v>
      </c>
      <c r="BK69" s="1">
        <f t="shared" si="32"/>
        <v>29.572222222222223</v>
      </c>
      <c r="BL69" s="1">
        <f t="shared" si="32"/>
        <v>30.080555555555556</v>
      </c>
      <c r="BM69" s="1">
        <f t="shared" si="32"/>
        <v>30.586111111111112</v>
      </c>
      <c r="BN69" s="1">
        <f t="shared" si="32"/>
        <v>31.094444444444445</v>
      </c>
      <c r="BO69" s="1">
        <f t="shared" si="33"/>
        <v>31.094444444444445</v>
      </c>
      <c r="BP69" s="1">
        <f t="shared" si="33"/>
        <v>31.6</v>
      </c>
      <c r="BQ69" s="1">
        <f t="shared" si="33"/>
        <v>32.108333333333334</v>
      </c>
      <c r="BR69" s="1">
        <f t="shared" si="33"/>
        <v>32.613888888888887</v>
      </c>
      <c r="BS69" s="1">
        <f t="shared" si="33"/>
        <v>33.12222222222222</v>
      </c>
      <c r="BT69" s="1">
        <f t="shared" si="33"/>
        <v>33.630555555555553</v>
      </c>
      <c r="BU69" s="1">
        <f t="shared" si="33"/>
        <v>34.138888888888886</v>
      </c>
      <c r="BV69" s="1">
        <f t="shared" si="33"/>
        <v>34.138888888888886</v>
      </c>
      <c r="BW69" s="1">
        <f t="shared" si="33"/>
        <v>34.644444444444446</v>
      </c>
      <c r="BX69" s="1">
        <f t="shared" si="33"/>
        <v>35.152777777777779</v>
      </c>
      <c r="BY69" s="1">
        <f t="shared" si="33"/>
        <v>35.658333333333331</v>
      </c>
      <c r="BZ69" s="1">
        <f t="shared" si="33"/>
        <v>36.166666666666664</v>
      </c>
      <c r="CA69" s="1">
        <f t="shared" si="33"/>
        <v>36.672222222222224</v>
      </c>
      <c r="CB69" s="1">
        <f t="shared" si="33"/>
        <v>37.180555555555557</v>
      </c>
      <c r="CC69" s="1">
        <f t="shared" si="33"/>
        <v>37.68888888888889</v>
      </c>
      <c r="CD69" s="1">
        <f t="shared" si="33"/>
        <v>38.197222222222223</v>
      </c>
      <c r="CE69" s="1">
        <f t="shared" si="34"/>
        <v>38.702777777777776</v>
      </c>
      <c r="CF69" s="1">
        <f t="shared" si="34"/>
        <v>39.211111111111109</v>
      </c>
      <c r="CG69" s="1">
        <f t="shared" si="34"/>
        <v>39.716666666666669</v>
      </c>
      <c r="CH69" s="1">
        <f t="shared" si="34"/>
        <v>40.225000000000001</v>
      </c>
      <c r="CI69" s="1">
        <f t="shared" si="34"/>
        <v>40.730555555555554</v>
      </c>
      <c r="CJ69" s="1">
        <f t="shared" si="34"/>
        <v>41.238888888888887</v>
      </c>
      <c r="CK69" s="1">
        <f t="shared" si="34"/>
        <v>41.74722222222222</v>
      </c>
      <c r="CL69" s="1">
        <f t="shared" si="34"/>
        <v>42.255555555555553</v>
      </c>
      <c r="CM69" s="1">
        <f t="shared" si="34"/>
        <v>42.761111111111113</v>
      </c>
      <c r="CN69" s="1">
        <f t="shared" si="34"/>
        <v>43.269444444444446</v>
      </c>
      <c r="CO69" s="1">
        <f t="shared" si="34"/>
        <v>43.774999999999999</v>
      </c>
      <c r="CP69" s="1">
        <f t="shared" si="34"/>
        <v>44.283333333333331</v>
      </c>
      <c r="CQ69" s="1">
        <f t="shared" si="34"/>
        <v>44.788888888888891</v>
      </c>
      <c r="CR69" s="1">
        <f t="shared" si="34"/>
        <v>45.297222222222224</v>
      </c>
      <c r="CS69" s="1">
        <f t="shared" si="34"/>
        <v>45.805555555555557</v>
      </c>
      <c r="CT69" s="1">
        <f t="shared" si="34"/>
        <v>46.31388888888889</v>
      </c>
      <c r="CU69" s="1">
        <f t="shared" si="35"/>
        <v>46.819444444444443</v>
      </c>
      <c r="CV69" s="1">
        <f t="shared" si="35"/>
        <v>47.327777777777776</v>
      </c>
      <c r="CW69" s="1">
        <f t="shared" si="35"/>
        <v>47.833333333333336</v>
      </c>
      <c r="CX69" s="1">
        <f t="shared" si="35"/>
        <v>48.341666666666669</v>
      </c>
      <c r="CY69" s="1">
        <f t="shared" si="35"/>
        <v>48.847222222222221</v>
      </c>
      <c r="CZ69" s="1">
        <f t="shared" si="35"/>
        <v>49.355555555555554</v>
      </c>
      <c r="DA69" s="1">
        <f t="shared" si="35"/>
        <v>49.863888888888887</v>
      </c>
      <c r="DB69" s="1">
        <f t="shared" si="35"/>
        <v>50.37222222222222</v>
      </c>
      <c r="DC69" s="1">
        <f t="shared" si="35"/>
        <v>50.37222222222222</v>
      </c>
    </row>
    <row r="70" spans="1:107" x14ac:dyDescent="0.25">
      <c r="A70">
        <f t="shared" si="38"/>
        <v>6</v>
      </c>
      <c r="B70" s="2">
        <f>yields_BRUTE!B70</f>
        <v>42104</v>
      </c>
      <c r="C70" s="1">
        <f t="shared" si="39"/>
        <v>-0.1111111111111111</v>
      </c>
      <c r="D70" s="1">
        <f t="shared" si="39"/>
        <v>-7.2222222222222215E-2</v>
      </c>
      <c r="E70" s="1">
        <f t="shared" si="39"/>
        <v>0.14444444444444443</v>
      </c>
      <c r="F70" s="1">
        <f t="shared" si="39"/>
        <v>0.4</v>
      </c>
      <c r="G70" s="1">
        <f t="shared" si="39"/>
        <v>0.43888888888888888</v>
      </c>
      <c r="H70" s="1">
        <f t="shared" si="39"/>
        <v>0.65277777777777779</v>
      </c>
      <c r="I70" s="1">
        <f t="shared" si="39"/>
        <v>0.65277777777777779</v>
      </c>
      <c r="J70" s="1">
        <f t="shared" si="39"/>
        <v>0.90555555555555556</v>
      </c>
      <c r="K70" s="1">
        <f t="shared" si="39"/>
        <v>0.94444444444444442</v>
      </c>
      <c r="L70" s="1">
        <f t="shared" si="39"/>
        <v>1.1611111111111112</v>
      </c>
      <c r="M70" s="1">
        <f t="shared" si="39"/>
        <v>1.4166666666666667</v>
      </c>
      <c r="N70" s="1">
        <f t="shared" si="39"/>
        <v>1.4166666666666667</v>
      </c>
      <c r="O70" s="1">
        <f t="shared" si="39"/>
        <v>1.4555555555555555</v>
      </c>
      <c r="P70" s="1">
        <f t="shared" si="39"/>
        <v>1.6694444444444445</v>
      </c>
      <c r="Q70" s="1">
        <f t="shared" si="39"/>
        <v>1.9583333333333333</v>
      </c>
      <c r="R70" s="1">
        <f t="shared" si="36"/>
        <v>2.1749999999999998</v>
      </c>
      <c r="S70" s="1">
        <f t="shared" si="36"/>
        <v>2.4694444444444446</v>
      </c>
      <c r="T70" s="1">
        <f t="shared" si="36"/>
        <v>2.6833333333333331</v>
      </c>
      <c r="U70" s="1">
        <f t="shared" si="36"/>
        <v>2.9722222222222223</v>
      </c>
      <c r="V70" s="1">
        <f t="shared" si="36"/>
        <v>3.1888888888888891</v>
      </c>
      <c r="W70" s="1">
        <f t="shared" si="36"/>
        <v>3.4833333333333334</v>
      </c>
      <c r="X70" s="1">
        <f t="shared" si="36"/>
        <v>3.6972222222222224</v>
      </c>
      <c r="Y70" s="1">
        <f t="shared" si="36"/>
        <v>3.9861111111111112</v>
      </c>
      <c r="Z70" s="1">
        <f t="shared" si="36"/>
        <v>4.2027777777777775</v>
      </c>
      <c r="AA70" s="1">
        <f t="shared" si="36"/>
        <v>4.4972222222222218</v>
      </c>
      <c r="AB70" s="1">
        <f t="shared" si="36"/>
        <v>4.7111111111111112</v>
      </c>
      <c r="AC70" s="1">
        <f t="shared" si="36"/>
        <v>5.0027777777777782</v>
      </c>
      <c r="AD70" s="1">
        <f t="shared" si="36"/>
        <v>5.2194444444444441</v>
      </c>
      <c r="AE70" s="1">
        <f t="shared" si="36"/>
        <v>5.2194444444444441</v>
      </c>
      <c r="AF70" s="3">
        <f t="shared" si="36"/>
        <v>5.5138888888888893</v>
      </c>
      <c r="AG70" s="1">
        <f t="shared" si="36"/>
        <v>5.7277777777777779</v>
      </c>
      <c r="AH70" s="1">
        <f t="shared" si="37"/>
        <v>6.0166666666666666</v>
      </c>
      <c r="AI70" s="1">
        <f t="shared" si="31"/>
        <v>6.0166666666666666</v>
      </c>
      <c r="AJ70" s="1">
        <f t="shared" si="31"/>
        <v>6.2333333333333334</v>
      </c>
      <c r="AK70" s="1">
        <f t="shared" si="31"/>
        <v>6.2333333333333334</v>
      </c>
      <c r="AL70" s="1">
        <f t="shared" si="31"/>
        <v>6.7416666666666663</v>
      </c>
      <c r="AM70" s="1">
        <f t="shared" si="31"/>
        <v>7.2472222222222218</v>
      </c>
      <c r="AN70" s="1">
        <f t="shared" si="31"/>
        <v>7.2472222222222218</v>
      </c>
      <c r="AO70" s="1">
        <f t="shared" si="31"/>
        <v>7.7555555555555555</v>
      </c>
      <c r="AP70" s="1">
        <f t="shared" si="31"/>
        <v>8.2611111111111111</v>
      </c>
      <c r="AQ70" s="1">
        <f t="shared" si="31"/>
        <v>8.2611111111111111</v>
      </c>
      <c r="AR70" s="1">
        <f t="shared" si="31"/>
        <v>8.7694444444444439</v>
      </c>
      <c r="AS70" s="1">
        <f t="shared" si="31"/>
        <v>9.2777777777777786</v>
      </c>
      <c r="AT70" s="1">
        <f t="shared" si="31"/>
        <v>9.7861111111111114</v>
      </c>
      <c r="AU70" s="1">
        <f t="shared" si="31"/>
        <v>10.291666666666666</v>
      </c>
      <c r="AV70" s="1">
        <f t="shared" si="31"/>
        <v>10.291666666666666</v>
      </c>
      <c r="AW70" s="1">
        <f t="shared" si="31"/>
        <v>14.858333333333333</v>
      </c>
      <c r="AX70" s="1">
        <f t="shared" si="31"/>
        <v>15.363888888888889</v>
      </c>
      <c r="AY70" s="1">
        <f t="shared" si="32"/>
        <v>15.872222222222222</v>
      </c>
      <c r="AZ70" s="1">
        <f t="shared" si="32"/>
        <v>16.377777777777776</v>
      </c>
      <c r="BA70" s="1">
        <f t="shared" si="32"/>
        <v>16.886111111111113</v>
      </c>
      <c r="BB70" s="1">
        <f t="shared" si="32"/>
        <v>17.394444444444446</v>
      </c>
      <c r="BC70" s="1">
        <f t="shared" si="32"/>
        <v>17.902777777777779</v>
      </c>
      <c r="BD70" s="1">
        <f t="shared" si="32"/>
        <v>18.408333333333335</v>
      </c>
      <c r="BE70" s="1">
        <f t="shared" si="32"/>
        <v>18.408333333333335</v>
      </c>
      <c r="BF70" s="1">
        <f t="shared" si="32"/>
        <v>27.033333333333335</v>
      </c>
      <c r="BG70" s="1">
        <f t="shared" si="32"/>
        <v>27.538888888888888</v>
      </c>
      <c r="BH70" s="1">
        <f t="shared" si="32"/>
        <v>28.047222222222221</v>
      </c>
      <c r="BI70" s="1">
        <f t="shared" si="32"/>
        <v>28.552777777777777</v>
      </c>
      <c r="BJ70" s="1">
        <f t="shared" si="32"/>
        <v>29.06111111111111</v>
      </c>
      <c r="BK70" s="1">
        <f t="shared" si="32"/>
        <v>29.569444444444443</v>
      </c>
      <c r="BL70" s="1">
        <f t="shared" si="32"/>
        <v>30.077777777777779</v>
      </c>
      <c r="BM70" s="1">
        <f t="shared" si="32"/>
        <v>30.583333333333332</v>
      </c>
      <c r="BN70" s="1">
        <f t="shared" si="32"/>
        <v>31.091666666666665</v>
      </c>
      <c r="BO70" s="1">
        <f t="shared" si="33"/>
        <v>31.091666666666665</v>
      </c>
      <c r="BP70" s="1">
        <f t="shared" si="33"/>
        <v>31.597222222222221</v>
      </c>
      <c r="BQ70" s="1">
        <f t="shared" si="33"/>
        <v>32.105555555555554</v>
      </c>
      <c r="BR70" s="1">
        <f t="shared" si="33"/>
        <v>32.611111111111114</v>
      </c>
      <c r="BS70" s="1">
        <f t="shared" si="33"/>
        <v>33.119444444444447</v>
      </c>
      <c r="BT70" s="1">
        <f t="shared" si="33"/>
        <v>33.62777777777778</v>
      </c>
      <c r="BU70" s="1">
        <f t="shared" si="33"/>
        <v>34.136111111111113</v>
      </c>
      <c r="BV70" s="1">
        <f t="shared" si="33"/>
        <v>34.136111111111113</v>
      </c>
      <c r="BW70" s="1">
        <f t="shared" si="33"/>
        <v>34.641666666666666</v>
      </c>
      <c r="BX70" s="1">
        <f t="shared" si="33"/>
        <v>35.15</v>
      </c>
      <c r="BY70" s="1">
        <f t="shared" si="33"/>
        <v>35.655555555555559</v>
      </c>
      <c r="BZ70" s="1">
        <f t="shared" si="33"/>
        <v>36.163888888888891</v>
      </c>
      <c r="CA70" s="1">
        <f t="shared" si="33"/>
        <v>36.669444444444444</v>
      </c>
      <c r="CB70" s="1">
        <f t="shared" si="33"/>
        <v>37.177777777777777</v>
      </c>
      <c r="CC70" s="1">
        <f t="shared" si="33"/>
        <v>37.68611111111111</v>
      </c>
      <c r="CD70" s="1">
        <f t="shared" si="33"/>
        <v>38.194444444444443</v>
      </c>
      <c r="CE70" s="1">
        <f t="shared" si="34"/>
        <v>38.700000000000003</v>
      </c>
      <c r="CF70" s="1">
        <f t="shared" si="34"/>
        <v>39.208333333333336</v>
      </c>
      <c r="CG70" s="1">
        <f t="shared" si="34"/>
        <v>39.713888888888889</v>
      </c>
      <c r="CH70" s="1">
        <f t="shared" si="34"/>
        <v>40.222222222222221</v>
      </c>
      <c r="CI70" s="1">
        <f t="shared" si="34"/>
        <v>40.727777777777774</v>
      </c>
      <c r="CJ70" s="1">
        <f t="shared" si="34"/>
        <v>41.236111111111114</v>
      </c>
      <c r="CK70" s="1">
        <f t="shared" si="34"/>
        <v>41.744444444444447</v>
      </c>
      <c r="CL70" s="1">
        <f t="shared" si="34"/>
        <v>42.25277777777778</v>
      </c>
      <c r="CM70" s="1">
        <f t="shared" si="34"/>
        <v>42.758333333333333</v>
      </c>
      <c r="CN70" s="1">
        <f t="shared" si="34"/>
        <v>43.266666666666666</v>
      </c>
      <c r="CO70" s="1">
        <f t="shared" si="34"/>
        <v>43.772222222222226</v>
      </c>
      <c r="CP70" s="1">
        <f t="shared" si="34"/>
        <v>44.280555555555559</v>
      </c>
      <c r="CQ70" s="1">
        <f t="shared" si="34"/>
        <v>44.786111111111111</v>
      </c>
      <c r="CR70" s="1">
        <f t="shared" si="34"/>
        <v>45.294444444444444</v>
      </c>
      <c r="CS70" s="1">
        <f t="shared" si="34"/>
        <v>45.802777777777777</v>
      </c>
      <c r="CT70" s="1">
        <f t="shared" si="34"/>
        <v>46.31111111111111</v>
      </c>
      <c r="CU70" s="1">
        <f t="shared" si="35"/>
        <v>46.81666666666667</v>
      </c>
      <c r="CV70" s="1">
        <f t="shared" si="35"/>
        <v>47.325000000000003</v>
      </c>
      <c r="CW70" s="1">
        <f t="shared" si="35"/>
        <v>47.830555555555556</v>
      </c>
      <c r="CX70" s="1">
        <f t="shared" si="35"/>
        <v>48.338888888888889</v>
      </c>
      <c r="CY70" s="1">
        <f t="shared" si="35"/>
        <v>48.844444444444441</v>
      </c>
      <c r="CZ70" s="1">
        <f t="shared" si="35"/>
        <v>49.352777777777774</v>
      </c>
      <c r="DA70" s="1">
        <f t="shared" si="35"/>
        <v>49.861111111111114</v>
      </c>
      <c r="DB70" s="1">
        <f t="shared" si="35"/>
        <v>50.369444444444447</v>
      </c>
      <c r="DC70" s="1">
        <f t="shared" si="35"/>
        <v>50.369444444444447</v>
      </c>
    </row>
    <row r="71" spans="1:107" x14ac:dyDescent="0.25">
      <c r="A71">
        <f t="shared" si="38"/>
        <v>2</v>
      </c>
      <c r="B71" s="2">
        <f>yields_BRUTE!B71</f>
        <v>42107</v>
      </c>
      <c r="C71" s="1">
        <f t="shared" si="39"/>
        <v>-0.11944444444444445</v>
      </c>
      <c r="D71" s="1">
        <f t="shared" si="39"/>
        <v>-8.0555555555555561E-2</v>
      </c>
      <c r="E71" s="1">
        <f t="shared" si="39"/>
        <v>0.1361111111111111</v>
      </c>
      <c r="F71" s="1">
        <f t="shared" si="39"/>
        <v>0.39166666666666666</v>
      </c>
      <c r="G71" s="1">
        <f t="shared" si="39"/>
        <v>0.43055555555555558</v>
      </c>
      <c r="H71" s="1">
        <f t="shared" si="39"/>
        <v>0.64444444444444449</v>
      </c>
      <c r="I71" s="1">
        <f t="shared" si="39"/>
        <v>0.64444444444444449</v>
      </c>
      <c r="J71" s="1">
        <f t="shared" si="39"/>
        <v>0.89722222222222225</v>
      </c>
      <c r="K71" s="1">
        <f t="shared" si="39"/>
        <v>0.93611111111111112</v>
      </c>
      <c r="L71" s="1">
        <f t="shared" si="39"/>
        <v>1.1527777777777777</v>
      </c>
      <c r="M71" s="1">
        <f t="shared" si="39"/>
        <v>1.4083333333333334</v>
      </c>
      <c r="N71" s="1">
        <f t="shared" si="39"/>
        <v>1.4083333333333334</v>
      </c>
      <c r="O71" s="1">
        <f t="shared" si="39"/>
        <v>1.4472222222222222</v>
      </c>
      <c r="P71" s="1">
        <f t="shared" si="39"/>
        <v>1.6611111111111112</v>
      </c>
      <c r="Q71" s="1">
        <f t="shared" si="39"/>
        <v>1.95</v>
      </c>
      <c r="R71" s="1">
        <f t="shared" si="36"/>
        <v>2.1666666666666665</v>
      </c>
      <c r="S71" s="1">
        <f t="shared" si="36"/>
        <v>2.4611111111111112</v>
      </c>
      <c r="T71" s="1">
        <f t="shared" si="36"/>
        <v>2.6749999999999998</v>
      </c>
      <c r="U71" s="1">
        <f t="shared" si="36"/>
        <v>2.963888888888889</v>
      </c>
      <c r="V71" s="1">
        <f t="shared" si="36"/>
        <v>3.1805555555555554</v>
      </c>
      <c r="W71" s="1">
        <f t="shared" si="36"/>
        <v>3.4750000000000001</v>
      </c>
      <c r="X71" s="1">
        <f t="shared" si="36"/>
        <v>3.6888888888888891</v>
      </c>
      <c r="Y71" s="1">
        <f t="shared" si="36"/>
        <v>3.9777777777777779</v>
      </c>
      <c r="Z71" s="1">
        <f t="shared" si="36"/>
        <v>4.1944444444444446</v>
      </c>
      <c r="AA71" s="1">
        <f t="shared" si="36"/>
        <v>4.4888888888888889</v>
      </c>
      <c r="AB71" s="1">
        <f t="shared" si="36"/>
        <v>4.7027777777777775</v>
      </c>
      <c r="AC71" s="1">
        <f t="shared" si="36"/>
        <v>4.9944444444444445</v>
      </c>
      <c r="AD71" s="1">
        <f t="shared" si="36"/>
        <v>5.2111111111111112</v>
      </c>
      <c r="AE71" s="1">
        <f t="shared" si="36"/>
        <v>5.2111111111111112</v>
      </c>
      <c r="AF71" s="3">
        <f t="shared" si="36"/>
        <v>5.5055555555555555</v>
      </c>
      <c r="AG71" s="1">
        <f t="shared" si="36"/>
        <v>5.7194444444444441</v>
      </c>
      <c r="AH71" s="1">
        <f t="shared" si="37"/>
        <v>6.0083333333333337</v>
      </c>
      <c r="AI71" s="1">
        <f t="shared" si="31"/>
        <v>6.0083333333333337</v>
      </c>
      <c r="AJ71" s="1">
        <f t="shared" si="31"/>
        <v>6.2249999999999996</v>
      </c>
      <c r="AK71" s="1">
        <f t="shared" si="31"/>
        <v>6.2249999999999996</v>
      </c>
      <c r="AL71" s="1">
        <f t="shared" si="31"/>
        <v>6.7333333333333334</v>
      </c>
      <c r="AM71" s="1">
        <f t="shared" si="31"/>
        <v>7.2388888888888889</v>
      </c>
      <c r="AN71" s="1">
        <f t="shared" si="31"/>
        <v>7.2388888888888889</v>
      </c>
      <c r="AO71" s="1">
        <f t="shared" si="31"/>
        <v>7.7472222222222218</v>
      </c>
      <c r="AP71" s="1">
        <f t="shared" si="31"/>
        <v>8.2527777777777782</v>
      </c>
      <c r="AQ71" s="1">
        <f t="shared" si="31"/>
        <v>8.2527777777777782</v>
      </c>
      <c r="AR71" s="1">
        <f t="shared" si="31"/>
        <v>8.7611111111111111</v>
      </c>
      <c r="AS71" s="1">
        <f t="shared" si="31"/>
        <v>9.2694444444444439</v>
      </c>
      <c r="AT71" s="1">
        <f t="shared" si="31"/>
        <v>9.7777777777777786</v>
      </c>
      <c r="AU71" s="1">
        <f t="shared" si="31"/>
        <v>10.283333333333333</v>
      </c>
      <c r="AV71" s="1">
        <f t="shared" si="31"/>
        <v>10.283333333333333</v>
      </c>
      <c r="AW71" s="1">
        <f t="shared" si="31"/>
        <v>14.85</v>
      </c>
      <c r="AX71" s="1">
        <f t="shared" si="31"/>
        <v>15.355555555555556</v>
      </c>
      <c r="AY71" s="1">
        <f t="shared" si="32"/>
        <v>15.863888888888889</v>
      </c>
      <c r="AZ71" s="1">
        <f t="shared" si="32"/>
        <v>16.369444444444444</v>
      </c>
      <c r="BA71" s="1">
        <f t="shared" si="32"/>
        <v>16.877777777777776</v>
      </c>
      <c r="BB71" s="1">
        <f t="shared" si="32"/>
        <v>17.386111111111113</v>
      </c>
      <c r="BC71" s="1">
        <f t="shared" si="32"/>
        <v>17.894444444444446</v>
      </c>
      <c r="BD71" s="1">
        <f t="shared" si="32"/>
        <v>18.399999999999999</v>
      </c>
      <c r="BE71" s="1">
        <f t="shared" si="32"/>
        <v>18.399999999999999</v>
      </c>
      <c r="BF71" s="1">
        <f t="shared" si="32"/>
        <v>27.024999999999999</v>
      </c>
      <c r="BG71" s="1">
        <f t="shared" si="32"/>
        <v>27.530555555555555</v>
      </c>
      <c r="BH71" s="1">
        <f t="shared" si="32"/>
        <v>28.038888888888888</v>
      </c>
      <c r="BI71" s="1">
        <f t="shared" si="32"/>
        <v>28.544444444444444</v>
      </c>
      <c r="BJ71" s="1">
        <f t="shared" si="32"/>
        <v>29.052777777777777</v>
      </c>
      <c r="BK71" s="1">
        <f t="shared" si="32"/>
        <v>29.56111111111111</v>
      </c>
      <c r="BL71" s="1">
        <f t="shared" si="32"/>
        <v>30.069444444444443</v>
      </c>
      <c r="BM71" s="1">
        <f t="shared" si="32"/>
        <v>30.574999999999999</v>
      </c>
      <c r="BN71" s="1">
        <f t="shared" si="32"/>
        <v>31.083333333333332</v>
      </c>
      <c r="BO71" s="1">
        <f t="shared" si="33"/>
        <v>31.083333333333332</v>
      </c>
      <c r="BP71" s="1">
        <f t="shared" si="33"/>
        <v>31.588888888888889</v>
      </c>
      <c r="BQ71" s="1">
        <f t="shared" si="33"/>
        <v>32.097222222222221</v>
      </c>
      <c r="BR71" s="1">
        <f t="shared" si="33"/>
        <v>32.602777777777774</v>
      </c>
      <c r="BS71" s="1">
        <f t="shared" si="33"/>
        <v>33.111111111111114</v>
      </c>
      <c r="BT71" s="1">
        <f t="shared" si="33"/>
        <v>33.619444444444447</v>
      </c>
      <c r="BU71" s="1">
        <f t="shared" si="33"/>
        <v>34.12777777777778</v>
      </c>
      <c r="BV71" s="1">
        <f t="shared" si="33"/>
        <v>34.12777777777778</v>
      </c>
      <c r="BW71" s="1">
        <f t="shared" si="33"/>
        <v>34.633333333333333</v>
      </c>
      <c r="BX71" s="1">
        <f t="shared" si="33"/>
        <v>35.141666666666666</v>
      </c>
      <c r="BY71" s="1">
        <f t="shared" si="33"/>
        <v>35.647222222222226</v>
      </c>
      <c r="BZ71" s="1">
        <f t="shared" si="33"/>
        <v>36.155555555555559</v>
      </c>
      <c r="CA71" s="1">
        <f t="shared" si="33"/>
        <v>36.661111111111111</v>
      </c>
      <c r="CB71" s="1">
        <f t="shared" si="33"/>
        <v>37.169444444444444</v>
      </c>
      <c r="CC71" s="1">
        <f t="shared" si="33"/>
        <v>37.677777777777777</v>
      </c>
      <c r="CD71" s="1">
        <f t="shared" si="33"/>
        <v>38.18611111111111</v>
      </c>
      <c r="CE71" s="1">
        <f t="shared" si="34"/>
        <v>38.69166666666667</v>
      </c>
      <c r="CF71" s="1">
        <f t="shared" si="34"/>
        <v>39.200000000000003</v>
      </c>
      <c r="CG71" s="1">
        <f t="shared" si="34"/>
        <v>39.705555555555556</v>
      </c>
      <c r="CH71" s="1">
        <f t="shared" si="34"/>
        <v>40.213888888888889</v>
      </c>
      <c r="CI71" s="1">
        <f t="shared" si="34"/>
        <v>40.719444444444441</v>
      </c>
      <c r="CJ71" s="1">
        <f t="shared" si="34"/>
        <v>41.227777777777774</v>
      </c>
      <c r="CK71" s="1">
        <f t="shared" si="34"/>
        <v>41.736111111111114</v>
      </c>
      <c r="CL71" s="1">
        <f t="shared" si="34"/>
        <v>42.244444444444447</v>
      </c>
      <c r="CM71" s="1">
        <f t="shared" si="34"/>
        <v>42.75</v>
      </c>
      <c r="CN71" s="1">
        <f t="shared" si="34"/>
        <v>43.258333333333333</v>
      </c>
      <c r="CO71" s="1">
        <f t="shared" si="34"/>
        <v>43.763888888888886</v>
      </c>
      <c r="CP71" s="1">
        <f t="shared" si="34"/>
        <v>44.272222222222226</v>
      </c>
      <c r="CQ71" s="1">
        <f t="shared" si="34"/>
        <v>44.777777777777779</v>
      </c>
      <c r="CR71" s="1">
        <f t="shared" si="34"/>
        <v>45.286111111111111</v>
      </c>
      <c r="CS71" s="1">
        <f t="shared" si="34"/>
        <v>45.794444444444444</v>
      </c>
      <c r="CT71" s="1">
        <f t="shared" si="34"/>
        <v>46.302777777777777</v>
      </c>
      <c r="CU71" s="1">
        <f t="shared" si="35"/>
        <v>46.80833333333333</v>
      </c>
      <c r="CV71" s="1">
        <f t="shared" si="35"/>
        <v>47.31666666666667</v>
      </c>
      <c r="CW71" s="1">
        <f t="shared" si="35"/>
        <v>47.822222222222223</v>
      </c>
      <c r="CX71" s="1">
        <f t="shared" si="35"/>
        <v>48.330555555555556</v>
      </c>
      <c r="CY71" s="1">
        <f t="shared" si="35"/>
        <v>48.836111111111109</v>
      </c>
      <c r="CZ71" s="1">
        <f t="shared" si="35"/>
        <v>49.344444444444441</v>
      </c>
      <c r="DA71" s="1">
        <f t="shared" si="35"/>
        <v>49.852777777777774</v>
      </c>
      <c r="DB71" s="1">
        <f t="shared" si="35"/>
        <v>50.361111111111114</v>
      </c>
      <c r="DC71" s="1">
        <f t="shared" si="35"/>
        <v>50.361111111111114</v>
      </c>
    </row>
    <row r="72" spans="1:107" x14ac:dyDescent="0.25">
      <c r="A72">
        <f t="shared" si="38"/>
        <v>3</v>
      </c>
      <c r="B72" s="2">
        <f>yields_BRUTE!B72</f>
        <v>42108</v>
      </c>
      <c r="C72" s="1">
        <f t="shared" si="39"/>
        <v>-0.12222222222222222</v>
      </c>
      <c r="D72" s="1">
        <f t="shared" si="39"/>
        <v>-8.3333333333333329E-2</v>
      </c>
      <c r="E72" s="1">
        <f t="shared" si="39"/>
        <v>0.13333333333333333</v>
      </c>
      <c r="F72" s="1">
        <f t="shared" si="39"/>
        <v>0.3888888888888889</v>
      </c>
      <c r="G72" s="1">
        <f t="shared" si="39"/>
        <v>0.42777777777777776</v>
      </c>
      <c r="H72" s="1">
        <f t="shared" si="39"/>
        <v>0.64166666666666672</v>
      </c>
      <c r="I72" s="1">
        <f t="shared" si="39"/>
        <v>0.64166666666666672</v>
      </c>
      <c r="J72" s="1">
        <f t="shared" si="39"/>
        <v>0.89444444444444449</v>
      </c>
      <c r="K72" s="1">
        <f t="shared" si="39"/>
        <v>0.93333333333333335</v>
      </c>
      <c r="L72" s="1">
        <f t="shared" si="39"/>
        <v>1.1499999999999999</v>
      </c>
      <c r="M72" s="1">
        <f t="shared" si="39"/>
        <v>1.4055555555555554</v>
      </c>
      <c r="N72" s="1">
        <f t="shared" si="39"/>
        <v>1.4055555555555554</v>
      </c>
      <c r="O72" s="1">
        <f t="shared" si="39"/>
        <v>1.4444444444444444</v>
      </c>
      <c r="P72" s="1">
        <f t="shared" si="39"/>
        <v>1.6583333333333334</v>
      </c>
      <c r="Q72" s="1">
        <f t="shared" si="39"/>
        <v>1.9472222222222222</v>
      </c>
      <c r="R72" s="1">
        <f t="shared" si="36"/>
        <v>2.1638888888888888</v>
      </c>
      <c r="S72" s="1">
        <f t="shared" si="36"/>
        <v>2.4583333333333335</v>
      </c>
      <c r="T72" s="1">
        <f t="shared" si="36"/>
        <v>2.6722222222222221</v>
      </c>
      <c r="U72" s="1">
        <f t="shared" si="36"/>
        <v>2.9611111111111112</v>
      </c>
      <c r="V72" s="1">
        <f t="shared" si="36"/>
        <v>3.1777777777777776</v>
      </c>
      <c r="W72" s="1">
        <f t="shared" si="36"/>
        <v>3.4722222222222223</v>
      </c>
      <c r="X72" s="1">
        <f t="shared" si="36"/>
        <v>3.6861111111111109</v>
      </c>
      <c r="Y72" s="1">
        <f t="shared" si="36"/>
        <v>3.9750000000000001</v>
      </c>
      <c r="Z72" s="1">
        <f t="shared" si="36"/>
        <v>4.1916666666666664</v>
      </c>
      <c r="AA72" s="1">
        <f t="shared" si="36"/>
        <v>4.4861111111111107</v>
      </c>
      <c r="AB72" s="1">
        <f t="shared" si="36"/>
        <v>4.7</v>
      </c>
      <c r="AC72" s="1">
        <f t="shared" si="36"/>
        <v>4.9916666666666663</v>
      </c>
      <c r="AD72" s="1">
        <f t="shared" si="36"/>
        <v>5.208333333333333</v>
      </c>
      <c r="AE72" s="1">
        <f t="shared" si="36"/>
        <v>5.208333333333333</v>
      </c>
      <c r="AF72" s="3">
        <f t="shared" si="36"/>
        <v>5.5027777777777782</v>
      </c>
      <c r="AG72" s="1">
        <f t="shared" si="36"/>
        <v>5.7166666666666668</v>
      </c>
      <c r="AH72" s="1">
        <f t="shared" si="37"/>
        <v>6.0055555555555555</v>
      </c>
      <c r="AI72" s="1">
        <f t="shared" si="31"/>
        <v>6.0055555555555555</v>
      </c>
      <c r="AJ72" s="1">
        <f t="shared" si="31"/>
        <v>6.2222222222222223</v>
      </c>
      <c r="AK72" s="1">
        <f t="shared" si="31"/>
        <v>6.2222222222222223</v>
      </c>
      <c r="AL72" s="1">
        <f t="shared" si="31"/>
        <v>6.7305555555555552</v>
      </c>
      <c r="AM72" s="1">
        <f t="shared" si="31"/>
        <v>7.2361111111111107</v>
      </c>
      <c r="AN72" s="1">
        <f t="shared" si="31"/>
        <v>7.2361111111111107</v>
      </c>
      <c r="AO72" s="1">
        <f t="shared" si="31"/>
        <v>7.7444444444444445</v>
      </c>
      <c r="AP72" s="1">
        <f t="shared" si="31"/>
        <v>8.25</v>
      </c>
      <c r="AQ72" s="1">
        <f t="shared" si="31"/>
        <v>8.25</v>
      </c>
      <c r="AR72" s="1">
        <f t="shared" si="31"/>
        <v>8.7583333333333329</v>
      </c>
      <c r="AS72" s="1">
        <f t="shared" si="31"/>
        <v>9.2666666666666675</v>
      </c>
      <c r="AT72" s="1">
        <f t="shared" si="31"/>
        <v>9.7750000000000004</v>
      </c>
      <c r="AU72" s="1">
        <f t="shared" si="31"/>
        <v>10.280555555555555</v>
      </c>
      <c r="AV72" s="1">
        <f t="shared" si="31"/>
        <v>10.280555555555555</v>
      </c>
      <c r="AW72" s="1">
        <f t="shared" si="31"/>
        <v>14.847222222222221</v>
      </c>
      <c r="AX72" s="1">
        <f t="shared" si="31"/>
        <v>15.352777777777778</v>
      </c>
      <c r="AY72" s="1">
        <f t="shared" si="32"/>
        <v>15.861111111111111</v>
      </c>
      <c r="AZ72" s="1">
        <f t="shared" si="32"/>
        <v>16.366666666666667</v>
      </c>
      <c r="BA72" s="1">
        <f t="shared" si="32"/>
        <v>16.875</v>
      </c>
      <c r="BB72" s="1">
        <f t="shared" si="32"/>
        <v>17.383333333333333</v>
      </c>
      <c r="BC72" s="1">
        <f t="shared" si="32"/>
        <v>17.891666666666666</v>
      </c>
      <c r="BD72" s="1">
        <f t="shared" si="32"/>
        <v>18.397222222222222</v>
      </c>
      <c r="BE72" s="1">
        <f t="shared" si="32"/>
        <v>18.397222222222222</v>
      </c>
      <c r="BF72" s="1">
        <f t="shared" si="32"/>
        <v>27.022222222222222</v>
      </c>
      <c r="BG72" s="1">
        <f t="shared" si="32"/>
        <v>27.527777777777779</v>
      </c>
      <c r="BH72" s="1">
        <f t="shared" si="32"/>
        <v>28.036111111111111</v>
      </c>
      <c r="BI72" s="1">
        <f t="shared" si="32"/>
        <v>28.541666666666668</v>
      </c>
      <c r="BJ72" s="1">
        <f t="shared" si="32"/>
        <v>29.05</v>
      </c>
      <c r="BK72" s="1">
        <f t="shared" si="32"/>
        <v>29.558333333333334</v>
      </c>
      <c r="BL72" s="1">
        <f t="shared" si="32"/>
        <v>30.066666666666666</v>
      </c>
      <c r="BM72" s="1">
        <f t="shared" si="32"/>
        <v>30.572222222222223</v>
      </c>
      <c r="BN72" s="1">
        <f t="shared" si="32"/>
        <v>31.080555555555556</v>
      </c>
      <c r="BO72" s="1">
        <f t="shared" si="33"/>
        <v>31.080555555555556</v>
      </c>
      <c r="BP72" s="1">
        <f t="shared" si="33"/>
        <v>31.586111111111112</v>
      </c>
      <c r="BQ72" s="1">
        <f t="shared" si="33"/>
        <v>32.094444444444441</v>
      </c>
      <c r="BR72" s="1">
        <f t="shared" si="33"/>
        <v>32.6</v>
      </c>
      <c r="BS72" s="1">
        <f t="shared" si="33"/>
        <v>33.108333333333334</v>
      </c>
      <c r="BT72" s="1">
        <f t="shared" si="33"/>
        <v>33.616666666666667</v>
      </c>
      <c r="BU72" s="1">
        <f t="shared" si="33"/>
        <v>34.125</v>
      </c>
      <c r="BV72" s="1">
        <f t="shared" si="33"/>
        <v>34.125</v>
      </c>
      <c r="BW72" s="1">
        <f t="shared" si="33"/>
        <v>34.630555555555553</v>
      </c>
      <c r="BX72" s="1">
        <f t="shared" si="33"/>
        <v>35.138888888888886</v>
      </c>
      <c r="BY72" s="1">
        <f t="shared" si="33"/>
        <v>35.644444444444446</v>
      </c>
      <c r="BZ72" s="1">
        <f t="shared" si="33"/>
        <v>36.152777777777779</v>
      </c>
      <c r="CA72" s="1">
        <f t="shared" si="33"/>
        <v>36.658333333333331</v>
      </c>
      <c r="CB72" s="1">
        <f t="shared" si="33"/>
        <v>37.166666666666664</v>
      </c>
      <c r="CC72" s="1">
        <f t="shared" si="33"/>
        <v>37.674999999999997</v>
      </c>
      <c r="CD72" s="1">
        <f t="shared" si="33"/>
        <v>38.18333333333333</v>
      </c>
      <c r="CE72" s="1">
        <f t="shared" si="34"/>
        <v>38.68888888888889</v>
      </c>
      <c r="CF72" s="1">
        <f t="shared" si="34"/>
        <v>39.197222222222223</v>
      </c>
      <c r="CG72" s="1">
        <f t="shared" si="34"/>
        <v>39.702777777777776</v>
      </c>
      <c r="CH72" s="1">
        <f t="shared" si="34"/>
        <v>40.211111111111109</v>
      </c>
      <c r="CI72" s="1">
        <f t="shared" si="34"/>
        <v>40.716666666666669</v>
      </c>
      <c r="CJ72" s="1">
        <f t="shared" si="34"/>
        <v>41.225000000000001</v>
      </c>
      <c r="CK72" s="1">
        <f t="shared" si="34"/>
        <v>41.733333333333334</v>
      </c>
      <c r="CL72" s="1">
        <f t="shared" si="34"/>
        <v>42.241666666666667</v>
      </c>
      <c r="CM72" s="1">
        <f t="shared" si="34"/>
        <v>42.74722222222222</v>
      </c>
      <c r="CN72" s="1">
        <f t="shared" si="34"/>
        <v>43.255555555555553</v>
      </c>
      <c r="CO72" s="1">
        <f t="shared" si="34"/>
        <v>43.761111111111113</v>
      </c>
      <c r="CP72" s="1">
        <f t="shared" si="34"/>
        <v>44.269444444444446</v>
      </c>
      <c r="CQ72" s="1">
        <f t="shared" si="34"/>
        <v>44.774999999999999</v>
      </c>
      <c r="CR72" s="1">
        <f t="shared" si="34"/>
        <v>45.283333333333331</v>
      </c>
      <c r="CS72" s="1">
        <f t="shared" si="34"/>
        <v>45.791666666666664</v>
      </c>
      <c r="CT72" s="1">
        <f t="shared" si="34"/>
        <v>46.3</v>
      </c>
      <c r="CU72" s="1">
        <f t="shared" si="35"/>
        <v>46.805555555555557</v>
      </c>
      <c r="CV72" s="1">
        <f t="shared" si="35"/>
        <v>47.31388888888889</v>
      </c>
      <c r="CW72" s="1">
        <f t="shared" si="35"/>
        <v>47.819444444444443</v>
      </c>
      <c r="CX72" s="1">
        <f t="shared" si="35"/>
        <v>48.327777777777776</v>
      </c>
      <c r="CY72" s="1">
        <f t="shared" si="35"/>
        <v>48.833333333333336</v>
      </c>
      <c r="CZ72" s="1">
        <f t="shared" si="35"/>
        <v>49.341666666666669</v>
      </c>
      <c r="DA72" s="1">
        <f t="shared" si="35"/>
        <v>49.85</v>
      </c>
      <c r="DB72" s="1">
        <f t="shared" si="35"/>
        <v>50.358333333333334</v>
      </c>
      <c r="DC72" s="1">
        <f t="shared" si="35"/>
        <v>50.358333333333334</v>
      </c>
    </row>
    <row r="73" spans="1:107" x14ac:dyDescent="0.25">
      <c r="A73">
        <f t="shared" si="38"/>
        <v>4</v>
      </c>
      <c r="B73" s="2">
        <f>yields_BRUTE!B73</f>
        <v>42109</v>
      </c>
      <c r="C73" s="1">
        <f t="shared" si="39"/>
        <v>-0.125</v>
      </c>
      <c r="D73" s="1">
        <f t="shared" si="39"/>
        <v>-8.611111111111111E-2</v>
      </c>
      <c r="E73" s="1">
        <f t="shared" si="39"/>
        <v>0.13055555555555556</v>
      </c>
      <c r="F73" s="1">
        <f t="shared" si="39"/>
        <v>0.38611111111111113</v>
      </c>
      <c r="G73" s="1">
        <f t="shared" si="39"/>
        <v>0.42499999999999999</v>
      </c>
      <c r="H73" s="1">
        <f t="shared" si="39"/>
        <v>0.63888888888888884</v>
      </c>
      <c r="I73" s="1">
        <f t="shared" si="39"/>
        <v>0.63888888888888884</v>
      </c>
      <c r="J73" s="1">
        <f t="shared" si="39"/>
        <v>0.89166666666666672</v>
      </c>
      <c r="K73" s="1">
        <f t="shared" si="39"/>
        <v>0.93055555555555558</v>
      </c>
      <c r="L73" s="1">
        <f t="shared" si="39"/>
        <v>1.1472222222222221</v>
      </c>
      <c r="M73" s="1">
        <f t="shared" si="39"/>
        <v>1.4027777777777777</v>
      </c>
      <c r="N73" s="1">
        <f t="shared" si="39"/>
        <v>1.4027777777777777</v>
      </c>
      <c r="O73" s="1">
        <f t="shared" si="39"/>
        <v>1.4416666666666667</v>
      </c>
      <c r="P73" s="1">
        <f t="shared" si="39"/>
        <v>1.6555555555555554</v>
      </c>
      <c r="Q73" s="1">
        <f t="shared" si="39"/>
        <v>1.9444444444444444</v>
      </c>
      <c r="R73" s="1">
        <f t="shared" si="36"/>
        <v>2.161111111111111</v>
      </c>
      <c r="S73" s="1">
        <f t="shared" si="36"/>
        <v>2.4555555555555557</v>
      </c>
      <c r="T73" s="1">
        <f t="shared" si="36"/>
        <v>2.6694444444444443</v>
      </c>
      <c r="U73" s="1">
        <f t="shared" si="36"/>
        <v>2.9583333333333335</v>
      </c>
      <c r="V73" s="1">
        <f t="shared" si="36"/>
        <v>3.1749999999999998</v>
      </c>
      <c r="W73" s="1">
        <f t="shared" si="36"/>
        <v>3.4694444444444446</v>
      </c>
      <c r="X73" s="1">
        <f t="shared" si="36"/>
        <v>3.6833333333333331</v>
      </c>
      <c r="Y73" s="1">
        <f t="shared" si="36"/>
        <v>3.9722222222222223</v>
      </c>
      <c r="Z73" s="1">
        <f t="shared" si="36"/>
        <v>4.1888888888888891</v>
      </c>
      <c r="AA73" s="1">
        <f t="shared" si="36"/>
        <v>4.4833333333333334</v>
      </c>
      <c r="AB73" s="1">
        <f t="shared" si="36"/>
        <v>4.697222222222222</v>
      </c>
      <c r="AC73" s="1">
        <f t="shared" si="36"/>
        <v>4.9888888888888889</v>
      </c>
      <c r="AD73" s="1">
        <f t="shared" si="36"/>
        <v>5.2055555555555557</v>
      </c>
      <c r="AE73" s="1">
        <f t="shared" si="36"/>
        <v>5.2055555555555557</v>
      </c>
      <c r="AF73" s="3">
        <f t="shared" si="36"/>
        <v>5.5</v>
      </c>
      <c r="AG73" s="1">
        <f t="shared" si="36"/>
        <v>5.7138888888888886</v>
      </c>
      <c r="AH73" s="1">
        <f t="shared" si="37"/>
        <v>6.0027777777777782</v>
      </c>
      <c r="AI73" s="1">
        <f t="shared" si="31"/>
        <v>6.0027777777777782</v>
      </c>
      <c r="AJ73" s="1">
        <f t="shared" si="31"/>
        <v>6.2194444444444441</v>
      </c>
      <c r="AK73" s="1">
        <f t="shared" si="31"/>
        <v>6.2194444444444441</v>
      </c>
      <c r="AL73" s="1">
        <f t="shared" si="31"/>
        <v>6.7277777777777779</v>
      </c>
      <c r="AM73" s="1">
        <f t="shared" si="31"/>
        <v>7.2333333333333334</v>
      </c>
      <c r="AN73" s="1">
        <f t="shared" si="31"/>
        <v>7.2333333333333334</v>
      </c>
      <c r="AO73" s="1">
        <f t="shared" si="31"/>
        <v>7.7416666666666663</v>
      </c>
      <c r="AP73" s="1">
        <f t="shared" si="31"/>
        <v>8.2472222222222218</v>
      </c>
      <c r="AQ73" s="1">
        <f t="shared" si="31"/>
        <v>8.2472222222222218</v>
      </c>
      <c r="AR73" s="1">
        <f t="shared" si="31"/>
        <v>8.7555555555555564</v>
      </c>
      <c r="AS73" s="1">
        <f t="shared" si="31"/>
        <v>9.2638888888888893</v>
      </c>
      <c r="AT73" s="1">
        <f t="shared" si="31"/>
        <v>9.7722222222222221</v>
      </c>
      <c r="AU73" s="1">
        <f t="shared" si="31"/>
        <v>10.277777777777779</v>
      </c>
      <c r="AV73" s="1">
        <f t="shared" si="31"/>
        <v>10.277777777777779</v>
      </c>
      <c r="AW73" s="1">
        <f t="shared" si="31"/>
        <v>14.844444444444445</v>
      </c>
      <c r="AX73" s="1">
        <f t="shared" si="31"/>
        <v>15.35</v>
      </c>
      <c r="AY73" s="1">
        <f t="shared" si="32"/>
        <v>15.858333333333333</v>
      </c>
      <c r="AZ73" s="1">
        <f t="shared" si="32"/>
        <v>16.363888888888887</v>
      </c>
      <c r="BA73" s="1">
        <f t="shared" si="32"/>
        <v>16.872222222222224</v>
      </c>
      <c r="BB73" s="1">
        <f t="shared" si="32"/>
        <v>17.380555555555556</v>
      </c>
      <c r="BC73" s="1">
        <f t="shared" si="32"/>
        <v>17.888888888888889</v>
      </c>
      <c r="BD73" s="1">
        <f t="shared" si="32"/>
        <v>18.394444444444446</v>
      </c>
      <c r="BE73" s="1">
        <f t="shared" si="32"/>
        <v>18.394444444444446</v>
      </c>
      <c r="BF73" s="1">
        <f t="shared" si="32"/>
        <v>27.019444444444446</v>
      </c>
      <c r="BG73" s="1">
        <f t="shared" si="32"/>
        <v>27.524999999999999</v>
      </c>
      <c r="BH73" s="1">
        <f t="shared" si="32"/>
        <v>28.033333333333335</v>
      </c>
      <c r="BI73" s="1">
        <f t="shared" si="32"/>
        <v>28.538888888888888</v>
      </c>
      <c r="BJ73" s="1">
        <f t="shared" si="32"/>
        <v>29.047222222222221</v>
      </c>
      <c r="BK73" s="1">
        <f t="shared" si="32"/>
        <v>29.555555555555557</v>
      </c>
      <c r="BL73" s="1">
        <f t="shared" si="32"/>
        <v>30.06388888888889</v>
      </c>
      <c r="BM73" s="1">
        <f t="shared" si="32"/>
        <v>30.569444444444443</v>
      </c>
      <c r="BN73" s="1">
        <f t="shared" si="32"/>
        <v>31.077777777777779</v>
      </c>
      <c r="BO73" s="1">
        <f t="shared" si="33"/>
        <v>31.077777777777779</v>
      </c>
      <c r="BP73" s="1">
        <f t="shared" si="33"/>
        <v>31.583333333333332</v>
      </c>
      <c r="BQ73" s="1">
        <f t="shared" si="33"/>
        <v>32.091666666666669</v>
      </c>
      <c r="BR73" s="1">
        <f t="shared" si="33"/>
        <v>32.597222222222221</v>
      </c>
      <c r="BS73" s="1">
        <f t="shared" si="33"/>
        <v>33.105555555555554</v>
      </c>
      <c r="BT73" s="1">
        <f t="shared" si="33"/>
        <v>33.613888888888887</v>
      </c>
      <c r="BU73" s="1">
        <f t="shared" si="33"/>
        <v>34.12222222222222</v>
      </c>
      <c r="BV73" s="1">
        <f t="shared" si="33"/>
        <v>34.12222222222222</v>
      </c>
      <c r="BW73" s="1">
        <f t="shared" si="33"/>
        <v>34.62777777777778</v>
      </c>
      <c r="BX73" s="1">
        <f t="shared" si="33"/>
        <v>35.136111111111113</v>
      </c>
      <c r="BY73" s="1">
        <f t="shared" si="33"/>
        <v>35.641666666666666</v>
      </c>
      <c r="BZ73" s="1">
        <f t="shared" si="33"/>
        <v>36.15</v>
      </c>
      <c r="CA73" s="1">
        <f t="shared" si="33"/>
        <v>36.655555555555559</v>
      </c>
      <c r="CB73" s="1">
        <f t="shared" si="33"/>
        <v>37.163888888888891</v>
      </c>
      <c r="CC73" s="1">
        <f t="shared" si="33"/>
        <v>37.672222222222224</v>
      </c>
      <c r="CD73" s="1">
        <f t="shared" si="33"/>
        <v>38.180555555555557</v>
      </c>
      <c r="CE73" s="1">
        <f t="shared" si="34"/>
        <v>38.68611111111111</v>
      </c>
      <c r="CF73" s="1">
        <f t="shared" si="34"/>
        <v>39.194444444444443</v>
      </c>
      <c r="CG73" s="1">
        <f t="shared" si="34"/>
        <v>39.700000000000003</v>
      </c>
      <c r="CH73" s="1">
        <f t="shared" si="34"/>
        <v>40.208333333333336</v>
      </c>
      <c r="CI73" s="1">
        <f t="shared" si="34"/>
        <v>40.713888888888889</v>
      </c>
      <c r="CJ73" s="1">
        <f t="shared" si="34"/>
        <v>41.222222222222221</v>
      </c>
      <c r="CK73" s="1">
        <f t="shared" si="34"/>
        <v>41.730555555555554</v>
      </c>
      <c r="CL73" s="1">
        <f t="shared" si="34"/>
        <v>42.238888888888887</v>
      </c>
      <c r="CM73" s="1">
        <f t="shared" si="34"/>
        <v>42.744444444444447</v>
      </c>
      <c r="CN73" s="1">
        <f t="shared" si="34"/>
        <v>43.25277777777778</v>
      </c>
      <c r="CO73" s="1">
        <f t="shared" si="34"/>
        <v>43.758333333333333</v>
      </c>
      <c r="CP73" s="1">
        <f t="shared" si="34"/>
        <v>44.266666666666666</v>
      </c>
      <c r="CQ73" s="1">
        <f t="shared" si="34"/>
        <v>44.772222222222226</v>
      </c>
      <c r="CR73" s="1">
        <f t="shared" si="34"/>
        <v>45.280555555555559</v>
      </c>
      <c r="CS73" s="1">
        <f t="shared" si="34"/>
        <v>45.788888888888891</v>
      </c>
      <c r="CT73" s="1">
        <f t="shared" si="34"/>
        <v>46.297222222222224</v>
      </c>
      <c r="CU73" s="1">
        <f t="shared" si="35"/>
        <v>46.802777777777777</v>
      </c>
      <c r="CV73" s="1">
        <f t="shared" si="35"/>
        <v>47.31111111111111</v>
      </c>
      <c r="CW73" s="1">
        <f t="shared" si="35"/>
        <v>47.81666666666667</v>
      </c>
      <c r="CX73" s="1">
        <f t="shared" si="35"/>
        <v>48.325000000000003</v>
      </c>
      <c r="CY73" s="1">
        <f t="shared" si="35"/>
        <v>48.830555555555556</v>
      </c>
      <c r="CZ73" s="1">
        <f t="shared" si="35"/>
        <v>49.338888888888889</v>
      </c>
      <c r="DA73" s="1">
        <f t="shared" si="35"/>
        <v>49.847222222222221</v>
      </c>
      <c r="DB73" s="1">
        <f t="shared" si="35"/>
        <v>50.355555555555554</v>
      </c>
      <c r="DC73" s="1">
        <f t="shared" si="35"/>
        <v>50.355555555555554</v>
      </c>
    </row>
    <row r="74" spans="1:107" x14ac:dyDescent="0.25">
      <c r="A74">
        <f t="shared" si="38"/>
        <v>5</v>
      </c>
      <c r="B74" s="2">
        <f>yields_BRUTE!B74</f>
        <v>42110</v>
      </c>
      <c r="C74" s="1">
        <f t="shared" si="39"/>
        <v>-0.12777777777777777</v>
      </c>
      <c r="D74" s="1">
        <f t="shared" si="39"/>
        <v>-8.8888888888888892E-2</v>
      </c>
      <c r="E74" s="1">
        <f t="shared" si="39"/>
        <v>0.12777777777777777</v>
      </c>
      <c r="F74" s="1">
        <f t="shared" si="39"/>
        <v>0.38333333333333336</v>
      </c>
      <c r="G74" s="1">
        <f t="shared" si="39"/>
        <v>0.42222222222222222</v>
      </c>
      <c r="H74" s="1">
        <f t="shared" si="39"/>
        <v>0.63611111111111107</v>
      </c>
      <c r="I74" s="1">
        <f t="shared" si="39"/>
        <v>0.63611111111111107</v>
      </c>
      <c r="J74" s="1">
        <f t="shared" si="39"/>
        <v>0.88888888888888884</v>
      </c>
      <c r="K74" s="1">
        <f t="shared" si="39"/>
        <v>0.92777777777777781</v>
      </c>
      <c r="L74" s="1">
        <f t="shared" si="39"/>
        <v>1.1444444444444444</v>
      </c>
      <c r="M74" s="1">
        <f t="shared" si="39"/>
        <v>1.4</v>
      </c>
      <c r="N74" s="1">
        <f t="shared" si="39"/>
        <v>1.4</v>
      </c>
      <c r="O74" s="1">
        <f t="shared" si="39"/>
        <v>1.4388888888888889</v>
      </c>
      <c r="P74" s="1">
        <f t="shared" si="39"/>
        <v>1.6527777777777777</v>
      </c>
      <c r="Q74" s="1">
        <f t="shared" si="39"/>
        <v>1.9416666666666667</v>
      </c>
      <c r="R74" s="1">
        <f t="shared" si="36"/>
        <v>2.1583333333333332</v>
      </c>
      <c r="S74" s="1">
        <f t="shared" si="36"/>
        <v>2.4527777777777779</v>
      </c>
      <c r="T74" s="1">
        <f t="shared" si="36"/>
        <v>2.6666666666666665</v>
      </c>
      <c r="U74" s="1">
        <f t="shared" si="36"/>
        <v>2.9555555555555557</v>
      </c>
      <c r="V74" s="1">
        <f t="shared" si="36"/>
        <v>3.1722222222222221</v>
      </c>
      <c r="W74" s="1">
        <f t="shared" si="36"/>
        <v>3.4666666666666668</v>
      </c>
      <c r="X74" s="1">
        <f t="shared" si="36"/>
        <v>3.6805555555555554</v>
      </c>
      <c r="Y74" s="1">
        <f t="shared" si="36"/>
        <v>3.9694444444444446</v>
      </c>
      <c r="Z74" s="1">
        <f t="shared" si="36"/>
        <v>4.1861111111111109</v>
      </c>
      <c r="AA74" s="1">
        <f t="shared" si="36"/>
        <v>4.4805555555555552</v>
      </c>
      <c r="AB74" s="1">
        <f t="shared" si="36"/>
        <v>4.6944444444444446</v>
      </c>
      <c r="AC74" s="1">
        <f t="shared" si="36"/>
        <v>4.9861111111111107</v>
      </c>
      <c r="AD74" s="1">
        <f t="shared" si="36"/>
        <v>5.2027777777777775</v>
      </c>
      <c r="AE74" s="1">
        <f t="shared" si="36"/>
        <v>5.2027777777777775</v>
      </c>
      <c r="AF74" s="3">
        <f t="shared" si="36"/>
        <v>5.4972222222222218</v>
      </c>
      <c r="AG74" s="1">
        <f t="shared" si="36"/>
        <v>5.7111111111111112</v>
      </c>
      <c r="AH74" s="1">
        <f t="shared" si="37"/>
        <v>6</v>
      </c>
      <c r="AI74" s="1">
        <f t="shared" si="31"/>
        <v>6</v>
      </c>
      <c r="AJ74" s="1">
        <f t="shared" si="31"/>
        <v>6.2166666666666668</v>
      </c>
      <c r="AK74" s="1">
        <f t="shared" si="31"/>
        <v>6.2166666666666668</v>
      </c>
      <c r="AL74" s="1">
        <f t="shared" si="31"/>
        <v>6.7249999999999996</v>
      </c>
      <c r="AM74" s="1">
        <f t="shared" si="31"/>
        <v>7.2305555555555552</v>
      </c>
      <c r="AN74" s="1">
        <f t="shared" si="31"/>
        <v>7.2305555555555552</v>
      </c>
      <c r="AO74" s="1">
        <f t="shared" si="31"/>
        <v>7.7388888888888889</v>
      </c>
      <c r="AP74" s="1">
        <f t="shared" si="31"/>
        <v>8.2444444444444436</v>
      </c>
      <c r="AQ74" s="1">
        <f t="shared" si="31"/>
        <v>8.2444444444444436</v>
      </c>
      <c r="AR74" s="1">
        <f t="shared" si="31"/>
        <v>8.7527777777777782</v>
      </c>
      <c r="AS74" s="1">
        <f t="shared" si="31"/>
        <v>9.2611111111111111</v>
      </c>
      <c r="AT74" s="1">
        <f t="shared" si="31"/>
        <v>9.7694444444444439</v>
      </c>
      <c r="AU74" s="1">
        <f t="shared" si="31"/>
        <v>10.275</v>
      </c>
      <c r="AV74" s="1">
        <f t="shared" si="31"/>
        <v>10.275</v>
      </c>
      <c r="AW74" s="1">
        <f t="shared" si="31"/>
        <v>14.841666666666667</v>
      </c>
      <c r="AX74" s="1">
        <f t="shared" si="31"/>
        <v>15.347222222222221</v>
      </c>
      <c r="AY74" s="1">
        <f t="shared" si="32"/>
        <v>15.855555555555556</v>
      </c>
      <c r="AZ74" s="1">
        <f t="shared" si="32"/>
        <v>16.361111111111111</v>
      </c>
      <c r="BA74" s="1">
        <f t="shared" si="32"/>
        <v>16.869444444444444</v>
      </c>
      <c r="BB74" s="1">
        <f t="shared" si="32"/>
        <v>17.377777777777776</v>
      </c>
      <c r="BC74" s="1">
        <f t="shared" si="32"/>
        <v>17.886111111111113</v>
      </c>
      <c r="BD74" s="1">
        <f t="shared" si="32"/>
        <v>18.391666666666666</v>
      </c>
      <c r="BE74" s="1">
        <f t="shared" si="32"/>
        <v>18.391666666666666</v>
      </c>
      <c r="BF74" s="1">
        <f t="shared" si="32"/>
        <v>27.016666666666666</v>
      </c>
      <c r="BG74" s="1">
        <f t="shared" si="32"/>
        <v>27.522222222222222</v>
      </c>
      <c r="BH74" s="1">
        <f t="shared" si="32"/>
        <v>28.030555555555555</v>
      </c>
      <c r="BI74" s="1">
        <f t="shared" si="32"/>
        <v>28.536111111111111</v>
      </c>
      <c r="BJ74" s="1">
        <f t="shared" si="32"/>
        <v>29.044444444444444</v>
      </c>
      <c r="BK74" s="1">
        <f t="shared" si="32"/>
        <v>29.552777777777777</v>
      </c>
      <c r="BL74" s="1">
        <f t="shared" si="32"/>
        <v>30.06111111111111</v>
      </c>
      <c r="BM74" s="1">
        <f t="shared" si="32"/>
        <v>30.566666666666666</v>
      </c>
      <c r="BN74" s="1">
        <f t="shared" si="32"/>
        <v>31.074999999999999</v>
      </c>
      <c r="BO74" s="1">
        <f t="shared" si="33"/>
        <v>31.074999999999999</v>
      </c>
      <c r="BP74" s="1">
        <f t="shared" si="33"/>
        <v>31.580555555555556</v>
      </c>
      <c r="BQ74" s="1">
        <f t="shared" si="33"/>
        <v>32.088888888888889</v>
      </c>
      <c r="BR74" s="1">
        <f t="shared" si="33"/>
        <v>32.594444444444441</v>
      </c>
      <c r="BS74" s="1">
        <f t="shared" si="33"/>
        <v>33.102777777777774</v>
      </c>
      <c r="BT74" s="1">
        <f t="shared" si="33"/>
        <v>33.611111111111114</v>
      </c>
      <c r="BU74" s="1">
        <f t="shared" si="33"/>
        <v>34.119444444444447</v>
      </c>
      <c r="BV74" s="1">
        <f t="shared" si="33"/>
        <v>34.119444444444447</v>
      </c>
      <c r="BW74" s="1">
        <f t="shared" si="33"/>
        <v>34.625</v>
      </c>
      <c r="BX74" s="1">
        <f t="shared" si="33"/>
        <v>35.133333333333333</v>
      </c>
      <c r="BY74" s="1">
        <f t="shared" si="33"/>
        <v>35.638888888888886</v>
      </c>
      <c r="BZ74" s="1">
        <f t="shared" si="33"/>
        <v>36.147222222222226</v>
      </c>
      <c r="CA74" s="1">
        <f t="shared" si="33"/>
        <v>36.652777777777779</v>
      </c>
      <c r="CB74" s="1">
        <f t="shared" si="33"/>
        <v>37.161111111111111</v>
      </c>
      <c r="CC74" s="1">
        <f t="shared" si="33"/>
        <v>37.669444444444444</v>
      </c>
      <c r="CD74" s="1">
        <f t="shared" si="33"/>
        <v>38.177777777777777</v>
      </c>
      <c r="CE74" s="1">
        <f t="shared" si="34"/>
        <v>38.68333333333333</v>
      </c>
      <c r="CF74" s="1">
        <f t="shared" si="34"/>
        <v>39.19166666666667</v>
      </c>
      <c r="CG74" s="1">
        <f t="shared" si="34"/>
        <v>39.697222222222223</v>
      </c>
      <c r="CH74" s="1">
        <f t="shared" si="34"/>
        <v>40.205555555555556</v>
      </c>
      <c r="CI74" s="1">
        <f t="shared" si="34"/>
        <v>40.711111111111109</v>
      </c>
      <c r="CJ74" s="1">
        <f t="shared" si="34"/>
        <v>41.219444444444441</v>
      </c>
      <c r="CK74" s="1">
        <f t="shared" si="34"/>
        <v>41.727777777777774</v>
      </c>
      <c r="CL74" s="1">
        <f t="shared" si="34"/>
        <v>42.236111111111114</v>
      </c>
      <c r="CM74" s="1">
        <f t="shared" si="34"/>
        <v>42.741666666666667</v>
      </c>
      <c r="CN74" s="1">
        <f t="shared" si="34"/>
        <v>43.25</v>
      </c>
      <c r="CO74" s="1">
        <f t="shared" si="34"/>
        <v>43.755555555555553</v>
      </c>
      <c r="CP74" s="1">
        <f t="shared" si="34"/>
        <v>44.263888888888886</v>
      </c>
      <c r="CQ74" s="1">
        <f t="shared" si="34"/>
        <v>44.769444444444446</v>
      </c>
      <c r="CR74" s="1">
        <f t="shared" si="34"/>
        <v>45.277777777777779</v>
      </c>
      <c r="CS74" s="1">
        <f t="shared" si="34"/>
        <v>45.786111111111111</v>
      </c>
      <c r="CT74" s="1">
        <f t="shared" si="34"/>
        <v>46.294444444444444</v>
      </c>
      <c r="CU74" s="1">
        <f t="shared" si="35"/>
        <v>46.8</v>
      </c>
      <c r="CV74" s="1">
        <f t="shared" si="35"/>
        <v>47.30833333333333</v>
      </c>
      <c r="CW74" s="1">
        <f t="shared" si="35"/>
        <v>47.81388888888889</v>
      </c>
      <c r="CX74" s="1">
        <f t="shared" si="35"/>
        <v>48.322222222222223</v>
      </c>
      <c r="CY74" s="1">
        <f t="shared" si="35"/>
        <v>48.827777777777776</v>
      </c>
      <c r="CZ74" s="1">
        <f t="shared" si="35"/>
        <v>49.336111111111109</v>
      </c>
      <c r="DA74" s="1">
        <f t="shared" si="35"/>
        <v>49.844444444444441</v>
      </c>
      <c r="DB74" s="1">
        <f t="shared" si="35"/>
        <v>50.352777777777774</v>
      </c>
      <c r="DC74" s="1">
        <f t="shared" si="35"/>
        <v>50.352777777777774</v>
      </c>
    </row>
    <row r="75" spans="1:107" x14ac:dyDescent="0.25">
      <c r="A75">
        <f t="shared" si="38"/>
        <v>6</v>
      </c>
      <c r="B75" s="2">
        <f>yields_BRUTE!B75</f>
        <v>42111</v>
      </c>
      <c r="C75" s="1">
        <f t="shared" si="39"/>
        <v>-0.13055555555555556</v>
      </c>
      <c r="D75" s="1">
        <f t="shared" si="39"/>
        <v>-9.166666666666666E-2</v>
      </c>
      <c r="E75" s="1">
        <f t="shared" si="39"/>
        <v>0.125</v>
      </c>
      <c r="F75" s="1">
        <f t="shared" si="39"/>
        <v>0.38055555555555554</v>
      </c>
      <c r="G75" s="1">
        <f t="shared" si="39"/>
        <v>0.41944444444444445</v>
      </c>
      <c r="H75" s="1">
        <f t="shared" si="39"/>
        <v>0.6333333333333333</v>
      </c>
      <c r="I75" s="1">
        <f t="shared" si="39"/>
        <v>0.6333333333333333</v>
      </c>
      <c r="J75" s="1">
        <f t="shared" si="39"/>
        <v>0.88611111111111107</v>
      </c>
      <c r="K75" s="1">
        <f t="shared" si="39"/>
        <v>0.92500000000000004</v>
      </c>
      <c r="L75" s="1">
        <f t="shared" si="39"/>
        <v>1.1416666666666666</v>
      </c>
      <c r="M75" s="1">
        <f t="shared" si="39"/>
        <v>1.3972222222222221</v>
      </c>
      <c r="N75" s="1">
        <f t="shared" si="39"/>
        <v>1.3972222222222221</v>
      </c>
      <c r="O75" s="1">
        <f t="shared" si="39"/>
        <v>1.4361111111111111</v>
      </c>
      <c r="P75" s="1">
        <f t="shared" si="39"/>
        <v>1.65</v>
      </c>
      <c r="Q75" s="1">
        <f t="shared" si="39"/>
        <v>1.9388888888888889</v>
      </c>
      <c r="R75" s="1">
        <f t="shared" si="36"/>
        <v>2.1555555555555554</v>
      </c>
      <c r="S75" s="1">
        <f t="shared" si="36"/>
        <v>2.4500000000000002</v>
      </c>
      <c r="T75" s="1">
        <f t="shared" si="36"/>
        <v>2.6638888888888888</v>
      </c>
      <c r="U75" s="1">
        <f t="shared" si="36"/>
        <v>2.9527777777777779</v>
      </c>
      <c r="V75" s="1">
        <f t="shared" si="36"/>
        <v>3.1694444444444443</v>
      </c>
      <c r="W75" s="1">
        <f t="shared" si="36"/>
        <v>3.463888888888889</v>
      </c>
      <c r="X75" s="1">
        <f t="shared" si="36"/>
        <v>3.6777777777777776</v>
      </c>
      <c r="Y75" s="1">
        <f t="shared" si="36"/>
        <v>3.9666666666666668</v>
      </c>
      <c r="Z75" s="1">
        <f t="shared" si="36"/>
        <v>4.1833333333333336</v>
      </c>
      <c r="AA75" s="1">
        <f t="shared" si="36"/>
        <v>4.4777777777777779</v>
      </c>
      <c r="AB75" s="1">
        <f t="shared" si="36"/>
        <v>4.6916666666666664</v>
      </c>
      <c r="AC75" s="1">
        <f t="shared" si="36"/>
        <v>4.9833333333333334</v>
      </c>
      <c r="AD75" s="1">
        <f t="shared" si="36"/>
        <v>5.2</v>
      </c>
      <c r="AE75" s="1">
        <f t="shared" si="36"/>
        <v>5.2</v>
      </c>
      <c r="AF75" s="3">
        <f t="shared" si="36"/>
        <v>5.4944444444444445</v>
      </c>
      <c r="AG75" s="1">
        <f t="shared" si="36"/>
        <v>5.708333333333333</v>
      </c>
      <c r="AH75" s="1">
        <f t="shared" si="37"/>
        <v>5.9972222222222218</v>
      </c>
      <c r="AI75" s="1">
        <f t="shared" si="31"/>
        <v>5.9972222222222218</v>
      </c>
      <c r="AJ75" s="1">
        <f t="shared" si="31"/>
        <v>6.2138888888888886</v>
      </c>
      <c r="AK75" s="1">
        <f t="shared" si="31"/>
        <v>6.2138888888888886</v>
      </c>
      <c r="AL75" s="1">
        <f t="shared" si="31"/>
        <v>6.7222222222222223</v>
      </c>
      <c r="AM75" s="1">
        <f t="shared" si="31"/>
        <v>7.2277777777777779</v>
      </c>
      <c r="AN75" s="1">
        <f t="shared" si="31"/>
        <v>7.2277777777777779</v>
      </c>
      <c r="AO75" s="1">
        <f t="shared" si="31"/>
        <v>7.7361111111111107</v>
      </c>
      <c r="AP75" s="1">
        <f t="shared" si="31"/>
        <v>8.2416666666666671</v>
      </c>
      <c r="AQ75" s="1">
        <f t="shared" si="31"/>
        <v>8.2416666666666671</v>
      </c>
      <c r="AR75" s="1">
        <f t="shared" si="31"/>
        <v>8.75</v>
      </c>
      <c r="AS75" s="1">
        <f t="shared" si="31"/>
        <v>9.2583333333333329</v>
      </c>
      <c r="AT75" s="1">
        <f t="shared" si="31"/>
        <v>9.7666666666666675</v>
      </c>
      <c r="AU75" s="1">
        <f t="shared" si="31"/>
        <v>10.272222222222222</v>
      </c>
      <c r="AV75" s="1">
        <f t="shared" si="31"/>
        <v>10.272222222222222</v>
      </c>
      <c r="AW75" s="1">
        <f t="shared" si="31"/>
        <v>14.838888888888889</v>
      </c>
      <c r="AX75" s="1">
        <f t="shared" si="31"/>
        <v>15.344444444444445</v>
      </c>
      <c r="AY75" s="1">
        <f t="shared" si="32"/>
        <v>15.852777777777778</v>
      </c>
      <c r="AZ75" s="1">
        <f t="shared" si="32"/>
        <v>16.358333333333334</v>
      </c>
      <c r="BA75" s="1">
        <f t="shared" si="32"/>
        <v>16.866666666666667</v>
      </c>
      <c r="BB75" s="1">
        <f t="shared" si="32"/>
        <v>17.375</v>
      </c>
      <c r="BC75" s="1">
        <f t="shared" si="32"/>
        <v>17.883333333333333</v>
      </c>
      <c r="BD75" s="1">
        <f t="shared" si="32"/>
        <v>18.388888888888889</v>
      </c>
      <c r="BE75" s="1">
        <f t="shared" si="32"/>
        <v>18.388888888888889</v>
      </c>
      <c r="BF75" s="1">
        <f t="shared" si="32"/>
        <v>27.013888888888889</v>
      </c>
      <c r="BG75" s="1">
        <f t="shared" si="32"/>
        <v>27.519444444444446</v>
      </c>
      <c r="BH75" s="1">
        <f t="shared" si="32"/>
        <v>28.027777777777779</v>
      </c>
      <c r="BI75" s="1">
        <f t="shared" si="32"/>
        <v>28.533333333333335</v>
      </c>
      <c r="BJ75" s="1">
        <f t="shared" si="32"/>
        <v>29.041666666666668</v>
      </c>
      <c r="BK75" s="1">
        <f t="shared" si="32"/>
        <v>29.55</v>
      </c>
      <c r="BL75" s="1">
        <f t="shared" si="32"/>
        <v>30.058333333333334</v>
      </c>
      <c r="BM75" s="1">
        <f t="shared" si="32"/>
        <v>30.56388888888889</v>
      </c>
      <c r="BN75" s="1">
        <f t="shared" si="32"/>
        <v>31.072222222222223</v>
      </c>
      <c r="BO75" s="1">
        <f t="shared" si="33"/>
        <v>31.072222222222223</v>
      </c>
      <c r="BP75" s="1">
        <f t="shared" si="33"/>
        <v>31.577777777777779</v>
      </c>
      <c r="BQ75" s="1">
        <f t="shared" si="33"/>
        <v>32.086111111111109</v>
      </c>
      <c r="BR75" s="1">
        <f t="shared" si="33"/>
        <v>32.591666666666669</v>
      </c>
      <c r="BS75" s="1">
        <f t="shared" si="33"/>
        <v>33.1</v>
      </c>
      <c r="BT75" s="1">
        <f t="shared" si="33"/>
        <v>33.608333333333334</v>
      </c>
      <c r="BU75" s="1">
        <f t="shared" si="33"/>
        <v>34.116666666666667</v>
      </c>
      <c r="BV75" s="1">
        <f t="shared" si="33"/>
        <v>34.116666666666667</v>
      </c>
      <c r="BW75" s="1">
        <f t="shared" si="33"/>
        <v>34.62222222222222</v>
      </c>
      <c r="BX75" s="1">
        <f t="shared" si="33"/>
        <v>35.130555555555553</v>
      </c>
      <c r="BY75" s="1">
        <f t="shared" si="33"/>
        <v>35.636111111111113</v>
      </c>
      <c r="BZ75" s="1">
        <f t="shared" si="33"/>
        <v>36.144444444444446</v>
      </c>
      <c r="CA75" s="1">
        <f t="shared" si="33"/>
        <v>36.65</v>
      </c>
      <c r="CB75" s="1">
        <f t="shared" si="33"/>
        <v>37.158333333333331</v>
      </c>
      <c r="CC75" s="1">
        <f t="shared" si="33"/>
        <v>37.666666666666664</v>
      </c>
      <c r="CD75" s="1">
        <f t="shared" si="33"/>
        <v>38.174999999999997</v>
      </c>
      <c r="CE75" s="1">
        <f t="shared" si="34"/>
        <v>38.680555555555557</v>
      </c>
      <c r="CF75" s="1">
        <f t="shared" si="34"/>
        <v>39.18888888888889</v>
      </c>
      <c r="CG75" s="1">
        <f t="shared" si="34"/>
        <v>39.694444444444443</v>
      </c>
      <c r="CH75" s="1">
        <f t="shared" si="34"/>
        <v>40.202777777777776</v>
      </c>
      <c r="CI75" s="1">
        <f t="shared" si="34"/>
        <v>40.708333333333336</v>
      </c>
      <c r="CJ75" s="1">
        <f t="shared" si="34"/>
        <v>41.216666666666669</v>
      </c>
      <c r="CK75" s="1">
        <f t="shared" si="34"/>
        <v>41.725000000000001</v>
      </c>
      <c r="CL75" s="1">
        <f t="shared" si="34"/>
        <v>42.233333333333334</v>
      </c>
      <c r="CM75" s="1">
        <f t="shared" si="34"/>
        <v>42.738888888888887</v>
      </c>
      <c r="CN75" s="1">
        <f t="shared" si="34"/>
        <v>43.24722222222222</v>
      </c>
      <c r="CO75" s="1">
        <f t="shared" si="34"/>
        <v>43.75277777777778</v>
      </c>
      <c r="CP75" s="1">
        <f t="shared" si="34"/>
        <v>44.261111111111113</v>
      </c>
      <c r="CQ75" s="1">
        <f t="shared" si="34"/>
        <v>44.766666666666666</v>
      </c>
      <c r="CR75" s="1">
        <f t="shared" si="34"/>
        <v>45.274999999999999</v>
      </c>
      <c r="CS75" s="1">
        <f t="shared" si="34"/>
        <v>45.783333333333331</v>
      </c>
      <c r="CT75" s="1">
        <f t="shared" si="34"/>
        <v>46.291666666666664</v>
      </c>
      <c r="CU75" s="1">
        <f t="shared" si="35"/>
        <v>46.797222222222224</v>
      </c>
      <c r="CV75" s="1">
        <f t="shared" si="35"/>
        <v>47.305555555555557</v>
      </c>
      <c r="CW75" s="1">
        <f t="shared" si="35"/>
        <v>47.81111111111111</v>
      </c>
      <c r="CX75" s="1">
        <f t="shared" si="35"/>
        <v>48.319444444444443</v>
      </c>
      <c r="CY75" s="1">
        <f t="shared" si="35"/>
        <v>48.825000000000003</v>
      </c>
      <c r="CZ75" s="1">
        <f t="shared" si="35"/>
        <v>49.333333333333336</v>
      </c>
      <c r="DA75" s="1">
        <f t="shared" si="35"/>
        <v>49.841666666666669</v>
      </c>
      <c r="DB75" s="1">
        <f t="shared" si="35"/>
        <v>50.35</v>
      </c>
      <c r="DC75" s="1">
        <f t="shared" si="35"/>
        <v>50.35</v>
      </c>
    </row>
    <row r="76" spans="1:107" x14ac:dyDescent="0.25">
      <c r="A76">
        <f t="shared" si="38"/>
        <v>2</v>
      </c>
      <c r="B76" s="2">
        <f>yields_BRUTE!B76</f>
        <v>42114</v>
      </c>
      <c r="C76" s="1">
        <f t="shared" si="39"/>
        <v>-0.1388888888888889</v>
      </c>
      <c r="D76" s="1">
        <f t="shared" si="39"/>
        <v>-0.1</v>
      </c>
      <c r="E76" s="1">
        <f t="shared" si="39"/>
        <v>0.11666666666666667</v>
      </c>
      <c r="F76" s="1">
        <f t="shared" si="39"/>
        <v>0.37222222222222223</v>
      </c>
      <c r="G76" s="1">
        <f t="shared" si="39"/>
        <v>0.41111111111111109</v>
      </c>
      <c r="H76" s="1">
        <f t="shared" si="39"/>
        <v>0.625</v>
      </c>
      <c r="I76" s="1">
        <f t="shared" si="39"/>
        <v>0.625</v>
      </c>
      <c r="J76" s="1">
        <f t="shared" si="39"/>
        <v>0.87777777777777777</v>
      </c>
      <c r="K76" s="1">
        <f t="shared" si="39"/>
        <v>0.91666666666666663</v>
      </c>
      <c r="L76" s="1">
        <f t="shared" si="39"/>
        <v>1.1333333333333333</v>
      </c>
      <c r="M76" s="1">
        <f t="shared" si="39"/>
        <v>1.3888888888888888</v>
      </c>
      <c r="N76" s="1">
        <f t="shared" si="39"/>
        <v>1.3888888888888888</v>
      </c>
      <c r="O76" s="1">
        <f t="shared" si="39"/>
        <v>1.4277777777777778</v>
      </c>
      <c r="P76" s="1">
        <f t="shared" si="39"/>
        <v>1.6416666666666666</v>
      </c>
      <c r="Q76" s="1">
        <f t="shared" si="39"/>
        <v>1.9305555555555556</v>
      </c>
      <c r="R76" s="1">
        <f t="shared" si="36"/>
        <v>2.1472222222222221</v>
      </c>
      <c r="S76" s="1">
        <f t="shared" si="36"/>
        <v>2.4416666666666669</v>
      </c>
      <c r="T76" s="1">
        <f t="shared" si="36"/>
        <v>2.6555555555555554</v>
      </c>
      <c r="U76" s="1">
        <f t="shared" si="36"/>
        <v>2.9444444444444446</v>
      </c>
      <c r="V76" s="1">
        <f t="shared" si="36"/>
        <v>3.161111111111111</v>
      </c>
      <c r="W76" s="1">
        <f t="shared" si="36"/>
        <v>3.4555555555555557</v>
      </c>
      <c r="X76" s="1">
        <f t="shared" si="36"/>
        <v>3.6694444444444443</v>
      </c>
      <c r="Y76" s="1">
        <f t="shared" si="36"/>
        <v>3.9583333333333335</v>
      </c>
      <c r="Z76" s="1">
        <f t="shared" si="36"/>
        <v>4.1749999999999998</v>
      </c>
      <c r="AA76" s="1">
        <f t="shared" si="36"/>
        <v>4.4694444444444441</v>
      </c>
      <c r="AB76" s="1">
        <f t="shared" si="36"/>
        <v>4.6833333333333336</v>
      </c>
      <c r="AC76" s="1">
        <f t="shared" si="36"/>
        <v>4.9749999999999996</v>
      </c>
      <c r="AD76" s="1">
        <f t="shared" si="36"/>
        <v>5.1916666666666664</v>
      </c>
      <c r="AE76" s="1">
        <f t="shared" si="36"/>
        <v>5.1916666666666664</v>
      </c>
      <c r="AF76" s="3">
        <f t="shared" si="36"/>
        <v>5.4861111111111107</v>
      </c>
      <c r="AG76" s="1">
        <f t="shared" si="36"/>
        <v>5.7</v>
      </c>
      <c r="AH76" s="1">
        <f t="shared" si="37"/>
        <v>5.9888888888888889</v>
      </c>
      <c r="AI76" s="1">
        <f t="shared" si="31"/>
        <v>5.9888888888888889</v>
      </c>
      <c r="AJ76" s="1">
        <f t="shared" si="31"/>
        <v>6.2055555555555557</v>
      </c>
      <c r="AK76" s="1">
        <f t="shared" si="31"/>
        <v>6.2055555555555557</v>
      </c>
      <c r="AL76" s="1">
        <f t="shared" si="31"/>
        <v>6.7138888888888886</v>
      </c>
      <c r="AM76" s="1">
        <f t="shared" si="31"/>
        <v>7.2194444444444441</v>
      </c>
      <c r="AN76" s="1">
        <f t="shared" si="31"/>
        <v>7.2194444444444441</v>
      </c>
      <c r="AO76" s="1">
        <f t="shared" si="31"/>
        <v>7.7277777777777779</v>
      </c>
      <c r="AP76" s="1">
        <f t="shared" si="31"/>
        <v>8.2333333333333325</v>
      </c>
      <c r="AQ76" s="1">
        <f t="shared" si="31"/>
        <v>8.2333333333333325</v>
      </c>
      <c r="AR76" s="1">
        <f t="shared" si="31"/>
        <v>8.7416666666666671</v>
      </c>
      <c r="AS76" s="1">
        <f t="shared" si="31"/>
        <v>9.25</v>
      </c>
      <c r="AT76" s="1">
        <f t="shared" si="31"/>
        <v>9.7583333333333329</v>
      </c>
      <c r="AU76" s="1">
        <f t="shared" si="31"/>
        <v>10.263888888888889</v>
      </c>
      <c r="AV76" s="1">
        <f t="shared" si="31"/>
        <v>10.263888888888889</v>
      </c>
      <c r="AW76" s="1">
        <f t="shared" si="31"/>
        <v>14.830555555555556</v>
      </c>
      <c r="AX76" s="1">
        <f t="shared" si="31"/>
        <v>15.33611111111111</v>
      </c>
      <c r="AY76" s="1">
        <f t="shared" si="32"/>
        <v>15.844444444444445</v>
      </c>
      <c r="AZ76" s="1">
        <f t="shared" si="32"/>
        <v>16.350000000000001</v>
      </c>
      <c r="BA76" s="1">
        <f t="shared" si="32"/>
        <v>16.858333333333334</v>
      </c>
      <c r="BB76" s="1">
        <f t="shared" si="32"/>
        <v>17.366666666666667</v>
      </c>
      <c r="BC76" s="1">
        <f t="shared" si="32"/>
        <v>17.875</v>
      </c>
      <c r="BD76" s="1">
        <f t="shared" si="32"/>
        <v>18.380555555555556</v>
      </c>
      <c r="BE76" s="1">
        <f t="shared" si="32"/>
        <v>18.380555555555556</v>
      </c>
      <c r="BF76" s="1">
        <f t="shared" si="32"/>
        <v>27.005555555555556</v>
      </c>
      <c r="BG76" s="1">
        <f t="shared" si="32"/>
        <v>27.511111111111113</v>
      </c>
      <c r="BH76" s="1">
        <f t="shared" si="32"/>
        <v>28.019444444444446</v>
      </c>
      <c r="BI76" s="1">
        <f t="shared" si="32"/>
        <v>28.524999999999999</v>
      </c>
      <c r="BJ76" s="1">
        <f t="shared" si="32"/>
        <v>29.033333333333335</v>
      </c>
      <c r="BK76" s="1">
        <f t="shared" si="32"/>
        <v>29.541666666666668</v>
      </c>
      <c r="BL76" s="1">
        <f t="shared" si="32"/>
        <v>30.05</v>
      </c>
      <c r="BM76" s="1">
        <f t="shared" si="32"/>
        <v>30.555555555555557</v>
      </c>
      <c r="BN76" s="1">
        <f t="shared" si="32"/>
        <v>31.06388888888889</v>
      </c>
      <c r="BO76" s="1">
        <f t="shared" si="33"/>
        <v>31.06388888888889</v>
      </c>
      <c r="BP76" s="1">
        <f t="shared" si="33"/>
        <v>31.569444444444443</v>
      </c>
      <c r="BQ76" s="1">
        <f t="shared" si="33"/>
        <v>32.077777777777776</v>
      </c>
      <c r="BR76" s="1">
        <f t="shared" si="33"/>
        <v>32.583333333333336</v>
      </c>
      <c r="BS76" s="1">
        <f t="shared" si="33"/>
        <v>33.091666666666669</v>
      </c>
      <c r="BT76" s="1">
        <f t="shared" si="33"/>
        <v>33.6</v>
      </c>
      <c r="BU76" s="1">
        <f t="shared" si="33"/>
        <v>34.108333333333334</v>
      </c>
      <c r="BV76" s="1">
        <f t="shared" si="33"/>
        <v>34.108333333333334</v>
      </c>
      <c r="BW76" s="1">
        <f t="shared" si="33"/>
        <v>34.613888888888887</v>
      </c>
      <c r="BX76" s="1">
        <f t="shared" si="33"/>
        <v>35.12222222222222</v>
      </c>
      <c r="BY76" s="1">
        <f t="shared" si="33"/>
        <v>35.62777777777778</v>
      </c>
      <c r="BZ76" s="1">
        <f t="shared" si="33"/>
        <v>36.136111111111113</v>
      </c>
      <c r="CA76" s="1">
        <f t="shared" si="33"/>
        <v>36.641666666666666</v>
      </c>
      <c r="CB76" s="1">
        <f t="shared" si="33"/>
        <v>37.15</v>
      </c>
      <c r="CC76" s="1">
        <f t="shared" si="33"/>
        <v>37.658333333333331</v>
      </c>
      <c r="CD76" s="1">
        <f t="shared" si="33"/>
        <v>38.166666666666664</v>
      </c>
      <c r="CE76" s="1">
        <f t="shared" si="34"/>
        <v>38.672222222222224</v>
      </c>
      <c r="CF76" s="1">
        <f t="shared" si="34"/>
        <v>39.180555555555557</v>
      </c>
      <c r="CG76" s="1">
        <f t="shared" si="34"/>
        <v>39.68611111111111</v>
      </c>
      <c r="CH76" s="1">
        <f t="shared" si="34"/>
        <v>40.194444444444443</v>
      </c>
      <c r="CI76" s="1">
        <f t="shared" si="34"/>
        <v>40.700000000000003</v>
      </c>
      <c r="CJ76" s="1">
        <f t="shared" si="34"/>
        <v>41.208333333333336</v>
      </c>
      <c r="CK76" s="1">
        <f t="shared" si="34"/>
        <v>41.716666666666669</v>
      </c>
      <c r="CL76" s="1">
        <f t="shared" si="34"/>
        <v>42.225000000000001</v>
      </c>
      <c r="CM76" s="1">
        <f t="shared" si="34"/>
        <v>42.730555555555554</v>
      </c>
      <c r="CN76" s="1">
        <f t="shared" si="34"/>
        <v>43.238888888888887</v>
      </c>
      <c r="CO76" s="1">
        <f t="shared" si="34"/>
        <v>43.744444444444447</v>
      </c>
      <c r="CP76" s="1">
        <f t="shared" si="34"/>
        <v>44.25277777777778</v>
      </c>
      <c r="CQ76" s="1">
        <f t="shared" si="34"/>
        <v>44.758333333333333</v>
      </c>
      <c r="CR76" s="1">
        <f t="shared" si="34"/>
        <v>45.266666666666666</v>
      </c>
      <c r="CS76" s="1">
        <f t="shared" si="34"/>
        <v>45.774999999999999</v>
      </c>
      <c r="CT76" s="1">
        <f t="shared" si="34"/>
        <v>46.283333333333331</v>
      </c>
      <c r="CU76" s="1">
        <f t="shared" si="35"/>
        <v>46.788888888888891</v>
      </c>
      <c r="CV76" s="1">
        <f t="shared" si="35"/>
        <v>47.297222222222224</v>
      </c>
      <c r="CW76" s="1">
        <f t="shared" si="35"/>
        <v>47.802777777777777</v>
      </c>
      <c r="CX76" s="1">
        <f t="shared" si="35"/>
        <v>48.31111111111111</v>
      </c>
      <c r="CY76" s="1">
        <f t="shared" si="35"/>
        <v>48.81666666666667</v>
      </c>
      <c r="CZ76" s="1">
        <f t="shared" si="35"/>
        <v>49.325000000000003</v>
      </c>
      <c r="DA76" s="1">
        <f t="shared" si="35"/>
        <v>49.833333333333336</v>
      </c>
      <c r="DB76" s="1">
        <f t="shared" si="35"/>
        <v>50.341666666666669</v>
      </c>
      <c r="DC76" s="1">
        <f t="shared" si="35"/>
        <v>50.341666666666669</v>
      </c>
    </row>
    <row r="77" spans="1:107" x14ac:dyDescent="0.25">
      <c r="A77">
        <f t="shared" si="38"/>
        <v>3</v>
      </c>
      <c r="B77" s="2">
        <f>yields_BRUTE!B77</f>
        <v>42115</v>
      </c>
      <c r="C77" s="1">
        <f t="shared" si="39"/>
        <v>-0.14166666666666666</v>
      </c>
      <c r="D77" s="1">
        <f t="shared" si="39"/>
        <v>-0.10277777777777777</v>
      </c>
      <c r="E77" s="1">
        <f t="shared" si="39"/>
        <v>0.11388888888888889</v>
      </c>
      <c r="F77" s="1">
        <f t="shared" si="39"/>
        <v>0.36944444444444446</v>
      </c>
      <c r="G77" s="1">
        <f t="shared" si="39"/>
        <v>0.40833333333333333</v>
      </c>
      <c r="H77" s="1">
        <f t="shared" si="39"/>
        <v>0.62222222222222223</v>
      </c>
      <c r="I77" s="1">
        <f t="shared" si="39"/>
        <v>0.62222222222222223</v>
      </c>
      <c r="J77" s="1">
        <f t="shared" si="39"/>
        <v>0.875</v>
      </c>
      <c r="K77" s="1">
        <f t="shared" si="39"/>
        <v>0.91388888888888886</v>
      </c>
      <c r="L77" s="1">
        <f t="shared" si="39"/>
        <v>1.1305555555555555</v>
      </c>
      <c r="M77" s="1">
        <f t="shared" si="39"/>
        <v>1.3861111111111111</v>
      </c>
      <c r="N77" s="1">
        <f t="shared" si="39"/>
        <v>1.3861111111111111</v>
      </c>
      <c r="O77" s="1">
        <f t="shared" si="39"/>
        <v>1.425</v>
      </c>
      <c r="P77" s="1">
        <f t="shared" si="39"/>
        <v>1.6388888888888888</v>
      </c>
      <c r="Q77" s="1">
        <f t="shared" si="39"/>
        <v>1.9277777777777778</v>
      </c>
      <c r="R77" s="1">
        <f t="shared" si="36"/>
        <v>2.1444444444444444</v>
      </c>
      <c r="S77" s="1">
        <f t="shared" si="36"/>
        <v>2.4388888888888891</v>
      </c>
      <c r="T77" s="1">
        <f t="shared" si="36"/>
        <v>2.6527777777777777</v>
      </c>
      <c r="U77" s="1">
        <f t="shared" si="36"/>
        <v>2.9416666666666669</v>
      </c>
      <c r="V77" s="1">
        <f t="shared" si="36"/>
        <v>3.1583333333333332</v>
      </c>
      <c r="W77" s="1">
        <f t="shared" si="36"/>
        <v>3.4527777777777779</v>
      </c>
      <c r="X77" s="1">
        <f t="shared" si="36"/>
        <v>3.6666666666666665</v>
      </c>
      <c r="Y77" s="1">
        <f t="shared" si="36"/>
        <v>3.9555555555555557</v>
      </c>
      <c r="Z77" s="1">
        <f t="shared" si="36"/>
        <v>4.1722222222222225</v>
      </c>
      <c r="AA77" s="1">
        <f t="shared" si="36"/>
        <v>4.4666666666666668</v>
      </c>
      <c r="AB77" s="1">
        <f t="shared" si="36"/>
        <v>4.6805555555555554</v>
      </c>
      <c r="AC77" s="1">
        <f t="shared" si="36"/>
        <v>4.9722222222222223</v>
      </c>
      <c r="AD77" s="1">
        <f t="shared" si="36"/>
        <v>5.1888888888888891</v>
      </c>
      <c r="AE77" s="1">
        <f t="shared" si="36"/>
        <v>5.1888888888888891</v>
      </c>
      <c r="AF77" s="3">
        <f t="shared" si="36"/>
        <v>5.4833333333333334</v>
      </c>
      <c r="AG77" s="1">
        <f t="shared" si="36"/>
        <v>5.697222222222222</v>
      </c>
      <c r="AH77" s="1">
        <f t="shared" si="37"/>
        <v>5.9861111111111107</v>
      </c>
      <c r="AI77" s="1">
        <f t="shared" si="31"/>
        <v>5.9861111111111107</v>
      </c>
      <c r="AJ77" s="1">
        <f t="shared" si="31"/>
        <v>6.2027777777777775</v>
      </c>
      <c r="AK77" s="1">
        <f t="shared" si="31"/>
        <v>6.2027777777777775</v>
      </c>
      <c r="AL77" s="1">
        <f t="shared" si="31"/>
        <v>6.7111111111111112</v>
      </c>
      <c r="AM77" s="1">
        <f t="shared" si="31"/>
        <v>7.2166666666666668</v>
      </c>
      <c r="AN77" s="1">
        <f t="shared" si="31"/>
        <v>7.2166666666666668</v>
      </c>
      <c r="AO77" s="1">
        <f t="shared" si="31"/>
        <v>7.7249999999999996</v>
      </c>
      <c r="AP77" s="1">
        <f t="shared" si="31"/>
        <v>8.2305555555555561</v>
      </c>
      <c r="AQ77" s="1">
        <f t="shared" si="31"/>
        <v>8.2305555555555561</v>
      </c>
      <c r="AR77" s="1">
        <f t="shared" si="31"/>
        <v>8.7388888888888889</v>
      </c>
      <c r="AS77" s="1">
        <f t="shared" si="31"/>
        <v>9.2472222222222218</v>
      </c>
      <c r="AT77" s="1">
        <f t="shared" si="31"/>
        <v>9.7555555555555564</v>
      </c>
      <c r="AU77" s="1">
        <f t="shared" si="31"/>
        <v>10.261111111111111</v>
      </c>
      <c r="AV77" s="1">
        <f t="shared" si="31"/>
        <v>10.261111111111111</v>
      </c>
      <c r="AW77" s="1">
        <f t="shared" si="31"/>
        <v>14.827777777777778</v>
      </c>
      <c r="AX77" s="1">
        <f t="shared" si="31"/>
        <v>15.333333333333334</v>
      </c>
      <c r="AY77" s="1">
        <f t="shared" si="32"/>
        <v>15.841666666666667</v>
      </c>
      <c r="AZ77" s="1">
        <f t="shared" si="32"/>
        <v>16.347222222222221</v>
      </c>
      <c r="BA77" s="1">
        <f t="shared" si="32"/>
        <v>16.855555555555554</v>
      </c>
      <c r="BB77" s="1">
        <f t="shared" si="32"/>
        <v>17.363888888888887</v>
      </c>
      <c r="BC77" s="1">
        <f t="shared" si="32"/>
        <v>17.872222222222224</v>
      </c>
      <c r="BD77" s="1">
        <f t="shared" si="32"/>
        <v>18.377777777777776</v>
      </c>
      <c r="BE77" s="1">
        <f t="shared" si="32"/>
        <v>18.377777777777776</v>
      </c>
      <c r="BF77" s="1">
        <f t="shared" si="32"/>
        <v>27.002777777777776</v>
      </c>
      <c r="BG77" s="1">
        <f t="shared" si="32"/>
        <v>27.508333333333333</v>
      </c>
      <c r="BH77" s="1">
        <f t="shared" si="32"/>
        <v>28.016666666666666</v>
      </c>
      <c r="BI77" s="1">
        <f t="shared" si="32"/>
        <v>28.522222222222222</v>
      </c>
      <c r="BJ77" s="1">
        <f t="shared" si="32"/>
        <v>29.030555555555555</v>
      </c>
      <c r="BK77" s="1">
        <f t="shared" si="32"/>
        <v>29.538888888888888</v>
      </c>
      <c r="BL77" s="1">
        <f t="shared" si="32"/>
        <v>30.047222222222221</v>
      </c>
      <c r="BM77" s="1">
        <f t="shared" si="32"/>
        <v>30.552777777777777</v>
      </c>
      <c r="BN77" s="1">
        <f t="shared" si="32"/>
        <v>31.06111111111111</v>
      </c>
      <c r="BO77" s="1">
        <f t="shared" si="33"/>
        <v>31.06111111111111</v>
      </c>
      <c r="BP77" s="1">
        <f t="shared" si="33"/>
        <v>31.566666666666666</v>
      </c>
      <c r="BQ77" s="1">
        <f t="shared" si="33"/>
        <v>32.075000000000003</v>
      </c>
      <c r="BR77" s="1">
        <f t="shared" si="33"/>
        <v>32.580555555555556</v>
      </c>
      <c r="BS77" s="1">
        <f t="shared" si="33"/>
        <v>33.088888888888889</v>
      </c>
      <c r="BT77" s="1">
        <f t="shared" si="33"/>
        <v>33.597222222222221</v>
      </c>
      <c r="BU77" s="1">
        <f t="shared" si="33"/>
        <v>34.105555555555554</v>
      </c>
      <c r="BV77" s="1">
        <f t="shared" si="33"/>
        <v>34.105555555555554</v>
      </c>
      <c r="BW77" s="1">
        <f t="shared" si="33"/>
        <v>34.611111111111114</v>
      </c>
      <c r="BX77" s="1">
        <f t="shared" si="33"/>
        <v>35.119444444444447</v>
      </c>
      <c r="BY77" s="1">
        <f t="shared" si="33"/>
        <v>35.625</v>
      </c>
      <c r="BZ77" s="1">
        <f t="shared" si="33"/>
        <v>36.133333333333333</v>
      </c>
      <c r="CA77" s="1">
        <f t="shared" si="33"/>
        <v>36.638888888888886</v>
      </c>
      <c r="CB77" s="1">
        <f t="shared" si="33"/>
        <v>37.147222222222226</v>
      </c>
      <c r="CC77" s="1">
        <f t="shared" si="33"/>
        <v>37.655555555555559</v>
      </c>
      <c r="CD77" s="1">
        <f t="shared" si="33"/>
        <v>38.163888888888891</v>
      </c>
      <c r="CE77" s="1">
        <f t="shared" si="34"/>
        <v>38.669444444444444</v>
      </c>
      <c r="CF77" s="1">
        <f t="shared" si="34"/>
        <v>39.177777777777777</v>
      </c>
      <c r="CG77" s="1">
        <f t="shared" si="34"/>
        <v>39.68333333333333</v>
      </c>
      <c r="CH77" s="1">
        <f t="shared" si="34"/>
        <v>40.19166666666667</v>
      </c>
      <c r="CI77" s="1">
        <f t="shared" si="34"/>
        <v>40.697222222222223</v>
      </c>
      <c r="CJ77" s="1">
        <f t="shared" si="34"/>
        <v>41.205555555555556</v>
      </c>
      <c r="CK77" s="1">
        <f t="shared" si="34"/>
        <v>41.713888888888889</v>
      </c>
      <c r="CL77" s="1">
        <f t="shared" si="34"/>
        <v>42.222222222222221</v>
      </c>
      <c r="CM77" s="1">
        <f t="shared" si="34"/>
        <v>42.727777777777774</v>
      </c>
      <c r="CN77" s="1">
        <f t="shared" si="34"/>
        <v>43.236111111111114</v>
      </c>
      <c r="CO77" s="1">
        <f t="shared" si="34"/>
        <v>43.741666666666667</v>
      </c>
      <c r="CP77" s="1">
        <f t="shared" si="34"/>
        <v>44.25</v>
      </c>
      <c r="CQ77" s="1">
        <f t="shared" si="34"/>
        <v>44.755555555555553</v>
      </c>
      <c r="CR77" s="1">
        <f t="shared" si="34"/>
        <v>45.263888888888886</v>
      </c>
      <c r="CS77" s="1">
        <f t="shared" si="34"/>
        <v>45.772222222222226</v>
      </c>
      <c r="CT77" s="1">
        <f t="shared" si="34"/>
        <v>46.280555555555559</v>
      </c>
      <c r="CU77" s="1">
        <f t="shared" si="35"/>
        <v>46.786111111111111</v>
      </c>
      <c r="CV77" s="1">
        <f t="shared" si="35"/>
        <v>47.294444444444444</v>
      </c>
      <c r="CW77" s="1">
        <f t="shared" si="35"/>
        <v>47.8</v>
      </c>
      <c r="CX77" s="1">
        <f t="shared" si="35"/>
        <v>48.30833333333333</v>
      </c>
      <c r="CY77" s="1">
        <f t="shared" si="35"/>
        <v>48.81388888888889</v>
      </c>
      <c r="CZ77" s="1">
        <f t="shared" si="35"/>
        <v>49.322222222222223</v>
      </c>
      <c r="DA77" s="1">
        <f t="shared" si="35"/>
        <v>49.830555555555556</v>
      </c>
      <c r="DB77" s="1">
        <f t="shared" si="35"/>
        <v>50.338888888888889</v>
      </c>
      <c r="DC77" s="1">
        <f t="shared" si="35"/>
        <v>50.338888888888889</v>
      </c>
    </row>
    <row r="78" spans="1:107" x14ac:dyDescent="0.25">
      <c r="A78">
        <f t="shared" si="38"/>
        <v>4</v>
      </c>
      <c r="B78" s="2">
        <f>yields_BRUTE!B78</f>
        <v>42116</v>
      </c>
      <c r="C78" s="1">
        <f t="shared" si="39"/>
        <v>-0.14444444444444443</v>
      </c>
      <c r="D78" s="1">
        <f t="shared" si="39"/>
        <v>-0.10555555555555556</v>
      </c>
      <c r="E78" s="1">
        <f t="shared" si="39"/>
        <v>0.1111111111111111</v>
      </c>
      <c r="F78" s="1">
        <f t="shared" si="39"/>
        <v>0.36666666666666664</v>
      </c>
      <c r="G78" s="1">
        <f t="shared" si="39"/>
        <v>0.40555555555555556</v>
      </c>
      <c r="H78" s="1">
        <f t="shared" si="39"/>
        <v>0.61944444444444446</v>
      </c>
      <c r="I78" s="1">
        <f t="shared" si="39"/>
        <v>0.61944444444444446</v>
      </c>
      <c r="J78" s="1">
        <f t="shared" si="39"/>
        <v>0.87222222222222223</v>
      </c>
      <c r="K78" s="1">
        <f t="shared" si="39"/>
        <v>0.91111111111111109</v>
      </c>
      <c r="L78" s="1">
        <f t="shared" si="39"/>
        <v>1.1277777777777778</v>
      </c>
      <c r="M78" s="1">
        <f t="shared" si="39"/>
        <v>1.3833333333333333</v>
      </c>
      <c r="N78" s="1">
        <f t="shared" si="39"/>
        <v>1.3833333333333333</v>
      </c>
      <c r="O78" s="1">
        <f t="shared" si="39"/>
        <v>1.4222222222222223</v>
      </c>
      <c r="P78" s="1">
        <f t="shared" si="39"/>
        <v>1.6361111111111111</v>
      </c>
      <c r="Q78" s="1">
        <f t="shared" si="39"/>
        <v>1.925</v>
      </c>
      <c r="R78" s="1">
        <f t="shared" si="36"/>
        <v>2.1416666666666666</v>
      </c>
      <c r="S78" s="1">
        <f t="shared" si="36"/>
        <v>2.4361111111111109</v>
      </c>
      <c r="T78" s="1">
        <f t="shared" si="36"/>
        <v>2.65</v>
      </c>
      <c r="U78" s="1">
        <f t="shared" si="36"/>
        <v>2.9388888888888891</v>
      </c>
      <c r="V78" s="1">
        <f t="shared" si="36"/>
        <v>3.1555555555555554</v>
      </c>
      <c r="W78" s="1">
        <f t="shared" si="36"/>
        <v>3.45</v>
      </c>
      <c r="X78" s="1">
        <f t="shared" si="36"/>
        <v>3.6638888888888888</v>
      </c>
      <c r="Y78" s="1">
        <f t="shared" si="36"/>
        <v>3.9527777777777779</v>
      </c>
      <c r="Z78" s="1">
        <f t="shared" si="36"/>
        <v>4.1694444444444443</v>
      </c>
      <c r="AA78" s="1">
        <f t="shared" si="36"/>
        <v>4.4638888888888886</v>
      </c>
      <c r="AB78" s="1">
        <f t="shared" si="36"/>
        <v>4.677777777777778</v>
      </c>
      <c r="AC78" s="1">
        <f t="shared" si="36"/>
        <v>4.9694444444444441</v>
      </c>
      <c r="AD78" s="1">
        <f t="shared" si="36"/>
        <v>5.1861111111111109</v>
      </c>
      <c r="AE78" s="1">
        <f t="shared" si="36"/>
        <v>5.1861111111111109</v>
      </c>
      <c r="AF78" s="3">
        <f t="shared" si="36"/>
        <v>5.4805555555555552</v>
      </c>
      <c r="AG78" s="1">
        <f t="shared" si="36"/>
        <v>5.6944444444444446</v>
      </c>
      <c r="AH78" s="1">
        <f t="shared" si="37"/>
        <v>5.9833333333333334</v>
      </c>
      <c r="AI78" s="1">
        <f t="shared" si="31"/>
        <v>5.9833333333333334</v>
      </c>
      <c r="AJ78" s="1">
        <f t="shared" si="31"/>
        <v>6.2</v>
      </c>
      <c r="AK78" s="1">
        <f t="shared" si="31"/>
        <v>6.2</v>
      </c>
      <c r="AL78" s="1">
        <f t="shared" si="31"/>
        <v>6.708333333333333</v>
      </c>
      <c r="AM78" s="1">
        <f t="shared" si="31"/>
        <v>7.2138888888888886</v>
      </c>
      <c r="AN78" s="1">
        <f t="shared" si="31"/>
        <v>7.2138888888888886</v>
      </c>
      <c r="AO78" s="1">
        <f t="shared" si="31"/>
        <v>7.7222222222222223</v>
      </c>
      <c r="AP78" s="1">
        <f t="shared" si="31"/>
        <v>8.2277777777777779</v>
      </c>
      <c r="AQ78" s="1">
        <f t="shared" si="31"/>
        <v>8.2277777777777779</v>
      </c>
      <c r="AR78" s="1">
        <f t="shared" si="31"/>
        <v>8.7361111111111107</v>
      </c>
      <c r="AS78" s="1">
        <f t="shared" si="31"/>
        <v>9.2444444444444436</v>
      </c>
      <c r="AT78" s="1">
        <f t="shared" si="31"/>
        <v>9.7527777777777782</v>
      </c>
      <c r="AU78" s="1">
        <f t="shared" si="31"/>
        <v>10.258333333333333</v>
      </c>
      <c r="AV78" s="1">
        <f t="shared" si="31"/>
        <v>10.258333333333333</v>
      </c>
      <c r="AW78" s="1">
        <f t="shared" si="31"/>
        <v>14.824999999999999</v>
      </c>
      <c r="AX78" s="1">
        <f t="shared" si="31"/>
        <v>15.330555555555556</v>
      </c>
      <c r="AY78" s="1">
        <f t="shared" si="32"/>
        <v>15.838888888888889</v>
      </c>
      <c r="AZ78" s="1">
        <f t="shared" si="32"/>
        <v>16.344444444444445</v>
      </c>
      <c r="BA78" s="1">
        <f t="shared" si="32"/>
        <v>16.852777777777778</v>
      </c>
      <c r="BB78" s="1">
        <f t="shared" si="32"/>
        <v>17.361111111111111</v>
      </c>
      <c r="BC78" s="1">
        <f t="shared" si="32"/>
        <v>17.869444444444444</v>
      </c>
      <c r="BD78" s="1">
        <f t="shared" si="32"/>
        <v>18.375</v>
      </c>
      <c r="BE78" s="1">
        <f t="shared" si="32"/>
        <v>18.375</v>
      </c>
      <c r="BF78" s="1">
        <f t="shared" si="32"/>
        <v>27</v>
      </c>
      <c r="BG78" s="1">
        <f t="shared" si="32"/>
        <v>27.505555555555556</v>
      </c>
      <c r="BH78" s="1">
        <f t="shared" si="32"/>
        <v>28.013888888888889</v>
      </c>
      <c r="BI78" s="1">
        <f t="shared" si="32"/>
        <v>28.519444444444446</v>
      </c>
      <c r="BJ78" s="1">
        <f t="shared" si="32"/>
        <v>29.027777777777779</v>
      </c>
      <c r="BK78" s="1">
        <f t="shared" si="32"/>
        <v>29.536111111111111</v>
      </c>
      <c r="BL78" s="1">
        <f t="shared" si="32"/>
        <v>30.044444444444444</v>
      </c>
      <c r="BM78" s="1">
        <f t="shared" si="32"/>
        <v>30.55</v>
      </c>
      <c r="BN78" s="1">
        <f t="shared" si="32"/>
        <v>31.058333333333334</v>
      </c>
      <c r="BO78" s="1">
        <f t="shared" si="33"/>
        <v>31.058333333333334</v>
      </c>
      <c r="BP78" s="1">
        <f t="shared" si="33"/>
        <v>31.56388888888889</v>
      </c>
      <c r="BQ78" s="1">
        <f t="shared" si="33"/>
        <v>32.072222222222223</v>
      </c>
      <c r="BR78" s="1">
        <f t="shared" si="33"/>
        <v>32.577777777777776</v>
      </c>
      <c r="BS78" s="1">
        <f t="shared" si="33"/>
        <v>33.086111111111109</v>
      </c>
      <c r="BT78" s="1">
        <f t="shared" si="33"/>
        <v>33.594444444444441</v>
      </c>
      <c r="BU78" s="1">
        <f t="shared" si="33"/>
        <v>34.102777777777774</v>
      </c>
      <c r="BV78" s="1">
        <f t="shared" si="33"/>
        <v>34.102777777777774</v>
      </c>
      <c r="BW78" s="1">
        <f t="shared" si="33"/>
        <v>34.608333333333334</v>
      </c>
      <c r="BX78" s="1">
        <f t="shared" si="33"/>
        <v>35.116666666666667</v>
      </c>
      <c r="BY78" s="1">
        <f t="shared" si="33"/>
        <v>35.62222222222222</v>
      </c>
      <c r="BZ78" s="1">
        <f t="shared" si="33"/>
        <v>36.130555555555553</v>
      </c>
      <c r="CA78" s="1">
        <f t="shared" si="33"/>
        <v>36.636111111111113</v>
      </c>
      <c r="CB78" s="1">
        <f t="shared" si="33"/>
        <v>37.144444444444446</v>
      </c>
      <c r="CC78" s="1">
        <f t="shared" si="33"/>
        <v>37.652777777777779</v>
      </c>
      <c r="CD78" s="1">
        <f t="shared" si="33"/>
        <v>38.161111111111111</v>
      </c>
      <c r="CE78" s="1">
        <f t="shared" si="34"/>
        <v>38.666666666666664</v>
      </c>
      <c r="CF78" s="1">
        <f t="shared" si="34"/>
        <v>39.174999999999997</v>
      </c>
      <c r="CG78" s="1">
        <f t="shared" si="34"/>
        <v>39.680555555555557</v>
      </c>
      <c r="CH78" s="1">
        <f t="shared" si="34"/>
        <v>40.18888888888889</v>
      </c>
      <c r="CI78" s="1">
        <f t="shared" si="34"/>
        <v>40.694444444444443</v>
      </c>
      <c r="CJ78" s="1">
        <f t="shared" si="34"/>
        <v>41.202777777777776</v>
      </c>
      <c r="CK78" s="1">
        <f t="shared" si="34"/>
        <v>41.711111111111109</v>
      </c>
      <c r="CL78" s="1">
        <f t="shared" si="34"/>
        <v>42.219444444444441</v>
      </c>
      <c r="CM78" s="1">
        <f t="shared" si="34"/>
        <v>42.725000000000001</v>
      </c>
      <c r="CN78" s="1">
        <f t="shared" si="34"/>
        <v>43.233333333333334</v>
      </c>
      <c r="CO78" s="1">
        <f t="shared" si="34"/>
        <v>43.738888888888887</v>
      </c>
      <c r="CP78" s="1">
        <f t="shared" si="34"/>
        <v>44.24722222222222</v>
      </c>
      <c r="CQ78" s="1">
        <f t="shared" si="34"/>
        <v>44.75277777777778</v>
      </c>
      <c r="CR78" s="1">
        <f t="shared" si="34"/>
        <v>45.261111111111113</v>
      </c>
      <c r="CS78" s="1">
        <f t="shared" si="34"/>
        <v>45.769444444444446</v>
      </c>
      <c r="CT78" s="1">
        <f t="shared" si="34"/>
        <v>46.277777777777779</v>
      </c>
      <c r="CU78" s="1">
        <f t="shared" si="35"/>
        <v>46.783333333333331</v>
      </c>
      <c r="CV78" s="1">
        <f t="shared" si="35"/>
        <v>47.291666666666664</v>
      </c>
      <c r="CW78" s="1">
        <f t="shared" si="35"/>
        <v>47.797222222222224</v>
      </c>
      <c r="CX78" s="1">
        <f t="shared" si="35"/>
        <v>48.305555555555557</v>
      </c>
      <c r="CY78" s="1">
        <f t="shared" si="35"/>
        <v>48.81111111111111</v>
      </c>
      <c r="CZ78" s="1">
        <f t="shared" si="35"/>
        <v>49.319444444444443</v>
      </c>
      <c r="DA78" s="1">
        <f t="shared" si="35"/>
        <v>49.827777777777776</v>
      </c>
      <c r="DB78" s="1">
        <f t="shared" si="35"/>
        <v>50.336111111111109</v>
      </c>
      <c r="DC78" s="1">
        <f t="shared" si="35"/>
        <v>50.336111111111109</v>
      </c>
    </row>
    <row r="79" spans="1:107" x14ac:dyDescent="0.25">
      <c r="A79">
        <f t="shared" si="38"/>
        <v>5</v>
      </c>
      <c r="B79" s="2">
        <f>yields_BRUTE!B79</f>
        <v>42117</v>
      </c>
      <c r="C79" s="1">
        <f t="shared" si="39"/>
        <v>-0.14722222222222223</v>
      </c>
      <c r="D79" s="1">
        <f t="shared" si="39"/>
        <v>-0.10833333333333334</v>
      </c>
      <c r="E79" s="1">
        <f t="shared" si="39"/>
        <v>0.10833333333333334</v>
      </c>
      <c r="F79" s="1">
        <f t="shared" si="39"/>
        <v>0.36388888888888887</v>
      </c>
      <c r="G79" s="1">
        <f t="shared" si="39"/>
        <v>0.40277777777777779</v>
      </c>
      <c r="H79" s="1">
        <f t="shared" si="39"/>
        <v>0.6166666666666667</v>
      </c>
      <c r="I79" s="1">
        <f t="shared" si="39"/>
        <v>0.6166666666666667</v>
      </c>
      <c r="J79" s="1">
        <f t="shared" si="39"/>
        <v>0.86944444444444446</v>
      </c>
      <c r="K79" s="1">
        <f t="shared" si="39"/>
        <v>0.90833333333333333</v>
      </c>
      <c r="L79" s="1">
        <f t="shared" si="39"/>
        <v>1.125</v>
      </c>
      <c r="M79" s="1">
        <f t="shared" si="39"/>
        <v>1.3805555555555555</v>
      </c>
      <c r="N79" s="1">
        <f t="shared" si="39"/>
        <v>1.3805555555555555</v>
      </c>
      <c r="O79" s="1">
        <f t="shared" si="39"/>
        <v>1.4194444444444445</v>
      </c>
      <c r="P79" s="1">
        <f t="shared" si="39"/>
        <v>1.6333333333333333</v>
      </c>
      <c r="Q79" s="1">
        <f t="shared" si="39"/>
        <v>1.9222222222222223</v>
      </c>
      <c r="R79" s="1">
        <f t="shared" si="36"/>
        <v>2.1388888888888888</v>
      </c>
      <c r="S79" s="1">
        <f t="shared" si="36"/>
        <v>2.4333333333333331</v>
      </c>
      <c r="T79" s="1">
        <f t="shared" si="36"/>
        <v>2.6472222222222221</v>
      </c>
      <c r="U79" s="1">
        <f t="shared" si="36"/>
        <v>2.9361111111111109</v>
      </c>
      <c r="V79" s="1">
        <f t="shared" si="36"/>
        <v>3.1527777777777777</v>
      </c>
      <c r="W79" s="1">
        <f t="shared" si="36"/>
        <v>3.4472222222222224</v>
      </c>
      <c r="X79" s="1">
        <f t="shared" si="36"/>
        <v>3.661111111111111</v>
      </c>
      <c r="Y79" s="1">
        <f t="shared" si="36"/>
        <v>3.95</v>
      </c>
      <c r="Z79" s="1">
        <f t="shared" si="36"/>
        <v>4.166666666666667</v>
      </c>
      <c r="AA79" s="1">
        <f t="shared" si="36"/>
        <v>4.4611111111111112</v>
      </c>
      <c r="AB79" s="1">
        <f t="shared" si="36"/>
        <v>4.6749999999999998</v>
      </c>
      <c r="AC79" s="1">
        <f t="shared" si="36"/>
        <v>4.9666666666666668</v>
      </c>
      <c r="AD79" s="1">
        <f t="shared" si="36"/>
        <v>5.1833333333333336</v>
      </c>
      <c r="AE79" s="1">
        <f t="shared" si="36"/>
        <v>5.1833333333333336</v>
      </c>
      <c r="AF79" s="3">
        <f t="shared" si="36"/>
        <v>5.4777777777777779</v>
      </c>
      <c r="AG79" s="1">
        <f t="shared" si="36"/>
        <v>5.6916666666666664</v>
      </c>
      <c r="AH79" s="1">
        <f t="shared" si="37"/>
        <v>5.9805555555555552</v>
      </c>
      <c r="AI79" s="1">
        <f t="shared" si="31"/>
        <v>5.9805555555555552</v>
      </c>
      <c r="AJ79" s="1">
        <f t="shared" si="31"/>
        <v>6.197222222222222</v>
      </c>
      <c r="AK79" s="1">
        <f t="shared" si="31"/>
        <v>6.197222222222222</v>
      </c>
      <c r="AL79" s="1">
        <f t="shared" si="31"/>
        <v>6.7055555555555557</v>
      </c>
      <c r="AM79" s="1">
        <f t="shared" si="31"/>
        <v>7.2111111111111112</v>
      </c>
      <c r="AN79" s="1">
        <f t="shared" si="31"/>
        <v>7.2111111111111112</v>
      </c>
      <c r="AO79" s="1">
        <f t="shared" si="31"/>
        <v>7.7194444444444441</v>
      </c>
      <c r="AP79" s="1">
        <f t="shared" si="31"/>
        <v>8.2249999999999996</v>
      </c>
      <c r="AQ79" s="1">
        <f t="shared" si="31"/>
        <v>8.2249999999999996</v>
      </c>
      <c r="AR79" s="1">
        <f t="shared" si="31"/>
        <v>8.7333333333333325</v>
      </c>
      <c r="AS79" s="1">
        <f t="shared" si="31"/>
        <v>9.2416666666666671</v>
      </c>
      <c r="AT79" s="1">
        <f t="shared" si="31"/>
        <v>9.75</v>
      </c>
      <c r="AU79" s="1">
        <f t="shared" si="31"/>
        <v>10.255555555555556</v>
      </c>
      <c r="AV79" s="1">
        <f t="shared" si="31"/>
        <v>10.255555555555556</v>
      </c>
      <c r="AW79" s="1">
        <f t="shared" si="31"/>
        <v>14.822222222222223</v>
      </c>
      <c r="AX79" s="1">
        <f t="shared" ref="AX79:BM94" si="40">(AX$1-$B79)/360</f>
        <v>15.327777777777778</v>
      </c>
      <c r="AY79" s="1">
        <f t="shared" si="32"/>
        <v>15.83611111111111</v>
      </c>
      <c r="AZ79" s="1">
        <f t="shared" si="32"/>
        <v>16.341666666666665</v>
      </c>
      <c r="BA79" s="1">
        <f t="shared" si="32"/>
        <v>16.850000000000001</v>
      </c>
      <c r="BB79" s="1">
        <f t="shared" si="32"/>
        <v>17.358333333333334</v>
      </c>
      <c r="BC79" s="1">
        <f t="shared" si="32"/>
        <v>17.866666666666667</v>
      </c>
      <c r="BD79" s="1">
        <f t="shared" si="32"/>
        <v>18.372222222222224</v>
      </c>
      <c r="BE79" s="1">
        <f t="shared" si="32"/>
        <v>18.372222222222224</v>
      </c>
      <c r="BF79" s="1">
        <f t="shared" si="32"/>
        <v>26.997222222222224</v>
      </c>
      <c r="BG79" s="1">
        <f t="shared" si="32"/>
        <v>27.502777777777776</v>
      </c>
      <c r="BH79" s="1">
        <f t="shared" si="32"/>
        <v>28.011111111111113</v>
      </c>
      <c r="BI79" s="1">
        <f t="shared" si="32"/>
        <v>28.516666666666666</v>
      </c>
      <c r="BJ79" s="1">
        <f t="shared" si="32"/>
        <v>29.024999999999999</v>
      </c>
      <c r="BK79" s="1">
        <f t="shared" si="32"/>
        <v>29.533333333333335</v>
      </c>
      <c r="BL79" s="1">
        <f t="shared" si="32"/>
        <v>30.041666666666668</v>
      </c>
      <c r="BM79" s="1">
        <f t="shared" si="32"/>
        <v>30.547222222222221</v>
      </c>
      <c r="BN79" s="1">
        <f t="shared" ref="BN79:CC94" si="41">(BN$1-$B79)/360</f>
        <v>31.055555555555557</v>
      </c>
      <c r="BO79" s="1">
        <f t="shared" si="33"/>
        <v>31.055555555555557</v>
      </c>
      <c r="BP79" s="1">
        <f t="shared" si="33"/>
        <v>31.56111111111111</v>
      </c>
      <c r="BQ79" s="1">
        <f t="shared" si="33"/>
        <v>32.069444444444443</v>
      </c>
      <c r="BR79" s="1">
        <f t="shared" si="33"/>
        <v>32.575000000000003</v>
      </c>
      <c r="BS79" s="1">
        <f t="shared" si="33"/>
        <v>33.083333333333336</v>
      </c>
      <c r="BT79" s="1">
        <f t="shared" si="33"/>
        <v>33.591666666666669</v>
      </c>
      <c r="BU79" s="1">
        <f t="shared" si="33"/>
        <v>34.1</v>
      </c>
      <c r="BV79" s="1">
        <f t="shared" si="33"/>
        <v>34.1</v>
      </c>
      <c r="BW79" s="1">
        <f t="shared" si="33"/>
        <v>34.605555555555554</v>
      </c>
      <c r="BX79" s="1">
        <f t="shared" si="33"/>
        <v>35.113888888888887</v>
      </c>
      <c r="BY79" s="1">
        <f t="shared" si="33"/>
        <v>35.619444444444447</v>
      </c>
      <c r="BZ79" s="1">
        <f t="shared" si="33"/>
        <v>36.12777777777778</v>
      </c>
      <c r="CA79" s="1">
        <f t="shared" si="33"/>
        <v>36.633333333333333</v>
      </c>
      <c r="CB79" s="1">
        <f t="shared" si="33"/>
        <v>37.141666666666666</v>
      </c>
      <c r="CC79" s="1">
        <f t="shared" si="33"/>
        <v>37.65</v>
      </c>
      <c r="CD79" s="1">
        <f t="shared" ref="CD79:CS94" si="42">(CD$1-$B79)/360</f>
        <v>38.158333333333331</v>
      </c>
      <c r="CE79" s="1">
        <f t="shared" si="34"/>
        <v>38.663888888888891</v>
      </c>
      <c r="CF79" s="1">
        <f t="shared" si="34"/>
        <v>39.172222222222224</v>
      </c>
      <c r="CG79" s="1">
        <f t="shared" si="34"/>
        <v>39.677777777777777</v>
      </c>
      <c r="CH79" s="1">
        <f t="shared" si="34"/>
        <v>40.18611111111111</v>
      </c>
      <c r="CI79" s="1">
        <f t="shared" si="34"/>
        <v>40.69166666666667</v>
      </c>
      <c r="CJ79" s="1">
        <f t="shared" si="34"/>
        <v>41.2</v>
      </c>
      <c r="CK79" s="1">
        <f t="shared" si="34"/>
        <v>41.708333333333336</v>
      </c>
      <c r="CL79" s="1">
        <f t="shared" si="34"/>
        <v>42.216666666666669</v>
      </c>
      <c r="CM79" s="1">
        <f t="shared" si="34"/>
        <v>42.722222222222221</v>
      </c>
      <c r="CN79" s="1">
        <f t="shared" si="34"/>
        <v>43.230555555555554</v>
      </c>
      <c r="CO79" s="1">
        <f t="shared" si="34"/>
        <v>43.736111111111114</v>
      </c>
      <c r="CP79" s="1">
        <f t="shared" si="34"/>
        <v>44.244444444444447</v>
      </c>
      <c r="CQ79" s="1">
        <f t="shared" si="34"/>
        <v>44.75</v>
      </c>
      <c r="CR79" s="1">
        <f t="shared" si="34"/>
        <v>45.258333333333333</v>
      </c>
      <c r="CS79" s="1">
        <f t="shared" si="34"/>
        <v>45.766666666666666</v>
      </c>
      <c r="CT79" s="1">
        <f t="shared" ref="CT79:DC94" si="43">(CT$1-$B79)/360</f>
        <v>46.274999999999999</v>
      </c>
      <c r="CU79" s="1">
        <f t="shared" si="35"/>
        <v>46.780555555555559</v>
      </c>
      <c r="CV79" s="1">
        <f t="shared" si="35"/>
        <v>47.288888888888891</v>
      </c>
      <c r="CW79" s="1">
        <f t="shared" si="35"/>
        <v>47.794444444444444</v>
      </c>
      <c r="CX79" s="1">
        <f t="shared" si="35"/>
        <v>48.302777777777777</v>
      </c>
      <c r="CY79" s="1">
        <f t="shared" si="35"/>
        <v>48.80833333333333</v>
      </c>
      <c r="CZ79" s="1">
        <f t="shared" si="35"/>
        <v>49.31666666666667</v>
      </c>
      <c r="DA79" s="1">
        <f t="shared" si="35"/>
        <v>49.825000000000003</v>
      </c>
      <c r="DB79" s="1">
        <f t="shared" si="35"/>
        <v>50.333333333333336</v>
      </c>
      <c r="DC79" s="1">
        <f t="shared" si="35"/>
        <v>50.333333333333336</v>
      </c>
    </row>
    <row r="80" spans="1:107" x14ac:dyDescent="0.25">
      <c r="A80">
        <f t="shared" si="38"/>
        <v>6</v>
      </c>
      <c r="B80" s="2">
        <f>yields_BRUTE!B80</f>
        <v>42118</v>
      </c>
      <c r="C80" s="1">
        <f t="shared" si="39"/>
        <v>-0.15</v>
      </c>
      <c r="D80" s="1">
        <f t="shared" si="39"/>
        <v>-0.1111111111111111</v>
      </c>
      <c r="E80" s="1">
        <f t="shared" si="39"/>
        <v>0.10555555555555556</v>
      </c>
      <c r="F80" s="1">
        <f t="shared" si="39"/>
        <v>0.3611111111111111</v>
      </c>
      <c r="G80" s="1">
        <f t="shared" si="39"/>
        <v>0.4</v>
      </c>
      <c r="H80" s="1">
        <f t="shared" si="39"/>
        <v>0.61388888888888893</v>
      </c>
      <c r="I80" s="1">
        <f t="shared" si="39"/>
        <v>0.61388888888888893</v>
      </c>
      <c r="J80" s="1">
        <f t="shared" si="39"/>
        <v>0.8666666666666667</v>
      </c>
      <c r="K80" s="1">
        <f t="shared" si="39"/>
        <v>0.90555555555555556</v>
      </c>
      <c r="L80" s="1">
        <f t="shared" si="39"/>
        <v>1.1222222222222222</v>
      </c>
      <c r="M80" s="1">
        <f t="shared" si="39"/>
        <v>1.3777777777777778</v>
      </c>
      <c r="N80" s="1">
        <f t="shared" si="39"/>
        <v>1.3777777777777778</v>
      </c>
      <c r="O80" s="1">
        <f t="shared" si="39"/>
        <v>1.4166666666666667</v>
      </c>
      <c r="P80" s="1">
        <f t="shared" si="39"/>
        <v>1.6305555555555555</v>
      </c>
      <c r="Q80" s="1">
        <f t="shared" si="39"/>
        <v>1.9194444444444445</v>
      </c>
      <c r="R80" s="1">
        <f t="shared" si="36"/>
        <v>2.1361111111111111</v>
      </c>
      <c r="S80" s="1">
        <f t="shared" si="36"/>
        <v>2.4305555555555554</v>
      </c>
      <c r="T80" s="1">
        <f t="shared" si="36"/>
        <v>2.6444444444444444</v>
      </c>
      <c r="U80" s="1">
        <f t="shared" si="36"/>
        <v>2.9333333333333331</v>
      </c>
      <c r="V80" s="1">
        <f t="shared" si="36"/>
        <v>3.15</v>
      </c>
      <c r="W80" s="1">
        <f t="shared" si="36"/>
        <v>3.4444444444444446</v>
      </c>
      <c r="X80" s="1">
        <f t="shared" si="36"/>
        <v>3.6583333333333332</v>
      </c>
      <c r="Y80" s="1">
        <f t="shared" si="36"/>
        <v>3.9472222222222224</v>
      </c>
      <c r="Z80" s="1">
        <f t="shared" si="36"/>
        <v>4.1638888888888888</v>
      </c>
      <c r="AA80" s="1">
        <f t="shared" si="36"/>
        <v>4.458333333333333</v>
      </c>
      <c r="AB80" s="1">
        <f t="shared" si="36"/>
        <v>4.6722222222222225</v>
      </c>
      <c r="AC80" s="1">
        <f t="shared" si="36"/>
        <v>4.9638888888888886</v>
      </c>
      <c r="AD80" s="1">
        <f t="shared" si="36"/>
        <v>5.1805555555555554</v>
      </c>
      <c r="AE80" s="1">
        <f t="shared" si="36"/>
        <v>5.1805555555555554</v>
      </c>
      <c r="AF80" s="3">
        <f t="shared" si="36"/>
        <v>5.4749999999999996</v>
      </c>
      <c r="AG80" s="1">
        <f t="shared" si="36"/>
        <v>5.6888888888888891</v>
      </c>
      <c r="AH80" s="1">
        <f t="shared" si="37"/>
        <v>5.9777777777777779</v>
      </c>
      <c r="AI80" s="1">
        <f t="shared" si="37"/>
        <v>5.9777777777777779</v>
      </c>
      <c r="AJ80" s="1">
        <f t="shared" si="37"/>
        <v>6.1944444444444446</v>
      </c>
      <c r="AK80" s="1">
        <f t="shared" si="37"/>
        <v>6.1944444444444446</v>
      </c>
      <c r="AL80" s="1">
        <f t="shared" si="37"/>
        <v>6.7027777777777775</v>
      </c>
      <c r="AM80" s="1">
        <f t="shared" si="37"/>
        <v>7.208333333333333</v>
      </c>
      <c r="AN80" s="1">
        <f t="shared" si="37"/>
        <v>7.208333333333333</v>
      </c>
      <c r="AO80" s="1">
        <f t="shared" si="37"/>
        <v>7.7166666666666668</v>
      </c>
      <c r="AP80" s="1">
        <f t="shared" si="37"/>
        <v>8.2222222222222214</v>
      </c>
      <c r="AQ80" s="1">
        <f t="shared" si="37"/>
        <v>8.2222222222222214</v>
      </c>
      <c r="AR80" s="1">
        <f t="shared" si="37"/>
        <v>8.7305555555555561</v>
      </c>
      <c r="AS80" s="1">
        <f t="shared" si="37"/>
        <v>9.2388888888888889</v>
      </c>
      <c r="AT80" s="1">
        <f t="shared" si="37"/>
        <v>9.7472222222222218</v>
      </c>
      <c r="AU80" s="1">
        <f t="shared" si="37"/>
        <v>10.252777777777778</v>
      </c>
      <c r="AV80" s="1">
        <f t="shared" si="37"/>
        <v>10.252777777777778</v>
      </c>
      <c r="AW80" s="1">
        <f t="shared" si="37"/>
        <v>14.819444444444445</v>
      </c>
      <c r="AX80" s="1">
        <f t="shared" si="40"/>
        <v>15.324999999999999</v>
      </c>
      <c r="AY80" s="1">
        <f t="shared" si="40"/>
        <v>15.833333333333334</v>
      </c>
      <c r="AZ80" s="1">
        <f t="shared" si="40"/>
        <v>16.338888888888889</v>
      </c>
      <c r="BA80" s="1">
        <f t="shared" si="40"/>
        <v>16.847222222222221</v>
      </c>
      <c r="BB80" s="1">
        <f t="shared" si="40"/>
        <v>17.355555555555554</v>
      </c>
      <c r="BC80" s="1">
        <f t="shared" si="40"/>
        <v>17.863888888888887</v>
      </c>
      <c r="BD80" s="1">
        <f t="shared" si="40"/>
        <v>18.369444444444444</v>
      </c>
      <c r="BE80" s="1">
        <f t="shared" si="40"/>
        <v>18.369444444444444</v>
      </c>
      <c r="BF80" s="1">
        <f t="shared" si="40"/>
        <v>26.994444444444444</v>
      </c>
      <c r="BG80" s="1">
        <f t="shared" si="40"/>
        <v>27.5</v>
      </c>
      <c r="BH80" s="1">
        <f t="shared" si="40"/>
        <v>28.008333333333333</v>
      </c>
      <c r="BI80" s="1">
        <f t="shared" si="40"/>
        <v>28.513888888888889</v>
      </c>
      <c r="BJ80" s="1">
        <f t="shared" si="40"/>
        <v>29.022222222222222</v>
      </c>
      <c r="BK80" s="1">
        <f t="shared" si="40"/>
        <v>29.530555555555555</v>
      </c>
      <c r="BL80" s="1">
        <f t="shared" si="40"/>
        <v>30.038888888888888</v>
      </c>
      <c r="BM80" s="1">
        <f t="shared" si="40"/>
        <v>30.544444444444444</v>
      </c>
      <c r="BN80" s="1">
        <f t="shared" si="41"/>
        <v>31.052777777777777</v>
      </c>
      <c r="BO80" s="1">
        <f t="shared" si="41"/>
        <v>31.052777777777777</v>
      </c>
      <c r="BP80" s="1">
        <f t="shared" si="41"/>
        <v>31.558333333333334</v>
      </c>
      <c r="BQ80" s="1">
        <f t="shared" si="41"/>
        <v>32.06666666666667</v>
      </c>
      <c r="BR80" s="1">
        <f t="shared" si="41"/>
        <v>32.572222222222223</v>
      </c>
      <c r="BS80" s="1">
        <f t="shared" si="41"/>
        <v>33.080555555555556</v>
      </c>
      <c r="BT80" s="1">
        <f t="shared" si="41"/>
        <v>33.588888888888889</v>
      </c>
      <c r="BU80" s="1">
        <f t="shared" si="41"/>
        <v>34.097222222222221</v>
      </c>
      <c r="BV80" s="1">
        <f t="shared" si="41"/>
        <v>34.097222222222221</v>
      </c>
      <c r="BW80" s="1">
        <f t="shared" si="41"/>
        <v>34.602777777777774</v>
      </c>
      <c r="BX80" s="1">
        <f t="shared" si="41"/>
        <v>35.111111111111114</v>
      </c>
      <c r="BY80" s="1">
        <f t="shared" si="41"/>
        <v>35.616666666666667</v>
      </c>
      <c r="BZ80" s="1">
        <f t="shared" si="41"/>
        <v>36.125</v>
      </c>
      <c r="CA80" s="1">
        <f t="shared" si="41"/>
        <v>36.630555555555553</v>
      </c>
      <c r="CB80" s="1">
        <f t="shared" si="41"/>
        <v>37.138888888888886</v>
      </c>
      <c r="CC80" s="1">
        <f t="shared" si="41"/>
        <v>37.647222222222226</v>
      </c>
      <c r="CD80" s="1">
        <f t="shared" si="42"/>
        <v>38.155555555555559</v>
      </c>
      <c r="CE80" s="1">
        <f t="shared" si="42"/>
        <v>38.661111111111111</v>
      </c>
      <c r="CF80" s="1">
        <f t="shared" si="42"/>
        <v>39.169444444444444</v>
      </c>
      <c r="CG80" s="1">
        <f t="shared" si="42"/>
        <v>39.674999999999997</v>
      </c>
      <c r="CH80" s="1">
        <f t="shared" si="42"/>
        <v>40.18333333333333</v>
      </c>
      <c r="CI80" s="1">
        <f t="shared" si="42"/>
        <v>40.68888888888889</v>
      </c>
      <c r="CJ80" s="1">
        <f t="shared" si="42"/>
        <v>41.197222222222223</v>
      </c>
      <c r="CK80" s="1">
        <f t="shared" si="42"/>
        <v>41.705555555555556</v>
      </c>
      <c r="CL80" s="1">
        <f t="shared" si="42"/>
        <v>42.213888888888889</v>
      </c>
      <c r="CM80" s="1">
        <f t="shared" si="42"/>
        <v>42.719444444444441</v>
      </c>
      <c r="CN80" s="1">
        <f t="shared" si="42"/>
        <v>43.227777777777774</v>
      </c>
      <c r="CO80" s="1">
        <f t="shared" si="42"/>
        <v>43.733333333333334</v>
      </c>
      <c r="CP80" s="1">
        <f t="shared" si="42"/>
        <v>44.241666666666667</v>
      </c>
      <c r="CQ80" s="1">
        <f t="shared" si="42"/>
        <v>44.74722222222222</v>
      </c>
      <c r="CR80" s="1">
        <f t="shared" si="42"/>
        <v>45.255555555555553</v>
      </c>
      <c r="CS80" s="1">
        <f t="shared" si="42"/>
        <v>45.763888888888886</v>
      </c>
      <c r="CT80" s="1">
        <f t="shared" si="43"/>
        <v>46.272222222222226</v>
      </c>
      <c r="CU80" s="1">
        <f t="shared" si="43"/>
        <v>46.777777777777779</v>
      </c>
      <c r="CV80" s="1">
        <f t="shared" si="43"/>
        <v>47.286111111111111</v>
      </c>
      <c r="CW80" s="1">
        <f t="shared" si="43"/>
        <v>47.791666666666664</v>
      </c>
      <c r="CX80" s="1">
        <f t="shared" si="43"/>
        <v>48.3</v>
      </c>
      <c r="CY80" s="1">
        <f t="shared" si="43"/>
        <v>48.805555555555557</v>
      </c>
      <c r="CZ80" s="1">
        <f t="shared" si="43"/>
        <v>49.31388888888889</v>
      </c>
      <c r="DA80" s="1">
        <f t="shared" si="43"/>
        <v>49.822222222222223</v>
      </c>
      <c r="DB80" s="1">
        <f t="shared" si="43"/>
        <v>50.330555555555556</v>
      </c>
      <c r="DC80" s="1">
        <f t="shared" si="43"/>
        <v>50.330555555555556</v>
      </c>
    </row>
    <row r="81" spans="1:107" x14ac:dyDescent="0.25">
      <c r="A81">
        <f t="shared" si="38"/>
        <v>2</v>
      </c>
      <c r="B81" s="2">
        <f>yields_BRUTE!B81</f>
        <v>42121</v>
      </c>
      <c r="C81" s="1">
        <f t="shared" si="39"/>
        <v>-0.15833333333333333</v>
      </c>
      <c r="D81" s="1">
        <f t="shared" si="39"/>
        <v>-0.11944444444444445</v>
      </c>
      <c r="E81" s="1">
        <f t="shared" si="39"/>
        <v>9.7222222222222224E-2</v>
      </c>
      <c r="F81" s="1">
        <f t="shared" si="39"/>
        <v>0.3527777777777778</v>
      </c>
      <c r="G81" s="1">
        <f t="shared" si="39"/>
        <v>0.39166666666666666</v>
      </c>
      <c r="H81" s="1">
        <f t="shared" si="39"/>
        <v>0.60555555555555551</v>
      </c>
      <c r="I81" s="1">
        <f t="shared" si="39"/>
        <v>0.60555555555555551</v>
      </c>
      <c r="J81" s="1">
        <f t="shared" si="39"/>
        <v>0.85833333333333328</v>
      </c>
      <c r="K81" s="1">
        <f t="shared" si="39"/>
        <v>0.89722222222222225</v>
      </c>
      <c r="L81" s="1">
        <f t="shared" si="39"/>
        <v>1.1138888888888889</v>
      </c>
      <c r="M81" s="1">
        <f t="shared" si="39"/>
        <v>1.3694444444444445</v>
      </c>
      <c r="N81" s="1">
        <f t="shared" si="39"/>
        <v>1.3694444444444445</v>
      </c>
      <c r="O81" s="1">
        <f t="shared" si="39"/>
        <v>1.4083333333333334</v>
      </c>
      <c r="P81" s="1">
        <f t="shared" si="39"/>
        <v>1.6222222222222222</v>
      </c>
      <c r="Q81" s="1">
        <f t="shared" si="39"/>
        <v>1.9111111111111112</v>
      </c>
      <c r="R81" s="1">
        <f t="shared" si="36"/>
        <v>2.1277777777777778</v>
      </c>
      <c r="S81" s="1">
        <f t="shared" si="36"/>
        <v>2.4222222222222221</v>
      </c>
      <c r="T81" s="1">
        <f t="shared" si="36"/>
        <v>2.6361111111111111</v>
      </c>
      <c r="U81" s="1">
        <f t="shared" si="36"/>
        <v>2.9249999999999998</v>
      </c>
      <c r="V81" s="1">
        <f t="shared" si="36"/>
        <v>3.1416666666666666</v>
      </c>
      <c r="W81" s="1">
        <f t="shared" si="36"/>
        <v>3.4361111111111109</v>
      </c>
      <c r="X81" s="1">
        <f t="shared" si="36"/>
        <v>3.65</v>
      </c>
      <c r="Y81" s="1">
        <f t="shared" si="36"/>
        <v>3.9388888888888891</v>
      </c>
      <c r="Z81" s="1">
        <f t="shared" si="36"/>
        <v>4.1555555555555559</v>
      </c>
      <c r="AA81" s="1">
        <f t="shared" si="36"/>
        <v>4.45</v>
      </c>
      <c r="AB81" s="1">
        <f t="shared" si="36"/>
        <v>4.6638888888888888</v>
      </c>
      <c r="AC81" s="1">
        <f t="shared" si="36"/>
        <v>4.9555555555555557</v>
      </c>
      <c r="AD81" s="1">
        <f t="shared" si="36"/>
        <v>5.1722222222222225</v>
      </c>
      <c r="AE81" s="1">
        <f t="shared" si="36"/>
        <v>5.1722222222222225</v>
      </c>
      <c r="AF81" s="3">
        <f t="shared" si="36"/>
        <v>5.4666666666666668</v>
      </c>
      <c r="AG81" s="1">
        <f t="shared" ref="AG81:AV96" si="44">(AG$1-$B81)/360</f>
        <v>5.6805555555555554</v>
      </c>
      <c r="AH81" s="1">
        <f t="shared" si="37"/>
        <v>5.9694444444444441</v>
      </c>
      <c r="AI81" s="1">
        <f t="shared" si="37"/>
        <v>5.9694444444444441</v>
      </c>
      <c r="AJ81" s="1">
        <f t="shared" si="37"/>
        <v>6.1861111111111109</v>
      </c>
      <c r="AK81" s="1">
        <f t="shared" si="37"/>
        <v>6.1861111111111109</v>
      </c>
      <c r="AL81" s="1">
        <f t="shared" si="37"/>
        <v>6.6944444444444446</v>
      </c>
      <c r="AM81" s="1">
        <f t="shared" si="37"/>
        <v>7.2</v>
      </c>
      <c r="AN81" s="1">
        <f t="shared" si="37"/>
        <v>7.2</v>
      </c>
      <c r="AO81" s="1">
        <f t="shared" si="37"/>
        <v>7.708333333333333</v>
      </c>
      <c r="AP81" s="1">
        <f t="shared" si="37"/>
        <v>8.2138888888888886</v>
      </c>
      <c r="AQ81" s="1">
        <f t="shared" si="37"/>
        <v>8.2138888888888886</v>
      </c>
      <c r="AR81" s="1">
        <f t="shared" si="37"/>
        <v>8.7222222222222214</v>
      </c>
      <c r="AS81" s="1">
        <f t="shared" si="37"/>
        <v>9.2305555555555561</v>
      </c>
      <c r="AT81" s="1">
        <f t="shared" si="37"/>
        <v>9.7388888888888889</v>
      </c>
      <c r="AU81" s="1">
        <f t="shared" si="37"/>
        <v>10.244444444444444</v>
      </c>
      <c r="AV81" s="1">
        <f t="shared" si="37"/>
        <v>10.244444444444444</v>
      </c>
      <c r="AW81" s="1">
        <f t="shared" si="37"/>
        <v>14.811111111111112</v>
      </c>
      <c r="AX81" s="1">
        <f t="shared" si="40"/>
        <v>15.316666666666666</v>
      </c>
      <c r="AY81" s="1">
        <f t="shared" si="40"/>
        <v>15.824999999999999</v>
      </c>
      <c r="AZ81" s="1">
        <f t="shared" si="40"/>
        <v>16.330555555555556</v>
      </c>
      <c r="BA81" s="1">
        <f t="shared" si="40"/>
        <v>16.838888888888889</v>
      </c>
      <c r="BB81" s="1">
        <f t="shared" si="40"/>
        <v>17.347222222222221</v>
      </c>
      <c r="BC81" s="1">
        <f t="shared" si="40"/>
        <v>17.855555555555554</v>
      </c>
      <c r="BD81" s="1">
        <f t="shared" si="40"/>
        <v>18.361111111111111</v>
      </c>
      <c r="BE81" s="1">
        <f t="shared" si="40"/>
        <v>18.361111111111111</v>
      </c>
      <c r="BF81" s="1">
        <f t="shared" si="40"/>
        <v>26.986111111111111</v>
      </c>
      <c r="BG81" s="1">
        <f t="shared" si="40"/>
        <v>27.491666666666667</v>
      </c>
      <c r="BH81" s="1">
        <f t="shared" si="40"/>
        <v>28</v>
      </c>
      <c r="BI81" s="1">
        <f t="shared" si="40"/>
        <v>28.505555555555556</v>
      </c>
      <c r="BJ81" s="1">
        <f t="shared" si="40"/>
        <v>29.013888888888889</v>
      </c>
      <c r="BK81" s="1">
        <f t="shared" si="40"/>
        <v>29.522222222222222</v>
      </c>
      <c r="BL81" s="1">
        <f t="shared" si="40"/>
        <v>30.030555555555555</v>
      </c>
      <c r="BM81" s="1">
        <f t="shared" si="40"/>
        <v>30.536111111111111</v>
      </c>
      <c r="BN81" s="1">
        <f t="shared" si="41"/>
        <v>31.044444444444444</v>
      </c>
      <c r="BO81" s="1">
        <f t="shared" si="41"/>
        <v>31.044444444444444</v>
      </c>
      <c r="BP81" s="1">
        <f t="shared" si="41"/>
        <v>31.55</v>
      </c>
      <c r="BQ81" s="1">
        <f t="shared" si="41"/>
        <v>32.05833333333333</v>
      </c>
      <c r="BR81" s="1">
        <f t="shared" si="41"/>
        <v>32.56388888888889</v>
      </c>
      <c r="BS81" s="1">
        <f t="shared" si="41"/>
        <v>33.072222222222223</v>
      </c>
      <c r="BT81" s="1">
        <f t="shared" si="41"/>
        <v>33.580555555555556</v>
      </c>
      <c r="BU81" s="1">
        <f t="shared" si="41"/>
        <v>34.088888888888889</v>
      </c>
      <c r="BV81" s="1">
        <f t="shared" si="41"/>
        <v>34.088888888888889</v>
      </c>
      <c r="BW81" s="1">
        <f t="shared" si="41"/>
        <v>34.594444444444441</v>
      </c>
      <c r="BX81" s="1">
        <f t="shared" si="41"/>
        <v>35.102777777777774</v>
      </c>
      <c r="BY81" s="1">
        <f t="shared" si="41"/>
        <v>35.608333333333334</v>
      </c>
      <c r="BZ81" s="1">
        <f t="shared" si="41"/>
        <v>36.116666666666667</v>
      </c>
      <c r="CA81" s="1">
        <f t="shared" si="41"/>
        <v>36.62222222222222</v>
      </c>
      <c r="CB81" s="1">
        <f t="shared" si="41"/>
        <v>37.130555555555553</v>
      </c>
      <c r="CC81" s="1">
        <f t="shared" si="41"/>
        <v>37.638888888888886</v>
      </c>
      <c r="CD81" s="1">
        <f t="shared" si="42"/>
        <v>38.147222222222226</v>
      </c>
      <c r="CE81" s="1">
        <f t="shared" si="42"/>
        <v>38.652777777777779</v>
      </c>
      <c r="CF81" s="1">
        <f t="shared" si="42"/>
        <v>39.161111111111111</v>
      </c>
      <c r="CG81" s="1">
        <f t="shared" si="42"/>
        <v>39.666666666666664</v>
      </c>
      <c r="CH81" s="1">
        <f t="shared" si="42"/>
        <v>40.174999999999997</v>
      </c>
      <c r="CI81" s="1">
        <f t="shared" si="42"/>
        <v>40.680555555555557</v>
      </c>
      <c r="CJ81" s="1">
        <f t="shared" si="42"/>
        <v>41.18888888888889</v>
      </c>
      <c r="CK81" s="1">
        <f t="shared" si="42"/>
        <v>41.697222222222223</v>
      </c>
      <c r="CL81" s="1">
        <f t="shared" si="42"/>
        <v>42.205555555555556</v>
      </c>
      <c r="CM81" s="1">
        <f t="shared" si="42"/>
        <v>42.711111111111109</v>
      </c>
      <c r="CN81" s="1">
        <f t="shared" si="42"/>
        <v>43.219444444444441</v>
      </c>
      <c r="CO81" s="1">
        <f t="shared" si="42"/>
        <v>43.725000000000001</v>
      </c>
      <c r="CP81" s="1">
        <f t="shared" si="42"/>
        <v>44.233333333333334</v>
      </c>
      <c r="CQ81" s="1">
        <f t="shared" si="42"/>
        <v>44.738888888888887</v>
      </c>
      <c r="CR81" s="1">
        <f t="shared" si="42"/>
        <v>45.24722222222222</v>
      </c>
      <c r="CS81" s="1">
        <f t="shared" si="42"/>
        <v>45.755555555555553</v>
      </c>
      <c r="CT81" s="1">
        <f t="shared" si="43"/>
        <v>46.263888888888886</v>
      </c>
      <c r="CU81" s="1">
        <f t="shared" si="43"/>
        <v>46.769444444444446</v>
      </c>
      <c r="CV81" s="1">
        <f t="shared" si="43"/>
        <v>47.277777777777779</v>
      </c>
      <c r="CW81" s="1">
        <f t="shared" si="43"/>
        <v>47.783333333333331</v>
      </c>
      <c r="CX81" s="1">
        <f t="shared" si="43"/>
        <v>48.291666666666664</v>
      </c>
      <c r="CY81" s="1">
        <f t="shared" si="43"/>
        <v>48.797222222222224</v>
      </c>
      <c r="CZ81" s="1">
        <f t="shared" si="43"/>
        <v>49.305555555555557</v>
      </c>
      <c r="DA81" s="1">
        <f t="shared" si="43"/>
        <v>49.81388888888889</v>
      </c>
      <c r="DB81" s="1">
        <f t="shared" si="43"/>
        <v>50.322222222222223</v>
      </c>
      <c r="DC81" s="1">
        <f t="shared" si="43"/>
        <v>50.322222222222223</v>
      </c>
    </row>
    <row r="82" spans="1:107" x14ac:dyDescent="0.25">
      <c r="A82">
        <f t="shared" si="38"/>
        <v>3</v>
      </c>
      <c r="B82" s="2">
        <f>yields_BRUTE!B82</f>
        <v>42122</v>
      </c>
      <c r="C82" s="1">
        <f t="shared" si="39"/>
        <v>-0.16111111111111112</v>
      </c>
      <c r="D82" s="1">
        <f t="shared" si="39"/>
        <v>-0.12222222222222222</v>
      </c>
      <c r="E82" s="1">
        <f t="shared" si="39"/>
        <v>9.4444444444444442E-2</v>
      </c>
      <c r="F82" s="1">
        <f t="shared" si="39"/>
        <v>0.35</v>
      </c>
      <c r="G82" s="1">
        <f t="shared" si="39"/>
        <v>0.3888888888888889</v>
      </c>
      <c r="H82" s="1">
        <f t="shared" si="39"/>
        <v>0.60277777777777775</v>
      </c>
      <c r="I82" s="1">
        <f t="shared" si="39"/>
        <v>0.60277777777777775</v>
      </c>
      <c r="J82" s="1">
        <f t="shared" si="39"/>
        <v>0.85555555555555551</v>
      </c>
      <c r="K82" s="1">
        <f t="shared" si="39"/>
        <v>0.89444444444444449</v>
      </c>
      <c r="L82" s="1">
        <f t="shared" si="39"/>
        <v>1.1111111111111112</v>
      </c>
      <c r="M82" s="1">
        <f t="shared" si="39"/>
        <v>1.3666666666666667</v>
      </c>
      <c r="N82" s="1">
        <f t="shared" si="39"/>
        <v>1.3666666666666667</v>
      </c>
      <c r="O82" s="1">
        <f t="shared" si="39"/>
        <v>1.4055555555555554</v>
      </c>
      <c r="P82" s="1">
        <f t="shared" si="39"/>
        <v>1.6194444444444445</v>
      </c>
      <c r="Q82" s="1">
        <f t="shared" si="39"/>
        <v>1.9083333333333334</v>
      </c>
      <c r="R82" s="1">
        <f t="shared" si="39"/>
        <v>2.125</v>
      </c>
      <c r="S82" s="1">
        <f t="shared" ref="S82:AH97" si="45">(S$1-$B82)/360</f>
        <v>2.4194444444444443</v>
      </c>
      <c r="T82" s="1">
        <f t="shared" si="45"/>
        <v>2.6333333333333333</v>
      </c>
      <c r="U82" s="1">
        <f t="shared" si="45"/>
        <v>2.9222222222222221</v>
      </c>
      <c r="V82" s="1">
        <f t="shared" si="45"/>
        <v>3.1388888888888888</v>
      </c>
      <c r="W82" s="1">
        <f t="shared" si="45"/>
        <v>3.4333333333333331</v>
      </c>
      <c r="X82" s="1">
        <f t="shared" si="45"/>
        <v>3.6472222222222221</v>
      </c>
      <c r="Y82" s="1">
        <f t="shared" si="45"/>
        <v>3.9361111111111109</v>
      </c>
      <c r="Z82" s="1">
        <f t="shared" si="45"/>
        <v>4.1527777777777777</v>
      </c>
      <c r="AA82" s="1">
        <f t="shared" si="45"/>
        <v>4.447222222222222</v>
      </c>
      <c r="AB82" s="1">
        <f t="shared" si="45"/>
        <v>4.6611111111111114</v>
      </c>
      <c r="AC82" s="1">
        <f t="shared" si="45"/>
        <v>4.9527777777777775</v>
      </c>
      <c r="AD82" s="1">
        <f t="shared" si="45"/>
        <v>5.1694444444444443</v>
      </c>
      <c r="AE82" s="1">
        <f t="shared" si="45"/>
        <v>5.1694444444444443</v>
      </c>
      <c r="AF82" s="3">
        <f t="shared" si="45"/>
        <v>5.4638888888888886</v>
      </c>
      <c r="AG82" s="1">
        <f t="shared" si="44"/>
        <v>5.677777777777778</v>
      </c>
      <c r="AH82" s="1">
        <f t="shared" si="44"/>
        <v>5.9666666666666668</v>
      </c>
      <c r="AI82" s="1">
        <f t="shared" si="44"/>
        <v>5.9666666666666668</v>
      </c>
      <c r="AJ82" s="1">
        <f t="shared" si="44"/>
        <v>6.1833333333333336</v>
      </c>
      <c r="AK82" s="1">
        <f t="shared" si="44"/>
        <v>6.1833333333333336</v>
      </c>
      <c r="AL82" s="1">
        <f t="shared" si="44"/>
        <v>6.6916666666666664</v>
      </c>
      <c r="AM82" s="1">
        <f t="shared" si="44"/>
        <v>7.197222222222222</v>
      </c>
      <c r="AN82" s="1">
        <f t="shared" si="44"/>
        <v>7.197222222222222</v>
      </c>
      <c r="AO82" s="1">
        <f t="shared" si="44"/>
        <v>7.7055555555555557</v>
      </c>
      <c r="AP82" s="1">
        <f t="shared" si="44"/>
        <v>8.2111111111111104</v>
      </c>
      <c r="AQ82" s="1">
        <f t="shared" si="44"/>
        <v>8.2111111111111104</v>
      </c>
      <c r="AR82" s="1">
        <f t="shared" si="44"/>
        <v>8.719444444444445</v>
      </c>
      <c r="AS82" s="1">
        <f t="shared" si="44"/>
        <v>9.2277777777777779</v>
      </c>
      <c r="AT82" s="1">
        <f t="shared" si="44"/>
        <v>9.7361111111111107</v>
      </c>
      <c r="AU82" s="1">
        <f t="shared" si="44"/>
        <v>10.241666666666667</v>
      </c>
      <c r="AV82" s="1">
        <f t="shared" si="44"/>
        <v>10.241666666666667</v>
      </c>
      <c r="AW82" s="1">
        <f t="shared" ref="AW82:BL97" si="46">(AW$1-$B82)/360</f>
        <v>14.808333333333334</v>
      </c>
      <c r="AX82" s="1">
        <f t="shared" si="40"/>
        <v>15.313888888888888</v>
      </c>
      <c r="AY82" s="1">
        <f t="shared" si="40"/>
        <v>15.822222222222223</v>
      </c>
      <c r="AZ82" s="1">
        <f t="shared" si="40"/>
        <v>16.327777777777779</v>
      </c>
      <c r="BA82" s="1">
        <f t="shared" si="40"/>
        <v>16.836111111111112</v>
      </c>
      <c r="BB82" s="1">
        <f t="shared" si="40"/>
        <v>17.344444444444445</v>
      </c>
      <c r="BC82" s="1">
        <f t="shared" si="40"/>
        <v>17.852777777777778</v>
      </c>
      <c r="BD82" s="1">
        <f t="shared" si="40"/>
        <v>18.358333333333334</v>
      </c>
      <c r="BE82" s="1">
        <f t="shared" si="40"/>
        <v>18.358333333333334</v>
      </c>
      <c r="BF82" s="1">
        <f t="shared" si="40"/>
        <v>26.983333333333334</v>
      </c>
      <c r="BG82" s="1">
        <f t="shared" si="40"/>
        <v>27.488888888888887</v>
      </c>
      <c r="BH82" s="1">
        <f t="shared" si="40"/>
        <v>27.997222222222224</v>
      </c>
      <c r="BI82" s="1">
        <f t="shared" si="40"/>
        <v>28.502777777777776</v>
      </c>
      <c r="BJ82" s="1">
        <f t="shared" si="40"/>
        <v>29.011111111111113</v>
      </c>
      <c r="BK82" s="1">
        <f t="shared" si="40"/>
        <v>29.519444444444446</v>
      </c>
      <c r="BL82" s="1">
        <f t="shared" si="40"/>
        <v>30.027777777777779</v>
      </c>
      <c r="BM82" s="1">
        <f t="shared" si="40"/>
        <v>30.533333333333335</v>
      </c>
      <c r="BN82" s="1">
        <f t="shared" si="41"/>
        <v>31.041666666666668</v>
      </c>
      <c r="BO82" s="1">
        <f t="shared" si="41"/>
        <v>31.041666666666668</v>
      </c>
      <c r="BP82" s="1">
        <f t="shared" si="41"/>
        <v>31.547222222222221</v>
      </c>
      <c r="BQ82" s="1">
        <f t="shared" si="41"/>
        <v>32.055555555555557</v>
      </c>
      <c r="BR82" s="1">
        <f t="shared" si="41"/>
        <v>32.56111111111111</v>
      </c>
      <c r="BS82" s="1">
        <f t="shared" si="41"/>
        <v>33.069444444444443</v>
      </c>
      <c r="BT82" s="1">
        <f t="shared" si="41"/>
        <v>33.577777777777776</v>
      </c>
      <c r="BU82" s="1">
        <f t="shared" si="41"/>
        <v>34.086111111111109</v>
      </c>
      <c r="BV82" s="1">
        <f t="shared" si="41"/>
        <v>34.086111111111109</v>
      </c>
      <c r="BW82" s="1">
        <f t="shared" si="41"/>
        <v>34.591666666666669</v>
      </c>
      <c r="BX82" s="1">
        <f t="shared" si="41"/>
        <v>35.1</v>
      </c>
      <c r="BY82" s="1">
        <f t="shared" si="41"/>
        <v>35.605555555555554</v>
      </c>
      <c r="BZ82" s="1">
        <f t="shared" si="41"/>
        <v>36.113888888888887</v>
      </c>
      <c r="CA82" s="1">
        <f t="shared" si="41"/>
        <v>36.619444444444447</v>
      </c>
      <c r="CB82" s="1">
        <f t="shared" si="41"/>
        <v>37.12777777777778</v>
      </c>
      <c r="CC82" s="1">
        <f t="shared" si="41"/>
        <v>37.636111111111113</v>
      </c>
      <c r="CD82" s="1">
        <f t="shared" si="42"/>
        <v>38.144444444444446</v>
      </c>
      <c r="CE82" s="1">
        <f t="shared" si="42"/>
        <v>38.65</v>
      </c>
      <c r="CF82" s="1">
        <f t="shared" si="42"/>
        <v>39.158333333333331</v>
      </c>
      <c r="CG82" s="1">
        <f t="shared" si="42"/>
        <v>39.663888888888891</v>
      </c>
      <c r="CH82" s="1">
        <f t="shared" si="42"/>
        <v>40.172222222222224</v>
      </c>
      <c r="CI82" s="1">
        <f t="shared" si="42"/>
        <v>40.677777777777777</v>
      </c>
      <c r="CJ82" s="1">
        <f t="shared" si="42"/>
        <v>41.18611111111111</v>
      </c>
      <c r="CK82" s="1">
        <f t="shared" si="42"/>
        <v>41.694444444444443</v>
      </c>
      <c r="CL82" s="1">
        <f t="shared" si="42"/>
        <v>42.202777777777776</v>
      </c>
      <c r="CM82" s="1">
        <f t="shared" si="42"/>
        <v>42.708333333333336</v>
      </c>
      <c r="CN82" s="1">
        <f t="shared" si="42"/>
        <v>43.216666666666669</v>
      </c>
      <c r="CO82" s="1">
        <f t="shared" si="42"/>
        <v>43.722222222222221</v>
      </c>
      <c r="CP82" s="1">
        <f t="shared" si="42"/>
        <v>44.230555555555554</v>
      </c>
      <c r="CQ82" s="1">
        <f t="shared" si="42"/>
        <v>44.736111111111114</v>
      </c>
      <c r="CR82" s="1">
        <f t="shared" si="42"/>
        <v>45.244444444444447</v>
      </c>
      <c r="CS82" s="1">
        <f t="shared" si="42"/>
        <v>45.75277777777778</v>
      </c>
      <c r="CT82" s="1">
        <f t="shared" si="43"/>
        <v>46.261111111111113</v>
      </c>
      <c r="CU82" s="1">
        <f t="shared" si="43"/>
        <v>46.766666666666666</v>
      </c>
      <c r="CV82" s="1">
        <f t="shared" si="43"/>
        <v>47.274999999999999</v>
      </c>
      <c r="CW82" s="1">
        <f t="shared" si="43"/>
        <v>47.780555555555559</v>
      </c>
      <c r="CX82" s="1">
        <f t="shared" si="43"/>
        <v>48.288888888888891</v>
      </c>
      <c r="CY82" s="1">
        <f t="shared" si="43"/>
        <v>48.794444444444444</v>
      </c>
      <c r="CZ82" s="1">
        <f t="shared" si="43"/>
        <v>49.302777777777777</v>
      </c>
      <c r="DA82" s="1">
        <f t="shared" si="43"/>
        <v>49.81111111111111</v>
      </c>
      <c r="DB82" s="1">
        <f t="shared" si="43"/>
        <v>50.319444444444443</v>
      </c>
      <c r="DC82" s="1">
        <f t="shared" si="43"/>
        <v>50.319444444444443</v>
      </c>
    </row>
    <row r="83" spans="1:107" x14ac:dyDescent="0.25">
      <c r="A83">
        <f t="shared" si="38"/>
        <v>4</v>
      </c>
      <c r="B83" s="2">
        <f>yields_BRUTE!B83</f>
        <v>42123</v>
      </c>
      <c r="C83" s="1">
        <f t="shared" ref="C83:R98" si="47">(C$1-$B83)/360</f>
        <v>-0.16388888888888889</v>
      </c>
      <c r="D83" s="1">
        <f t="shared" si="47"/>
        <v>-0.125</v>
      </c>
      <c r="E83" s="1">
        <f t="shared" si="47"/>
        <v>9.166666666666666E-2</v>
      </c>
      <c r="F83" s="1">
        <f t="shared" si="47"/>
        <v>0.34722222222222221</v>
      </c>
      <c r="G83" s="1">
        <f t="shared" si="47"/>
        <v>0.38611111111111113</v>
      </c>
      <c r="H83" s="1">
        <f t="shared" si="47"/>
        <v>0.6</v>
      </c>
      <c r="I83" s="1">
        <f t="shared" si="47"/>
        <v>0.6</v>
      </c>
      <c r="J83" s="1">
        <f t="shared" si="47"/>
        <v>0.85277777777777775</v>
      </c>
      <c r="K83" s="1">
        <f t="shared" si="47"/>
        <v>0.89166666666666672</v>
      </c>
      <c r="L83" s="1">
        <f t="shared" si="47"/>
        <v>1.1083333333333334</v>
      </c>
      <c r="M83" s="1">
        <f t="shared" si="47"/>
        <v>1.3638888888888889</v>
      </c>
      <c r="N83" s="1">
        <f t="shared" si="47"/>
        <v>1.3638888888888889</v>
      </c>
      <c r="O83" s="1">
        <f t="shared" si="47"/>
        <v>1.4027777777777777</v>
      </c>
      <c r="P83" s="1">
        <f t="shared" si="47"/>
        <v>1.6166666666666667</v>
      </c>
      <c r="Q83" s="1">
        <f t="shared" si="47"/>
        <v>1.9055555555555554</v>
      </c>
      <c r="R83" s="1">
        <f t="shared" si="47"/>
        <v>2.1222222222222222</v>
      </c>
      <c r="S83" s="1">
        <f t="shared" si="45"/>
        <v>2.4166666666666665</v>
      </c>
      <c r="T83" s="1">
        <f t="shared" si="45"/>
        <v>2.6305555555555555</v>
      </c>
      <c r="U83" s="1">
        <f t="shared" si="45"/>
        <v>2.9194444444444443</v>
      </c>
      <c r="V83" s="1">
        <f t="shared" si="45"/>
        <v>3.1361111111111111</v>
      </c>
      <c r="W83" s="1">
        <f t="shared" si="45"/>
        <v>3.4305555555555554</v>
      </c>
      <c r="X83" s="1">
        <f t="shared" si="45"/>
        <v>3.6444444444444444</v>
      </c>
      <c r="Y83" s="1">
        <f t="shared" si="45"/>
        <v>3.9333333333333331</v>
      </c>
      <c r="Z83" s="1">
        <f t="shared" si="45"/>
        <v>4.1500000000000004</v>
      </c>
      <c r="AA83" s="1">
        <f t="shared" si="45"/>
        <v>4.4444444444444446</v>
      </c>
      <c r="AB83" s="1">
        <f t="shared" si="45"/>
        <v>4.6583333333333332</v>
      </c>
      <c r="AC83" s="1">
        <f t="shared" si="45"/>
        <v>4.95</v>
      </c>
      <c r="AD83" s="1">
        <f t="shared" si="45"/>
        <v>5.166666666666667</v>
      </c>
      <c r="AE83" s="1">
        <f t="shared" si="45"/>
        <v>5.166666666666667</v>
      </c>
      <c r="AF83" s="3">
        <f t="shared" si="45"/>
        <v>5.4611111111111112</v>
      </c>
      <c r="AG83" s="1">
        <f t="shared" si="44"/>
        <v>5.6749999999999998</v>
      </c>
      <c r="AH83" s="1">
        <f t="shared" si="44"/>
        <v>5.9638888888888886</v>
      </c>
      <c r="AI83" s="1">
        <f t="shared" si="44"/>
        <v>5.9638888888888886</v>
      </c>
      <c r="AJ83" s="1">
        <f t="shared" si="44"/>
        <v>6.1805555555555554</v>
      </c>
      <c r="AK83" s="1">
        <f t="shared" si="44"/>
        <v>6.1805555555555554</v>
      </c>
      <c r="AL83" s="1">
        <f t="shared" si="44"/>
        <v>6.6888888888888891</v>
      </c>
      <c r="AM83" s="1">
        <f t="shared" si="44"/>
        <v>7.1944444444444446</v>
      </c>
      <c r="AN83" s="1">
        <f t="shared" si="44"/>
        <v>7.1944444444444446</v>
      </c>
      <c r="AO83" s="1">
        <f t="shared" si="44"/>
        <v>7.7027777777777775</v>
      </c>
      <c r="AP83" s="1">
        <f t="shared" si="44"/>
        <v>8.2083333333333339</v>
      </c>
      <c r="AQ83" s="1">
        <f t="shared" si="44"/>
        <v>8.2083333333333339</v>
      </c>
      <c r="AR83" s="1">
        <f t="shared" si="44"/>
        <v>8.7166666666666668</v>
      </c>
      <c r="AS83" s="1">
        <f t="shared" si="44"/>
        <v>9.2249999999999996</v>
      </c>
      <c r="AT83" s="1">
        <f t="shared" si="44"/>
        <v>9.7333333333333325</v>
      </c>
      <c r="AU83" s="1">
        <f t="shared" si="44"/>
        <v>10.238888888888889</v>
      </c>
      <c r="AV83" s="1">
        <f t="shared" si="44"/>
        <v>10.238888888888889</v>
      </c>
      <c r="AW83" s="1">
        <f t="shared" si="46"/>
        <v>14.805555555555555</v>
      </c>
      <c r="AX83" s="1">
        <f t="shared" si="40"/>
        <v>15.311111111111112</v>
      </c>
      <c r="AY83" s="1">
        <f t="shared" si="40"/>
        <v>15.819444444444445</v>
      </c>
      <c r="AZ83" s="1">
        <f t="shared" si="40"/>
        <v>16.324999999999999</v>
      </c>
      <c r="BA83" s="1">
        <f t="shared" si="40"/>
        <v>16.833333333333332</v>
      </c>
      <c r="BB83" s="1">
        <f t="shared" si="40"/>
        <v>17.341666666666665</v>
      </c>
      <c r="BC83" s="1">
        <f t="shared" si="40"/>
        <v>17.850000000000001</v>
      </c>
      <c r="BD83" s="1">
        <f t="shared" si="40"/>
        <v>18.355555555555554</v>
      </c>
      <c r="BE83" s="1">
        <f t="shared" si="40"/>
        <v>18.355555555555554</v>
      </c>
      <c r="BF83" s="1">
        <f t="shared" si="40"/>
        <v>26.980555555555554</v>
      </c>
      <c r="BG83" s="1">
        <f t="shared" si="40"/>
        <v>27.486111111111111</v>
      </c>
      <c r="BH83" s="1">
        <f t="shared" si="40"/>
        <v>27.994444444444444</v>
      </c>
      <c r="BI83" s="1">
        <f t="shared" si="40"/>
        <v>28.5</v>
      </c>
      <c r="BJ83" s="1">
        <f t="shared" si="40"/>
        <v>29.008333333333333</v>
      </c>
      <c r="BK83" s="1">
        <f t="shared" si="40"/>
        <v>29.516666666666666</v>
      </c>
      <c r="BL83" s="1">
        <f t="shared" si="40"/>
        <v>30.024999999999999</v>
      </c>
      <c r="BM83" s="1">
        <f t="shared" si="40"/>
        <v>30.530555555555555</v>
      </c>
      <c r="BN83" s="1">
        <f t="shared" si="41"/>
        <v>31.038888888888888</v>
      </c>
      <c r="BO83" s="1">
        <f t="shared" si="41"/>
        <v>31.038888888888888</v>
      </c>
      <c r="BP83" s="1">
        <f t="shared" si="41"/>
        <v>31.544444444444444</v>
      </c>
      <c r="BQ83" s="1">
        <f t="shared" si="41"/>
        <v>32.052777777777777</v>
      </c>
      <c r="BR83" s="1">
        <f t="shared" si="41"/>
        <v>32.55833333333333</v>
      </c>
      <c r="BS83" s="1">
        <f t="shared" si="41"/>
        <v>33.06666666666667</v>
      </c>
      <c r="BT83" s="1">
        <f t="shared" si="41"/>
        <v>33.575000000000003</v>
      </c>
      <c r="BU83" s="1">
        <f t="shared" si="41"/>
        <v>34.083333333333336</v>
      </c>
      <c r="BV83" s="1">
        <f t="shared" si="41"/>
        <v>34.083333333333336</v>
      </c>
      <c r="BW83" s="1">
        <f t="shared" si="41"/>
        <v>34.588888888888889</v>
      </c>
      <c r="BX83" s="1">
        <f t="shared" si="41"/>
        <v>35.097222222222221</v>
      </c>
      <c r="BY83" s="1">
        <f t="shared" si="41"/>
        <v>35.602777777777774</v>
      </c>
      <c r="BZ83" s="1">
        <f t="shared" si="41"/>
        <v>36.111111111111114</v>
      </c>
      <c r="CA83" s="1">
        <f t="shared" si="41"/>
        <v>36.616666666666667</v>
      </c>
      <c r="CB83" s="1">
        <f t="shared" si="41"/>
        <v>37.125</v>
      </c>
      <c r="CC83" s="1">
        <f t="shared" si="41"/>
        <v>37.633333333333333</v>
      </c>
      <c r="CD83" s="1">
        <f t="shared" si="42"/>
        <v>38.141666666666666</v>
      </c>
      <c r="CE83" s="1">
        <f t="shared" si="42"/>
        <v>38.647222222222226</v>
      </c>
      <c r="CF83" s="1">
        <f t="shared" si="42"/>
        <v>39.155555555555559</v>
      </c>
      <c r="CG83" s="1">
        <f t="shared" si="42"/>
        <v>39.661111111111111</v>
      </c>
      <c r="CH83" s="1">
        <f t="shared" si="42"/>
        <v>40.169444444444444</v>
      </c>
      <c r="CI83" s="1">
        <f t="shared" si="42"/>
        <v>40.674999999999997</v>
      </c>
      <c r="CJ83" s="1">
        <f t="shared" si="42"/>
        <v>41.18333333333333</v>
      </c>
      <c r="CK83" s="1">
        <f t="shared" si="42"/>
        <v>41.69166666666667</v>
      </c>
      <c r="CL83" s="1">
        <f t="shared" si="42"/>
        <v>42.2</v>
      </c>
      <c r="CM83" s="1">
        <f t="shared" si="42"/>
        <v>42.705555555555556</v>
      </c>
      <c r="CN83" s="1">
        <f t="shared" si="42"/>
        <v>43.213888888888889</v>
      </c>
      <c r="CO83" s="1">
        <f t="shared" si="42"/>
        <v>43.719444444444441</v>
      </c>
      <c r="CP83" s="1">
        <f t="shared" si="42"/>
        <v>44.227777777777774</v>
      </c>
      <c r="CQ83" s="1">
        <f t="shared" si="42"/>
        <v>44.733333333333334</v>
      </c>
      <c r="CR83" s="1">
        <f t="shared" si="42"/>
        <v>45.241666666666667</v>
      </c>
      <c r="CS83" s="1">
        <f t="shared" si="42"/>
        <v>45.75</v>
      </c>
      <c r="CT83" s="1">
        <f t="shared" si="43"/>
        <v>46.258333333333333</v>
      </c>
      <c r="CU83" s="1">
        <f t="shared" si="43"/>
        <v>46.763888888888886</v>
      </c>
      <c r="CV83" s="1">
        <f t="shared" si="43"/>
        <v>47.272222222222226</v>
      </c>
      <c r="CW83" s="1">
        <f t="shared" si="43"/>
        <v>47.777777777777779</v>
      </c>
      <c r="CX83" s="1">
        <f t="shared" si="43"/>
        <v>48.286111111111111</v>
      </c>
      <c r="CY83" s="1">
        <f t="shared" si="43"/>
        <v>48.791666666666664</v>
      </c>
      <c r="CZ83" s="1">
        <f t="shared" si="43"/>
        <v>49.3</v>
      </c>
      <c r="DA83" s="1">
        <f t="shared" si="43"/>
        <v>49.80833333333333</v>
      </c>
      <c r="DB83" s="1">
        <f t="shared" si="43"/>
        <v>50.31666666666667</v>
      </c>
      <c r="DC83" s="1">
        <f t="shared" si="43"/>
        <v>50.31666666666667</v>
      </c>
    </row>
    <row r="84" spans="1:107" x14ac:dyDescent="0.25">
      <c r="A84">
        <f t="shared" si="38"/>
        <v>5</v>
      </c>
      <c r="B84" s="2">
        <f>yields_BRUTE!B84</f>
        <v>42124</v>
      </c>
      <c r="C84" s="1">
        <f t="shared" si="47"/>
        <v>-0.16666666666666666</v>
      </c>
      <c r="D84" s="1">
        <f t="shared" si="47"/>
        <v>-0.12777777777777777</v>
      </c>
      <c r="E84" s="1">
        <f t="shared" si="47"/>
        <v>8.8888888888888892E-2</v>
      </c>
      <c r="F84" s="1">
        <f t="shared" si="47"/>
        <v>0.34444444444444444</v>
      </c>
      <c r="G84" s="1">
        <f t="shared" si="47"/>
        <v>0.38333333333333336</v>
      </c>
      <c r="H84" s="1">
        <f t="shared" si="47"/>
        <v>0.59722222222222221</v>
      </c>
      <c r="I84" s="1">
        <f t="shared" si="47"/>
        <v>0.59722222222222221</v>
      </c>
      <c r="J84" s="1">
        <f t="shared" si="47"/>
        <v>0.85</v>
      </c>
      <c r="K84" s="1">
        <f t="shared" si="47"/>
        <v>0.88888888888888884</v>
      </c>
      <c r="L84" s="1">
        <f t="shared" si="47"/>
        <v>1.1055555555555556</v>
      </c>
      <c r="M84" s="1">
        <f t="shared" si="47"/>
        <v>1.3611111111111112</v>
      </c>
      <c r="N84" s="1">
        <f t="shared" si="47"/>
        <v>1.3611111111111112</v>
      </c>
      <c r="O84" s="1">
        <f t="shared" si="47"/>
        <v>1.4</v>
      </c>
      <c r="P84" s="1">
        <f t="shared" si="47"/>
        <v>1.6138888888888889</v>
      </c>
      <c r="Q84" s="1">
        <f t="shared" si="47"/>
        <v>1.9027777777777777</v>
      </c>
      <c r="R84" s="1">
        <f t="shared" si="47"/>
        <v>2.1194444444444445</v>
      </c>
      <c r="S84" s="1">
        <f t="shared" si="45"/>
        <v>2.4138888888888888</v>
      </c>
      <c r="T84" s="1">
        <f t="shared" si="45"/>
        <v>2.6277777777777778</v>
      </c>
      <c r="U84" s="1">
        <f t="shared" si="45"/>
        <v>2.9166666666666665</v>
      </c>
      <c r="V84" s="1">
        <f t="shared" si="45"/>
        <v>3.1333333333333333</v>
      </c>
      <c r="W84" s="1">
        <f t="shared" si="45"/>
        <v>3.4277777777777776</v>
      </c>
      <c r="X84" s="1">
        <f t="shared" si="45"/>
        <v>3.6416666666666666</v>
      </c>
      <c r="Y84" s="1">
        <f t="shared" si="45"/>
        <v>3.9305555555555554</v>
      </c>
      <c r="Z84" s="1">
        <f t="shared" si="45"/>
        <v>4.1472222222222221</v>
      </c>
      <c r="AA84" s="1">
        <f t="shared" si="45"/>
        <v>4.4416666666666664</v>
      </c>
      <c r="AB84" s="1">
        <f t="shared" si="45"/>
        <v>4.6555555555555559</v>
      </c>
      <c r="AC84" s="1">
        <f t="shared" si="45"/>
        <v>4.947222222222222</v>
      </c>
      <c r="AD84" s="1">
        <f t="shared" si="45"/>
        <v>5.1638888888888888</v>
      </c>
      <c r="AE84" s="1">
        <f t="shared" si="45"/>
        <v>5.1638888888888888</v>
      </c>
      <c r="AF84" s="3">
        <f t="shared" si="45"/>
        <v>5.458333333333333</v>
      </c>
      <c r="AG84" s="1">
        <f t="shared" si="44"/>
        <v>5.6722222222222225</v>
      </c>
      <c r="AH84" s="1">
        <f t="shared" si="44"/>
        <v>5.9611111111111112</v>
      </c>
      <c r="AI84" s="1">
        <f t="shared" si="44"/>
        <v>5.9611111111111112</v>
      </c>
      <c r="AJ84" s="1">
        <f t="shared" si="44"/>
        <v>6.177777777777778</v>
      </c>
      <c r="AK84" s="1">
        <f t="shared" si="44"/>
        <v>6.177777777777778</v>
      </c>
      <c r="AL84" s="1">
        <f t="shared" si="44"/>
        <v>6.6861111111111109</v>
      </c>
      <c r="AM84" s="1">
        <f t="shared" si="44"/>
        <v>7.1916666666666664</v>
      </c>
      <c r="AN84" s="1">
        <f t="shared" si="44"/>
        <v>7.1916666666666664</v>
      </c>
      <c r="AO84" s="1">
        <f t="shared" si="44"/>
        <v>7.7</v>
      </c>
      <c r="AP84" s="1">
        <f t="shared" si="44"/>
        <v>8.2055555555555557</v>
      </c>
      <c r="AQ84" s="1">
        <f t="shared" si="44"/>
        <v>8.2055555555555557</v>
      </c>
      <c r="AR84" s="1">
        <f t="shared" si="44"/>
        <v>8.7138888888888886</v>
      </c>
      <c r="AS84" s="1">
        <f t="shared" si="44"/>
        <v>9.2222222222222214</v>
      </c>
      <c r="AT84" s="1">
        <f t="shared" si="44"/>
        <v>9.7305555555555561</v>
      </c>
      <c r="AU84" s="1">
        <f t="shared" si="44"/>
        <v>10.236111111111111</v>
      </c>
      <c r="AV84" s="1">
        <f t="shared" si="44"/>
        <v>10.236111111111111</v>
      </c>
      <c r="AW84" s="1">
        <f t="shared" si="46"/>
        <v>14.802777777777777</v>
      </c>
      <c r="AX84" s="1">
        <f t="shared" si="40"/>
        <v>15.308333333333334</v>
      </c>
      <c r="AY84" s="1">
        <f t="shared" si="40"/>
        <v>15.816666666666666</v>
      </c>
      <c r="AZ84" s="1">
        <f t="shared" si="40"/>
        <v>16.322222222222223</v>
      </c>
      <c r="BA84" s="1">
        <f t="shared" si="40"/>
        <v>16.830555555555556</v>
      </c>
      <c r="BB84" s="1">
        <f t="shared" si="40"/>
        <v>17.338888888888889</v>
      </c>
      <c r="BC84" s="1">
        <f t="shared" si="40"/>
        <v>17.847222222222221</v>
      </c>
      <c r="BD84" s="1">
        <f t="shared" si="40"/>
        <v>18.352777777777778</v>
      </c>
      <c r="BE84" s="1">
        <f t="shared" si="40"/>
        <v>18.352777777777778</v>
      </c>
      <c r="BF84" s="1">
        <f t="shared" si="40"/>
        <v>26.977777777777778</v>
      </c>
      <c r="BG84" s="1">
        <f t="shared" si="40"/>
        <v>27.483333333333334</v>
      </c>
      <c r="BH84" s="1">
        <f t="shared" si="40"/>
        <v>27.991666666666667</v>
      </c>
      <c r="BI84" s="1">
        <f t="shared" si="40"/>
        <v>28.497222222222224</v>
      </c>
      <c r="BJ84" s="1">
        <f t="shared" si="40"/>
        <v>29.005555555555556</v>
      </c>
      <c r="BK84" s="1">
        <f t="shared" si="40"/>
        <v>29.513888888888889</v>
      </c>
      <c r="BL84" s="1">
        <f t="shared" si="40"/>
        <v>30.022222222222222</v>
      </c>
      <c r="BM84" s="1">
        <f t="shared" si="40"/>
        <v>30.527777777777779</v>
      </c>
      <c r="BN84" s="1">
        <f t="shared" si="41"/>
        <v>31.036111111111111</v>
      </c>
      <c r="BO84" s="1">
        <f t="shared" si="41"/>
        <v>31.036111111111111</v>
      </c>
      <c r="BP84" s="1">
        <f t="shared" si="41"/>
        <v>31.541666666666668</v>
      </c>
      <c r="BQ84" s="1">
        <f t="shared" si="41"/>
        <v>32.049999999999997</v>
      </c>
      <c r="BR84" s="1">
        <f t="shared" si="41"/>
        <v>32.555555555555557</v>
      </c>
      <c r="BS84" s="1">
        <f t="shared" si="41"/>
        <v>33.06388888888889</v>
      </c>
      <c r="BT84" s="1">
        <f t="shared" si="41"/>
        <v>33.572222222222223</v>
      </c>
      <c r="BU84" s="1">
        <f t="shared" si="41"/>
        <v>34.080555555555556</v>
      </c>
      <c r="BV84" s="1">
        <f t="shared" si="41"/>
        <v>34.080555555555556</v>
      </c>
      <c r="BW84" s="1">
        <f t="shared" si="41"/>
        <v>34.586111111111109</v>
      </c>
      <c r="BX84" s="1">
        <f t="shared" si="41"/>
        <v>35.094444444444441</v>
      </c>
      <c r="BY84" s="1">
        <f t="shared" si="41"/>
        <v>35.6</v>
      </c>
      <c r="BZ84" s="1">
        <f t="shared" si="41"/>
        <v>36.108333333333334</v>
      </c>
      <c r="CA84" s="1">
        <f t="shared" si="41"/>
        <v>36.613888888888887</v>
      </c>
      <c r="CB84" s="1">
        <f t="shared" si="41"/>
        <v>37.12222222222222</v>
      </c>
      <c r="CC84" s="1">
        <f t="shared" si="41"/>
        <v>37.630555555555553</v>
      </c>
      <c r="CD84" s="1">
        <f t="shared" si="42"/>
        <v>38.138888888888886</v>
      </c>
      <c r="CE84" s="1">
        <f t="shared" si="42"/>
        <v>38.644444444444446</v>
      </c>
      <c r="CF84" s="1">
        <f t="shared" si="42"/>
        <v>39.152777777777779</v>
      </c>
      <c r="CG84" s="1">
        <f t="shared" si="42"/>
        <v>39.658333333333331</v>
      </c>
      <c r="CH84" s="1">
        <f t="shared" si="42"/>
        <v>40.166666666666664</v>
      </c>
      <c r="CI84" s="1">
        <f t="shared" si="42"/>
        <v>40.672222222222224</v>
      </c>
      <c r="CJ84" s="1">
        <f t="shared" si="42"/>
        <v>41.180555555555557</v>
      </c>
      <c r="CK84" s="1">
        <f t="shared" si="42"/>
        <v>41.68888888888889</v>
      </c>
      <c r="CL84" s="1">
        <f t="shared" si="42"/>
        <v>42.197222222222223</v>
      </c>
      <c r="CM84" s="1">
        <f t="shared" si="42"/>
        <v>42.702777777777776</v>
      </c>
      <c r="CN84" s="1">
        <f t="shared" si="42"/>
        <v>43.211111111111109</v>
      </c>
      <c r="CO84" s="1">
        <f t="shared" si="42"/>
        <v>43.716666666666669</v>
      </c>
      <c r="CP84" s="1">
        <f t="shared" si="42"/>
        <v>44.225000000000001</v>
      </c>
      <c r="CQ84" s="1">
        <f t="shared" si="42"/>
        <v>44.730555555555554</v>
      </c>
      <c r="CR84" s="1">
        <f t="shared" si="42"/>
        <v>45.238888888888887</v>
      </c>
      <c r="CS84" s="1">
        <f t="shared" si="42"/>
        <v>45.74722222222222</v>
      </c>
      <c r="CT84" s="1">
        <f t="shared" si="43"/>
        <v>46.255555555555553</v>
      </c>
      <c r="CU84" s="1">
        <f t="shared" si="43"/>
        <v>46.761111111111113</v>
      </c>
      <c r="CV84" s="1">
        <f t="shared" si="43"/>
        <v>47.269444444444446</v>
      </c>
      <c r="CW84" s="1">
        <f t="shared" si="43"/>
        <v>47.774999999999999</v>
      </c>
      <c r="CX84" s="1">
        <f t="shared" si="43"/>
        <v>48.283333333333331</v>
      </c>
      <c r="CY84" s="1">
        <f t="shared" si="43"/>
        <v>48.788888888888891</v>
      </c>
      <c r="CZ84" s="1">
        <f t="shared" si="43"/>
        <v>49.297222222222224</v>
      </c>
      <c r="DA84" s="1">
        <f t="shared" si="43"/>
        <v>49.805555555555557</v>
      </c>
      <c r="DB84" s="1">
        <f t="shared" si="43"/>
        <v>50.31388888888889</v>
      </c>
      <c r="DC84" s="1">
        <f t="shared" si="43"/>
        <v>50.31388888888889</v>
      </c>
    </row>
    <row r="85" spans="1:107" x14ac:dyDescent="0.25">
      <c r="A85">
        <f t="shared" si="38"/>
        <v>6</v>
      </c>
      <c r="B85" s="2">
        <f>yields_BRUTE!B85</f>
        <v>42125</v>
      </c>
      <c r="C85" s="1">
        <f t="shared" si="47"/>
        <v>-0.16944444444444445</v>
      </c>
      <c r="D85" s="1">
        <f t="shared" si="47"/>
        <v>-0.13055555555555556</v>
      </c>
      <c r="E85" s="1">
        <f t="shared" si="47"/>
        <v>8.611111111111111E-2</v>
      </c>
      <c r="F85" s="1">
        <f t="shared" si="47"/>
        <v>0.34166666666666667</v>
      </c>
      <c r="G85" s="1">
        <f t="shared" si="47"/>
        <v>0.38055555555555554</v>
      </c>
      <c r="H85" s="1">
        <f t="shared" si="47"/>
        <v>0.59444444444444444</v>
      </c>
      <c r="I85" s="1">
        <f t="shared" si="47"/>
        <v>0.59444444444444444</v>
      </c>
      <c r="J85" s="1">
        <f t="shared" si="47"/>
        <v>0.84722222222222221</v>
      </c>
      <c r="K85" s="1">
        <f t="shared" si="47"/>
        <v>0.88611111111111107</v>
      </c>
      <c r="L85" s="1">
        <f t="shared" si="47"/>
        <v>1.1027777777777779</v>
      </c>
      <c r="M85" s="1">
        <f t="shared" si="47"/>
        <v>1.3583333333333334</v>
      </c>
      <c r="N85" s="1">
        <f t="shared" si="47"/>
        <v>1.3583333333333334</v>
      </c>
      <c r="O85" s="1">
        <f t="shared" si="47"/>
        <v>1.3972222222222221</v>
      </c>
      <c r="P85" s="1">
        <f t="shared" si="47"/>
        <v>1.6111111111111112</v>
      </c>
      <c r="Q85" s="1">
        <f t="shared" si="47"/>
        <v>1.9</v>
      </c>
      <c r="R85" s="1">
        <f t="shared" si="47"/>
        <v>2.1166666666666667</v>
      </c>
      <c r="S85" s="1">
        <f t="shared" si="45"/>
        <v>2.411111111111111</v>
      </c>
      <c r="T85" s="1">
        <f t="shared" si="45"/>
        <v>2.625</v>
      </c>
      <c r="U85" s="1">
        <f t="shared" si="45"/>
        <v>2.9138888888888888</v>
      </c>
      <c r="V85" s="1">
        <f t="shared" si="45"/>
        <v>3.1305555555555555</v>
      </c>
      <c r="W85" s="1">
        <f t="shared" si="45"/>
        <v>3.4249999999999998</v>
      </c>
      <c r="X85" s="1">
        <f t="shared" si="45"/>
        <v>3.6388888888888888</v>
      </c>
      <c r="Y85" s="1">
        <f t="shared" si="45"/>
        <v>3.9277777777777776</v>
      </c>
      <c r="Z85" s="1">
        <f t="shared" si="45"/>
        <v>4.1444444444444448</v>
      </c>
      <c r="AA85" s="1">
        <f t="shared" si="45"/>
        <v>4.4388888888888891</v>
      </c>
      <c r="AB85" s="1">
        <f t="shared" si="45"/>
        <v>4.6527777777777777</v>
      </c>
      <c r="AC85" s="1">
        <f t="shared" si="45"/>
        <v>4.9444444444444446</v>
      </c>
      <c r="AD85" s="1">
        <f t="shared" si="45"/>
        <v>5.1611111111111114</v>
      </c>
      <c r="AE85" s="1">
        <f t="shared" si="45"/>
        <v>5.1611111111111114</v>
      </c>
      <c r="AF85" s="3">
        <f t="shared" si="45"/>
        <v>5.4555555555555557</v>
      </c>
      <c r="AG85" s="1">
        <f t="shared" si="44"/>
        <v>5.6694444444444443</v>
      </c>
      <c r="AH85" s="1">
        <f t="shared" si="44"/>
        <v>5.958333333333333</v>
      </c>
      <c r="AI85" s="1">
        <f t="shared" si="44"/>
        <v>5.958333333333333</v>
      </c>
      <c r="AJ85" s="1">
        <f t="shared" si="44"/>
        <v>6.1749999999999998</v>
      </c>
      <c r="AK85" s="1">
        <f t="shared" si="44"/>
        <v>6.1749999999999998</v>
      </c>
      <c r="AL85" s="1">
        <f t="shared" si="44"/>
        <v>6.6833333333333336</v>
      </c>
      <c r="AM85" s="1">
        <f t="shared" si="44"/>
        <v>7.1888888888888891</v>
      </c>
      <c r="AN85" s="1">
        <f t="shared" si="44"/>
        <v>7.1888888888888891</v>
      </c>
      <c r="AO85" s="1">
        <f t="shared" si="44"/>
        <v>7.697222222222222</v>
      </c>
      <c r="AP85" s="1">
        <f t="shared" si="44"/>
        <v>8.2027777777777775</v>
      </c>
      <c r="AQ85" s="1">
        <f t="shared" si="44"/>
        <v>8.2027777777777775</v>
      </c>
      <c r="AR85" s="1">
        <f t="shared" si="44"/>
        <v>8.7111111111111104</v>
      </c>
      <c r="AS85" s="1">
        <f t="shared" si="44"/>
        <v>9.219444444444445</v>
      </c>
      <c r="AT85" s="1">
        <f t="shared" si="44"/>
        <v>9.7277777777777779</v>
      </c>
      <c r="AU85" s="1">
        <f t="shared" si="44"/>
        <v>10.233333333333333</v>
      </c>
      <c r="AV85" s="1">
        <f t="shared" si="44"/>
        <v>10.233333333333333</v>
      </c>
      <c r="AW85" s="1">
        <f t="shared" si="46"/>
        <v>14.8</v>
      </c>
      <c r="AX85" s="1">
        <f t="shared" si="40"/>
        <v>15.305555555555555</v>
      </c>
      <c r="AY85" s="1">
        <f t="shared" si="40"/>
        <v>15.813888888888888</v>
      </c>
      <c r="AZ85" s="1">
        <f t="shared" si="40"/>
        <v>16.319444444444443</v>
      </c>
      <c r="BA85" s="1">
        <f t="shared" si="40"/>
        <v>16.827777777777779</v>
      </c>
      <c r="BB85" s="1">
        <f t="shared" si="40"/>
        <v>17.336111111111112</v>
      </c>
      <c r="BC85" s="1">
        <f t="shared" si="40"/>
        <v>17.844444444444445</v>
      </c>
      <c r="BD85" s="1">
        <f t="shared" si="40"/>
        <v>18.350000000000001</v>
      </c>
      <c r="BE85" s="1">
        <f t="shared" si="40"/>
        <v>18.350000000000001</v>
      </c>
      <c r="BF85" s="1">
        <f t="shared" si="40"/>
        <v>26.975000000000001</v>
      </c>
      <c r="BG85" s="1">
        <f t="shared" si="40"/>
        <v>27.480555555555554</v>
      </c>
      <c r="BH85" s="1">
        <f t="shared" si="40"/>
        <v>27.988888888888887</v>
      </c>
      <c r="BI85" s="1">
        <f t="shared" si="40"/>
        <v>28.494444444444444</v>
      </c>
      <c r="BJ85" s="1">
        <f t="shared" si="40"/>
        <v>29.002777777777776</v>
      </c>
      <c r="BK85" s="1">
        <f t="shared" si="40"/>
        <v>29.511111111111113</v>
      </c>
      <c r="BL85" s="1">
        <f t="shared" si="40"/>
        <v>30.019444444444446</v>
      </c>
      <c r="BM85" s="1">
        <f t="shared" si="40"/>
        <v>30.524999999999999</v>
      </c>
      <c r="BN85" s="1">
        <f t="shared" si="41"/>
        <v>31.033333333333335</v>
      </c>
      <c r="BO85" s="1">
        <f t="shared" si="41"/>
        <v>31.033333333333335</v>
      </c>
      <c r="BP85" s="1">
        <f t="shared" si="41"/>
        <v>31.538888888888888</v>
      </c>
      <c r="BQ85" s="1">
        <f t="shared" si="41"/>
        <v>32.047222222222224</v>
      </c>
      <c r="BR85" s="1">
        <f t="shared" si="41"/>
        <v>32.552777777777777</v>
      </c>
      <c r="BS85" s="1">
        <f t="shared" si="41"/>
        <v>33.06111111111111</v>
      </c>
      <c r="BT85" s="1">
        <f t="shared" si="41"/>
        <v>33.569444444444443</v>
      </c>
      <c r="BU85" s="1">
        <f t="shared" si="41"/>
        <v>34.077777777777776</v>
      </c>
      <c r="BV85" s="1">
        <f t="shared" si="41"/>
        <v>34.077777777777776</v>
      </c>
      <c r="BW85" s="1">
        <f t="shared" si="41"/>
        <v>34.583333333333336</v>
      </c>
      <c r="BX85" s="1">
        <f t="shared" si="41"/>
        <v>35.091666666666669</v>
      </c>
      <c r="BY85" s="1">
        <f t="shared" si="41"/>
        <v>35.597222222222221</v>
      </c>
      <c r="BZ85" s="1">
        <f t="shared" si="41"/>
        <v>36.105555555555554</v>
      </c>
      <c r="CA85" s="1">
        <f t="shared" si="41"/>
        <v>36.611111111111114</v>
      </c>
      <c r="CB85" s="1">
        <f t="shared" si="41"/>
        <v>37.119444444444447</v>
      </c>
      <c r="CC85" s="1">
        <f t="shared" si="41"/>
        <v>37.62777777777778</v>
      </c>
      <c r="CD85" s="1">
        <f t="shared" si="42"/>
        <v>38.136111111111113</v>
      </c>
      <c r="CE85" s="1">
        <f t="shared" si="42"/>
        <v>38.641666666666666</v>
      </c>
      <c r="CF85" s="1">
        <f t="shared" si="42"/>
        <v>39.15</v>
      </c>
      <c r="CG85" s="1">
        <f t="shared" si="42"/>
        <v>39.655555555555559</v>
      </c>
      <c r="CH85" s="1">
        <f t="shared" si="42"/>
        <v>40.163888888888891</v>
      </c>
      <c r="CI85" s="1">
        <f t="shared" si="42"/>
        <v>40.669444444444444</v>
      </c>
      <c r="CJ85" s="1">
        <f t="shared" si="42"/>
        <v>41.177777777777777</v>
      </c>
      <c r="CK85" s="1">
        <f t="shared" si="42"/>
        <v>41.68611111111111</v>
      </c>
      <c r="CL85" s="1">
        <f t="shared" si="42"/>
        <v>42.194444444444443</v>
      </c>
      <c r="CM85" s="1">
        <f t="shared" si="42"/>
        <v>42.7</v>
      </c>
      <c r="CN85" s="1">
        <f t="shared" si="42"/>
        <v>43.208333333333336</v>
      </c>
      <c r="CO85" s="1">
        <f t="shared" si="42"/>
        <v>43.713888888888889</v>
      </c>
      <c r="CP85" s="1">
        <f t="shared" si="42"/>
        <v>44.222222222222221</v>
      </c>
      <c r="CQ85" s="1">
        <f t="shared" si="42"/>
        <v>44.727777777777774</v>
      </c>
      <c r="CR85" s="1">
        <f t="shared" si="42"/>
        <v>45.236111111111114</v>
      </c>
      <c r="CS85" s="1">
        <f t="shared" si="42"/>
        <v>45.744444444444447</v>
      </c>
      <c r="CT85" s="1">
        <f t="shared" si="43"/>
        <v>46.25277777777778</v>
      </c>
      <c r="CU85" s="1">
        <f t="shared" si="43"/>
        <v>46.758333333333333</v>
      </c>
      <c r="CV85" s="1">
        <f t="shared" si="43"/>
        <v>47.266666666666666</v>
      </c>
      <c r="CW85" s="1">
        <f t="shared" si="43"/>
        <v>47.772222222222226</v>
      </c>
      <c r="CX85" s="1">
        <f t="shared" si="43"/>
        <v>48.280555555555559</v>
      </c>
      <c r="CY85" s="1">
        <f t="shared" si="43"/>
        <v>48.786111111111111</v>
      </c>
      <c r="CZ85" s="1">
        <f t="shared" si="43"/>
        <v>49.294444444444444</v>
      </c>
      <c r="DA85" s="1">
        <f t="shared" si="43"/>
        <v>49.802777777777777</v>
      </c>
      <c r="DB85" s="1">
        <f t="shared" si="43"/>
        <v>50.31111111111111</v>
      </c>
      <c r="DC85" s="1">
        <f t="shared" si="43"/>
        <v>50.31111111111111</v>
      </c>
    </row>
    <row r="86" spans="1:107" x14ac:dyDescent="0.25">
      <c r="A86">
        <f t="shared" si="38"/>
        <v>2</v>
      </c>
      <c r="B86" s="2">
        <f>yields_BRUTE!B86</f>
        <v>42128</v>
      </c>
      <c r="C86" s="1">
        <f t="shared" si="47"/>
        <v>-0.17777777777777778</v>
      </c>
      <c r="D86" s="1">
        <f t="shared" si="47"/>
        <v>-0.1388888888888889</v>
      </c>
      <c r="E86" s="1">
        <f t="shared" si="47"/>
        <v>7.7777777777777779E-2</v>
      </c>
      <c r="F86" s="1">
        <f t="shared" si="47"/>
        <v>0.33333333333333331</v>
      </c>
      <c r="G86" s="1">
        <f t="shared" si="47"/>
        <v>0.37222222222222223</v>
      </c>
      <c r="H86" s="1">
        <f t="shared" si="47"/>
        <v>0.58611111111111114</v>
      </c>
      <c r="I86" s="1">
        <f t="shared" si="47"/>
        <v>0.58611111111111114</v>
      </c>
      <c r="J86" s="1">
        <f t="shared" si="47"/>
        <v>0.83888888888888891</v>
      </c>
      <c r="K86" s="1">
        <f t="shared" si="47"/>
        <v>0.87777777777777777</v>
      </c>
      <c r="L86" s="1">
        <f t="shared" si="47"/>
        <v>1.0944444444444446</v>
      </c>
      <c r="M86" s="1">
        <f t="shared" si="47"/>
        <v>1.35</v>
      </c>
      <c r="N86" s="1">
        <f t="shared" si="47"/>
        <v>1.35</v>
      </c>
      <c r="O86" s="1">
        <f t="shared" si="47"/>
        <v>1.3888888888888888</v>
      </c>
      <c r="P86" s="1">
        <f t="shared" si="47"/>
        <v>1.6027777777777779</v>
      </c>
      <c r="Q86" s="1">
        <f t="shared" si="47"/>
        <v>1.8916666666666666</v>
      </c>
      <c r="R86" s="1">
        <f t="shared" si="47"/>
        <v>2.1083333333333334</v>
      </c>
      <c r="S86" s="1">
        <f t="shared" si="45"/>
        <v>2.4027777777777777</v>
      </c>
      <c r="T86" s="1">
        <f t="shared" si="45"/>
        <v>2.6166666666666667</v>
      </c>
      <c r="U86" s="1">
        <f t="shared" si="45"/>
        <v>2.9055555555555554</v>
      </c>
      <c r="V86" s="1">
        <f t="shared" si="45"/>
        <v>3.1222222222222222</v>
      </c>
      <c r="W86" s="1">
        <f t="shared" si="45"/>
        <v>3.4166666666666665</v>
      </c>
      <c r="X86" s="1">
        <f t="shared" si="45"/>
        <v>3.6305555555555555</v>
      </c>
      <c r="Y86" s="1">
        <f t="shared" si="45"/>
        <v>3.9194444444444443</v>
      </c>
      <c r="Z86" s="1">
        <f t="shared" si="45"/>
        <v>4.1361111111111111</v>
      </c>
      <c r="AA86" s="1">
        <f t="shared" si="45"/>
        <v>4.4305555555555554</v>
      </c>
      <c r="AB86" s="1">
        <f t="shared" si="45"/>
        <v>4.6444444444444448</v>
      </c>
      <c r="AC86" s="1">
        <f t="shared" si="45"/>
        <v>4.9361111111111109</v>
      </c>
      <c r="AD86" s="1">
        <f t="shared" si="45"/>
        <v>5.1527777777777777</v>
      </c>
      <c r="AE86" s="1">
        <f t="shared" si="45"/>
        <v>5.1527777777777777</v>
      </c>
      <c r="AF86" s="3">
        <f t="shared" si="45"/>
        <v>5.447222222222222</v>
      </c>
      <c r="AG86" s="1">
        <f t="shared" si="44"/>
        <v>5.6611111111111114</v>
      </c>
      <c r="AH86" s="1">
        <f t="shared" si="44"/>
        <v>5.95</v>
      </c>
      <c r="AI86" s="1">
        <f t="shared" si="44"/>
        <v>5.95</v>
      </c>
      <c r="AJ86" s="1">
        <f t="shared" si="44"/>
        <v>6.166666666666667</v>
      </c>
      <c r="AK86" s="1">
        <f t="shared" si="44"/>
        <v>6.166666666666667</v>
      </c>
      <c r="AL86" s="1">
        <f t="shared" si="44"/>
        <v>6.6749999999999998</v>
      </c>
      <c r="AM86" s="1">
        <f t="shared" si="44"/>
        <v>7.1805555555555554</v>
      </c>
      <c r="AN86" s="1">
        <f t="shared" si="44"/>
        <v>7.1805555555555554</v>
      </c>
      <c r="AO86" s="1">
        <f t="shared" si="44"/>
        <v>7.6888888888888891</v>
      </c>
      <c r="AP86" s="1">
        <f t="shared" si="44"/>
        <v>8.1944444444444446</v>
      </c>
      <c r="AQ86" s="1">
        <f t="shared" si="44"/>
        <v>8.1944444444444446</v>
      </c>
      <c r="AR86" s="1">
        <f t="shared" si="44"/>
        <v>8.7027777777777775</v>
      </c>
      <c r="AS86" s="1">
        <f t="shared" si="44"/>
        <v>9.2111111111111104</v>
      </c>
      <c r="AT86" s="1">
        <f t="shared" si="44"/>
        <v>9.719444444444445</v>
      </c>
      <c r="AU86" s="1">
        <f t="shared" si="44"/>
        <v>10.225</v>
      </c>
      <c r="AV86" s="1">
        <f t="shared" si="44"/>
        <v>10.225</v>
      </c>
      <c r="AW86" s="1">
        <f t="shared" si="46"/>
        <v>14.791666666666666</v>
      </c>
      <c r="AX86" s="1">
        <f t="shared" si="40"/>
        <v>15.297222222222222</v>
      </c>
      <c r="AY86" s="1">
        <f t="shared" si="40"/>
        <v>15.805555555555555</v>
      </c>
      <c r="AZ86" s="1">
        <f t="shared" si="40"/>
        <v>16.31111111111111</v>
      </c>
      <c r="BA86" s="1">
        <f t="shared" si="40"/>
        <v>16.819444444444443</v>
      </c>
      <c r="BB86" s="1">
        <f t="shared" si="40"/>
        <v>17.327777777777779</v>
      </c>
      <c r="BC86" s="1">
        <f t="shared" si="40"/>
        <v>17.836111111111112</v>
      </c>
      <c r="BD86" s="1">
        <f t="shared" si="40"/>
        <v>18.341666666666665</v>
      </c>
      <c r="BE86" s="1">
        <f t="shared" si="40"/>
        <v>18.341666666666665</v>
      </c>
      <c r="BF86" s="1">
        <f t="shared" si="40"/>
        <v>26.966666666666665</v>
      </c>
      <c r="BG86" s="1">
        <f t="shared" si="40"/>
        <v>27.472222222222221</v>
      </c>
      <c r="BH86" s="1">
        <f t="shared" si="40"/>
        <v>27.980555555555554</v>
      </c>
      <c r="BI86" s="1">
        <f t="shared" si="40"/>
        <v>28.486111111111111</v>
      </c>
      <c r="BJ86" s="1">
        <f t="shared" si="40"/>
        <v>28.994444444444444</v>
      </c>
      <c r="BK86" s="1">
        <f t="shared" si="40"/>
        <v>29.502777777777776</v>
      </c>
      <c r="BL86" s="1">
        <f t="shared" si="40"/>
        <v>30.011111111111113</v>
      </c>
      <c r="BM86" s="1">
        <f t="shared" si="40"/>
        <v>30.516666666666666</v>
      </c>
      <c r="BN86" s="1">
        <f t="shared" si="41"/>
        <v>31.024999999999999</v>
      </c>
      <c r="BO86" s="1">
        <f t="shared" si="41"/>
        <v>31.024999999999999</v>
      </c>
      <c r="BP86" s="1">
        <f t="shared" si="41"/>
        <v>31.530555555555555</v>
      </c>
      <c r="BQ86" s="1">
        <f t="shared" si="41"/>
        <v>32.038888888888891</v>
      </c>
      <c r="BR86" s="1">
        <f t="shared" si="41"/>
        <v>32.544444444444444</v>
      </c>
      <c r="BS86" s="1">
        <f t="shared" si="41"/>
        <v>33.052777777777777</v>
      </c>
      <c r="BT86" s="1">
        <f t="shared" si="41"/>
        <v>33.56111111111111</v>
      </c>
      <c r="BU86" s="1">
        <f t="shared" si="41"/>
        <v>34.069444444444443</v>
      </c>
      <c r="BV86" s="1">
        <f t="shared" si="41"/>
        <v>34.069444444444443</v>
      </c>
      <c r="BW86" s="1">
        <f t="shared" si="41"/>
        <v>34.575000000000003</v>
      </c>
      <c r="BX86" s="1">
        <f t="shared" si="41"/>
        <v>35.083333333333336</v>
      </c>
      <c r="BY86" s="1">
        <f t="shared" si="41"/>
        <v>35.588888888888889</v>
      </c>
      <c r="BZ86" s="1">
        <f t="shared" si="41"/>
        <v>36.097222222222221</v>
      </c>
      <c r="CA86" s="1">
        <f t="shared" si="41"/>
        <v>36.602777777777774</v>
      </c>
      <c r="CB86" s="1">
        <f t="shared" si="41"/>
        <v>37.111111111111114</v>
      </c>
      <c r="CC86" s="1">
        <f t="shared" si="41"/>
        <v>37.619444444444447</v>
      </c>
      <c r="CD86" s="1">
        <f t="shared" si="42"/>
        <v>38.12777777777778</v>
      </c>
      <c r="CE86" s="1">
        <f t="shared" si="42"/>
        <v>38.633333333333333</v>
      </c>
      <c r="CF86" s="1">
        <f t="shared" si="42"/>
        <v>39.141666666666666</v>
      </c>
      <c r="CG86" s="1">
        <f t="shared" si="42"/>
        <v>39.647222222222226</v>
      </c>
      <c r="CH86" s="1">
        <f t="shared" si="42"/>
        <v>40.155555555555559</v>
      </c>
      <c r="CI86" s="1">
        <f t="shared" si="42"/>
        <v>40.661111111111111</v>
      </c>
      <c r="CJ86" s="1">
        <f t="shared" si="42"/>
        <v>41.169444444444444</v>
      </c>
      <c r="CK86" s="1">
        <f t="shared" si="42"/>
        <v>41.677777777777777</v>
      </c>
      <c r="CL86" s="1">
        <f t="shared" si="42"/>
        <v>42.18611111111111</v>
      </c>
      <c r="CM86" s="1">
        <f t="shared" si="42"/>
        <v>42.69166666666667</v>
      </c>
      <c r="CN86" s="1">
        <f t="shared" si="42"/>
        <v>43.2</v>
      </c>
      <c r="CO86" s="1">
        <f t="shared" si="42"/>
        <v>43.705555555555556</v>
      </c>
      <c r="CP86" s="1">
        <f t="shared" si="42"/>
        <v>44.213888888888889</v>
      </c>
      <c r="CQ86" s="1">
        <f t="shared" si="42"/>
        <v>44.719444444444441</v>
      </c>
      <c r="CR86" s="1">
        <f t="shared" si="42"/>
        <v>45.227777777777774</v>
      </c>
      <c r="CS86" s="1">
        <f t="shared" si="42"/>
        <v>45.736111111111114</v>
      </c>
      <c r="CT86" s="1">
        <f t="shared" si="43"/>
        <v>46.244444444444447</v>
      </c>
      <c r="CU86" s="1">
        <f t="shared" si="43"/>
        <v>46.75</v>
      </c>
      <c r="CV86" s="1">
        <f t="shared" si="43"/>
        <v>47.258333333333333</v>
      </c>
      <c r="CW86" s="1">
        <f t="shared" si="43"/>
        <v>47.763888888888886</v>
      </c>
      <c r="CX86" s="1">
        <f t="shared" si="43"/>
        <v>48.272222222222226</v>
      </c>
      <c r="CY86" s="1">
        <f t="shared" si="43"/>
        <v>48.777777777777779</v>
      </c>
      <c r="CZ86" s="1">
        <f t="shared" si="43"/>
        <v>49.286111111111111</v>
      </c>
      <c r="DA86" s="1">
        <f t="shared" si="43"/>
        <v>49.794444444444444</v>
      </c>
      <c r="DB86" s="1">
        <f t="shared" si="43"/>
        <v>50.302777777777777</v>
      </c>
      <c r="DC86" s="1">
        <f t="shared" si="43"/>
        <v>50.302777777777777</v>
      </c>
    </row>
    <row r="87" spans="1:107" x14ac:dyDescent="0.25">
      <c r="A87">
        <f t="shared" si="38"/>
        <v>3</v>
      </c>
      <c r="B87" s="2">
        <f>yields_BRUTE!B87</f>
        <v>42129</v>
      </c>
      <c r="C87" s="1">
        <f t="shared" si="47"/>
        <v>-0.18055555555555555</v>
      </c>
      <c r="D87" s="1">
        <f t="shared" si="47"/>
        <v>-0.14166666666666666</v>
      </c>
      <c r="E87" s="1">
        <f t="shared" si="47"/>
        <v>7.4999999999999997E-2</v>
      </c>
      <c r="F87" s="1">
        <f t="shared" si="47"/>
        <v>0.33055555555555555</v>
      </c>
      <c r="G87" s="1">
        <f t="shared" si="47"/>
        <v>0.36944444444444446</v>
      </c>
      <c r="H87" s="1">
        <f t="shared" si="47"/>
        <v>0.58333333333333337</v>
      </c>
      <c r="I87" s="1">
        <f t="shared" si="47"/>
        <v>0.58333333333333337</v>
      </c>
      <c r="J87" s="1">
        <f t="shared" si="47"/>
        <v>0.83611111111111114</v>
      </c>
      <c r="K87" s="1">
        <f t="shared" si="47"/>
        <v>0.875</v>
      </c>
      <c r="L87" s="1">
        <f t="shared" si="47"/>
        <v>1.0916666666666666</v>
      </c>
      <c r="M87" s="1">
        <f t="shared" si="47"/>
        <v>1.3472222222222223</v>
      </c>
      <c r="N87" s="1">
        <f t="shared" si="47"/>
        <v>1.3472222222222223</v>
      </c>
      <c r="O87" s="1">
        <f t="shared" si="47"/>
        <v>1.3861111111111111</v>
      </c>
      <c r="P87" s="1">
        <f t="shared" si="47"/>
        <v>1.6</v>
      </c>
      <c r="Q87" s="1">
        <f t="shared" si="47"/>
        <v>1.8888888888888888</v>
      </c>
      <c r="R87" s="1">
        <f t="shared" si="47"/>
        <v>2.1055555555555556</v>
      </c>
      <c r="S87" s="1">
        <f t="shared" si="45"/>
        <v>2.4</v>
      </c>
      <c r="T87" s="1">
        <f t="shared" si="45"/>
        <v>2.6138888888888889</v>
      </c>
      <c r="U87" s="1">
        <f t="shared" si="45"/>
        <v>2.9027777777777777</v>
      </c>
      <c r="V87" s="1">
        <f t="shared" si="45"/>
        <v>3.1194444444444445</v>
      </c>
      <c r="W87" s="1">
        <f t="shared" si="45"/>
        <v>3.4138888888888888</v>
      </c>
      <c r="X87" s="1">
        <f t="shared" si="45"/>
        <v>3.6277777777777778</v>
      </c>
      <c r="Y87" s="1">
        <f t="shared" si="45"/>
        <v>3.9166666666666665</v>
      </c>
      <c r="Z87" s="1">
        <f t="shared" si="45"/>
        <v>4.1333333333333337</v>
      </c>
      <c r="AA87" s="1">
        <f t="shared" si="45"/>
        <v>4.427777777777778</v>
      </c>
      <c r="AB87" s="1">
        <f t="shared" si="45"/>
        <v>4.6416666666666666</v>
      </c>
      <c r="AC87" s="1">
        <f t="shared" si="45"/>
        <v>4.9333333333333336</v>
      </c>
      <c r="AD87" s="1">
        <f t="shared" si="45"/>
        <v>5.15</v>
      </c>
      <c r="AE87" s="1">
        <f t="shared" si="45"/>
        <v>5.15</v>
      </c>
      <c r="AF87" s="3">
        <f t="shared" si="45"/>
        <v>5.4444444444444446</v>
      </c>
      <c r="AG87" s="1">
        <f t="shared" si="44"/>
        <v>5.6583333333333332</v>
      </c>
      <c r="AH87" s="1">
        <f t="shared" si="44"/>
        <v>5.947222222222222</v>
      </c>
      <c r="AI87" s="1">
        <f t="shared" si="44"/>
        <v>5.947222222222222</v>
      </c>
      <c r="AJ87" s="1">
        <f t="shared" si="44"/>
        <v>6.1638888888888888</v>
      </c>
      <c r="AK87" s="1">
        <f t="shared" si="44"/>
        <v>6.1638888888888888</v>
      </c>
      <c r="AL87" s="1">
        <f t="shared" si="44"/>
        <v>6.6722222222222225</v>
      </c>
      <c r="AM87" s="1">
        <f t="shared" si="44"/>
        <v>7.177777777777778</v>
      </c>
      <c r="AN87" s="1">
        <f t="shared" si="44"/>
        <v>7.177777777777778</v>
      </c>
      <c r="AO87" s="1">
        <f t="shared" si="44"/>
        <v>7.6861111111111109</v>
      </c>
      <c r="AP87" s="1">
        <f t="shared" si="44"/>
        <v>8.1916666666666664</v>
      </c>
      <c r="AQ87" s="1">
        <f t="shared" si="44"/>
        <v>8.1916666666666664</v>
      </c>
      <c r="AR87" s="1">
        <f t="shared" si="44"/>
        <v>8.6999999999999993</v>
      </c>
      <c r="AS87" s="1">
        <f t="shared" si="44"/>
        <v>9.2083333333333339</v>
      </c>
      <c r="AT87" s="1">
        <f t="shared" si="44"/>
        <v>9.7166666666666668</v>
      </c>
      <c r="AU87" s="1">
        <f t="shared" si="44"/>
        <v>10.222222222222221</v>
      </c>
      <c r="AV87" s="1">
        <f t="shared" si="44"/>
        <v>10.222222222222221</v>
      </c>
      <c r="AW87" s="1">
        <f t="shared" si="46"/>
        <v>14.78888888888889</v>
      </c>
      <c r="AX87" s="1">
        <f t="shared" si="40"/>
        <v>15.294444444444444</v>
      </c>
      <c r="AY87" s="1">
        <f t="shared" si="40"/>
        <v>15.802777777777777</v>
      </c>
      <c r="AZ87" s="1">
        <f t="shared" si="40"/>
        <v>16.308333333333334</v>
      </c>
      <c r="BA87" s="1">
        <f t="shared" si="40"/>
        <v>16.816666666666666</v>
      </c>
      <c r="BB87" s="1">
        <f t="shared" si="40"/>
        <v>17.324999999999999</v>
      </c>
      <c r="BC87" s="1">
        <f t="shared" si="40"/>
        <v>17.833333333333332</v>
      </c>
      <c r="BD87" s="1">
        <f t="shared" si="40"/>
        <v>18.338888888888889</v>
      </c>
      <c r="BE87" s="1">
        <f t="shared" si="40"/>
        <v>18.338888888888889</v>
      </c>
      <c r="BF87" s="1">
        <f t="shared" si="40"/>
        <v>26.963888888888889</v>
      </c>
      <c r="BG87" s="1">
        <f t="shared" si="40"/>
        <v>27.469444444444445</v>
      </c>
      <c r="BH87" s="1">
        <f t="shared" si="40"/>
        <v>27.977777777777778</v>
      </c>
      <c r="BI87" s="1">
        <f t="shared" si="40"/>
        <v>28.483333333333334</v>
      </c>
      <c r="BJ87" s="1">
        <f t="shared" si="40"/>
        <v>28.991666666666667</v>
      </c>
      <c r="BK87" s="1">
        <f t="shared" si="40"/>
        <v>29.5</v>
      </c>
      <c r="BL87" s="1">
        <f t="shared" si="40"/>
        <v>30.008333333333333</v>
      </c>
      <c r="BM87" s="1">
        <f t="shared" si="40"/>
        <v>30.513888888888889</v>
      </c>
      <c r="BN87" s="1">
        <f t="shared" si="41"/>
        <v>31.022222222222222</v>
      </c>
      <c r="BO87" s="1">
        <f t="shared" si="41"/>
        <v>31.022222222222222</v>
      </c>
      <c r="BP87" s="1">
        <f t="shared" si="41"/>
        <v>31.527777777777779</v>
      </c>
      <c r="BQ87" s="1">
        <f t="shared" si="41"/>
        <v>32.036111111111111</v>
      </c>
      <c r="BR87" s="1">
        <f t="shared" si="41"/>
        <v>32.541666666666664</v>
      </c>
      <c r="BS87" s="1">
        <f t="shared" si="41"/>
        <v>33.049999999999997</v>
      </c>
      <c r="BT87" s="1">
        <f t="shared" si="41"/>
        <v>33.55833333333333</v>
      </c>
      <c r="BU87" s="1">
        <f t="shared" si="41"/>
        <v>34.06666666666667</v>
      </c>
      <c r="BV87" s="1">
        <f t="shared" si="41"/>
        <v>34.06666666666667</v>
      </c>
      <c r="BW87" s="1">
        <f t="shared" si="41"/>
        <v>34.572222222222223</v>
      </c>
      <c r="BX87" s="1">
        <f t="shared" si="41"/>
        <v>35.080555555555556</v>
      </c>
      <c r="BY87" s="1">
        <f t="shared" si="41"/>
        <v>35.586111111111109</v>
      </c>
      <c r="BZ87" s="1">
        <f t="shared" si="41"/>
        <v>36.094444444444441</v>
      </c>
      <c r="CA87" s="1">
        <f t="shared" si="41"/>
        <v>36.6</v>
      </c>
      <c r="CB87" s="1">
        <f t="shared" si="41"/>
        <v>37.108333333333334</v>
      </c>
      <c r="CC87" s="1">
        <f t="shared" si="41"/>
        <v>37.616666666666667</v>
      </c>
      <c r="CD87" s="1">
        <f t="shared" si="42"/>
        <v>38.125</v>
      </c>
      <c r="CE87" s="1">
        <f t="shared" si="42"/>
        <v>38.630555555555553</v>
      </c>
      <c r="CF87" s="1">
        <f t="shared" si="42"/>
        <v>39.138888888888886</v>
      </c>
      <c r="CG87" s="1">
        <f t="shared" si="42"/>
        <v>39.644444444444446</v>
      </c>
      <c r="CH87" s="1">
        <f t="shared" si="42"/>
        <v>40.152777777777779</v>
      </c>
      <c r="CI87" s="1">
        <f t="shared" si="42"/>
        <v>40.658333333333331</v>
      </c>
      <c r="CJ87" s="1">
        <f t="shared" si="42"/>
        <v>41.166666666666664</v>
      </c>
      <c r="CK87" s="1">
        <f t="shared" si="42"/>
        <v>41.674999999999997</v>
      </c>
      <c r="CL87" s="1">
        <f t="shared" si="42"/>
        <v>42.18333333333333</v>
      </c>
      <c r="CM87" s="1">
        <f t="shared" si="42"/>
        <v>42.68888888888889</v>
      </c>
      <c r="CN87" s="1">
        <f t="shared" si="42"/>
        <v>43.197222222222223</v>
      </c>
      <c r="CO87" s="1">
        <f t="shared" si="42"/>
        <v>43.702777777777776</v>
      </c>
      <c r="CP87" s="1">
        <f t="shared" si="42"/>
        <v>44.211111111111109</v>
      </c>
      <c r="CQ87" s="1">
        <f t="shared" si="42"/>
        <v>44.716666666666669</v>
      </c>
      <c r="CR87" s="1">
        <f t="shared" si="42"/>
        <v>45.225000000000001</v>
      </c>
      <c r="CS87" s="1">
        <f t="shared" si="42"/>
        <v>45.733333333333334</v>
      </c>
      <c r="CT87" s="1">
        <f t="shared" si="43"/>
        <v>46.241666666666667</v>
      </c>
      <c r="CU87" s="1">
        <f t="shared" si="43"/>
        <v>46.74722222222222</v>
      </c>
      <c r="CV87" s="1">
        <f t="shared" si="43"/>
        <v>47.255555555555553</v>
      </c>
      <c r="CW87" s="1">
        <f t="shared" si="43"/>
        <v>47.761111111111113</v>
      </c>
      <c r="CX87" s="1">
        <f t="shared" si="43"/>
        <v>48.269444444444446</v>
      </c>
      <c r="CY87" s="1">
        <f t="shared" si="43"/>
        <v>48.774999999999999</v>
      </c>
      <c r="CZ87" s="1">
        <f t="shared" si="43"/>
        <v>49.283333333333331</v>
      </c>
      <c r="DA87" s="1">
        <f t="shared" si="43"/>
        <v>49.791666666666664</v>
      </c>
      <c r="DB87" s="1">
        <f t="shared" si="43"/>
        <v>50.3</v>
      </c>
      <c r="DC87" s="1">
        <f t="shared" si="43"/>
        <v>50.3</v>
      </c>
    </row>
    <row r="88" spans="1:107" x14ac:dyDescent="0.25">
      <c r="A88">
        <f t="shared" si="38"/>
        <v>4</v>
      </c>
      <c r="B88" s="2">
        <f>yields_BRUTE!B88</f>
        <v>42130</v>
      </c>
      <c r="C88" s="1">
        <f t="shared" si="47"/>
        <v>-0.18333333333333332</v>
      </c>
      <c r="D88" s="1">
        <f t="shared" si="47"/>
        <v>-0.14444444444444443</v>
      </c>
      <c r="E88" s="1">
        <f t="shared" si="47"/>
        <v>7.2222222222222215E-2</v>
      </c>
      <c r="F88" s="1">
        <f t="shared" si="47"/>
        <v>0.32777777777777778</v>
      </c>
      <c r="G88" s="1">
        <f t="shared" si="47"/>
        <v>0.36666666666666664</v>
      </c>
      <c r="H88" s="1">
        <f t="shared" si="47"/>
        <v>0.5805555555555556</v>
      </c>
      <c r="I88" s="1">
        <f t="shared" si="47"/>
        <v>0.5805555555555556</v>
      </c>
      <c r="J88" s="1">
        <f t="shared" si="47"/>
        <v>0.83333333333333337</v>
      </c>
      <c r="K88" s="1">
        <f t="shared" si="47"/>
        <v>0.87222222222222223</v>
      </c>
      <c r="L88" s="1">
        <f t="shared" si="47"/>
        <v>1.0888888888888888</v>
      </c>
      <c r="M88" s="1">
        <f t="shared" si="47"/>
        <v>1.3444444444444446</v>
      </c>
      <c r="N88" s="1">
        <f t="shared" si="47"/>
        <v>1.3444444444444446</v>
      </c>
      <c r="O88" s="1">
        <f t="shared" si="47"/>
        <v>1.3833333333333333</v>
      </c>
      <c r="P88" s="1">
        <f t="shared" si="47"/>
        <v>1.5972222222222223</v>
      </c>
      <c r="Q88" s="1">
        <f t="shared" si="47"/>
        <v>1.8861111111111111</v>
      </c>
      <c r="R88" s="1">
        <f t="shared" si="47"/>
        <v>2.1027777777777779</v>
      </c>
      <c r="S88" s="1">
        <f t="shared" si="45"/>
        <v>2.3972222222222221</v>
      </c>
      <c r="T88" s="1">
        <f t="shared" si="45"/>
        <v>2.6111111111111112</v>
      </c>
      <c r="U88" s="1">
        <f t="shared" si="45"/>
        <v>2.9</v>
      </c>
      <c r="V88" s="1">
        <f t="shared" si="45"/>
        <v>3.1166666666666667</v>
      </c>
      <c r="W88" s="1">
        <f t="shared" si="45"/>
        <v>3.411111111111111</v>
      </c>
      <c r="X88" s="1">
        <f t="shared" si="45"/>
        <v>3.625</v>
      </c>
      <c r="Y88" s="1">
        <f t="shared" si="45"/>
        <v>3.9138888888888888</v>
      </c>
      <c r="Z88" s="1">
        <f t="shared" si="45"/>
        <v>4.1305555555555555</v>
      </c>
      <c r="AA88" s="1">
        <f t="shared" si="45"/>
        <v>4.4249999999999998</v>
      </c>
      <c r="AB88" s="1">
        <f t="shared" si="45"/>
        <v>4.6388888888888893</v>
      </c>
      <c r="AC88" s="1">
        <f t="shared" si="45"/>
        <v>4.9305555555555554</v>
      </c>
      <c r="AD88" s="1">
        <f t="shared" si="45"/>
        <v>5.1472222222222221</v>
      </c>
      <c r="AE88" s="1">
        <f t="shared" si="45"/>
        <v>5.1472222222222221</v>
      </c>
      <c r="AF88" s="3">
        <f t="shared" si="45"/>
        <v>5.4416666666666664</v>
      </c>
      <c r="AG88" s="1">
        <f t="shared" si="44"/>
        <v>5.6555555555555559</v>
      </c>
      <c r="AH88" s="1">
        <f t="shared" si="44"/>
        <v>5.9444444444444446</v>
      </c>
      <c r="AI88" s="1">
        <f t="shared" si="44"/>
        <v>5.9444444444444446</v>
      </c>
      <c r="AJ88" s="1">
        <f t="shared" si="44"/>
        <v>6.1611111111111114</v>
      </c>
      <c r="AK88" s="1">
        <f t="shared" si="44"/>
        <v>6.1611111111111114</v>
      </c>
      <c r="AL88" s="1">
        <f t="shared" si="44"/>
        <v>6.6694444444444443</v>
      </c>
      <c r="AM88" s="1">
        <f t="shared" si="44"/>
        <v>7.1749999999999998</v>
      </c>
      <c r="AN88" s="1">
        <f t="shared" si="44"/>
        <v>7.1749999999999998</v>
      </c>
      <c r="AO88" s="1">
        <f t="shared" si="44"/>
        <v>7.6833333333333336</v>
      </c>
      <c r="AP88" s="1">
        <f t="shared" si="44"/>
        <v>8.1888888888888882</v>
      </c>
      <c r="AQ88" s="1">
        <f t="shared" si="44"/>
        <v>8.1888888888888882</v>
      </c>
      <c r="AR88" s="1">
        <f t="shared" si="44"/>
        <v>8.6972222222222229</v>
      </c>
      <c r="AS88" s="1">
        <f t="shared" si="44"/>
        <v>9.2055555555555557</v>
      </c>
      <c r="AT88" s="1">
        <f t="shared" si="44"/>
        <v>9.7138888888888886</v>
      </c>
      <c r="AU88" s="1">
        <f t="shared" si="44"/>
        <v>10.219444444444445</v>
      </c>
      <c r="AV88" s="1">
        <f t="shared" si="44"/>
        <v>10.219444444444445</v>
      </c>
      <c r="AW88" s="1">
        <f t="shared" si="46"/>
        <v>14.786111111111111</v>
      </c>
      <c r="AX88" s="1">
        <f t="shared" si="40"/>
        <v>15.291666666666666</v>
      </c>
      <c r="AY88" s="1">
        <f t="shared" si="40"/>
        <v>15.8</v>
      </c>
      <c r="AZ88" s="1">
        <f t="shared" si="40"/>
        <v>16.305555555555557</v>
      </c>
      <c r="BA88" s="1">
        <f t="shared" si="40"/>
        <v>16.81388888888889</v>
      </c>
      <c r="BB88" s="1">
        <f t="shared" si="40"/>
        <v>17.322222222222223</v>
      </c>
      <c r="BC88" s="1">
        <f t="shared" si="40"/>
        <v>17.830555555555556</v>
      </c>
      <c r="BD88" s="1">
        <f t="shared" si="40"/>
        <v>18.336111111111112</v>
      </c>
      <c r="BE88" s="1">
        <f t="shared" si="40"/>
        <v>18.336111111111112</v>
      </c>
      <c r="BF88" s="1">
        <f t="shared" si="40"/>
        <v>26.961111111111112</v>
      </c>
      <c r="BG88" s="1">
        <f t="shared" si="40"/>
        <v>27.466666666666665</v>
      </c>
      <c r="BH88" s="1">
        <f t="shared" si="40"/>
        <v>27.975000000000001</v>
      </c>
      <c r="BI88" s="1">
        <f t="shared" si="40"/>
        <v>28.480555555555554</v>
      </c>
      <c r="BJ88" s="1">
        <f t="shared" si="40"/>
        <v>28.988888888888887</v>
      </c>
      <c r="BK88" s="1">
        <f t="shared" si="40"/>
        <v>29.497222222222224</v>
      </c>
      <c r="BL88" s="1">
        <f t="shared" si="40"/>
        <v>30.005555555555556</v>
      </c>
      <c r="BM88" s="1">
        <f t="shared" si="40"/>
        <v>30.511111111111113</v>
      </c>
      <c r="BN88" s="1">
        <f t="shared" si="41"/>
        <v>31.019444444444446</v>
      </c>
      <c r="BO88" s="1">
        <f t="shared" si="41"/>
        <v>31.019444444444446</v>
      </c>
      <c r="BP88" s="1">
        <f t="shared" si="41"/>
        <v>31.524999999999999</v>
      </c>
      <c r="BQ88" s="1">
        <f t="shared" si="41"/>
        <v>32.033333333333331</v>
      </c>
      <c r="BR88" s="1">
        <f t="shared" si="41"/>
        <v>32.538888888888891</v>
      </c>
      <c r="BS88" s="1">
        <f t="shared" si="41"/>
        <v>33.047222222222224</v>
      </c>
      <c r="BT88" s="1">
        <f t="shared" si="41"/>
        <v>33.555555555555557</v>
      </c>
      <c r="BU88" s="1">
        <f t="shared" si="41"/>
        <v>34.06388888888889</v>
      </c>
      <c r="BV88" s="1">
        <f t="shared" si="41"/>
        <v>34.06388888888889</v>
      </c>
      <c r="BW88" s="1">
        <f t="shared" si="41"/>
        <v>34.569444444444443</v>
      </c>
      <c r="BX88" s="1">
        <f t="shared" si="41"/>
        <v>35.077777777777776</v>
      </c>
      <c r="BY88" s="1">
        <f t="shared" si="41"/>
        <v>35.583333333333336</v>
      </c>
      <c r="BZ88" s="1">
        <f t="shared" si="41"/>
        <v>36.091666666666669</v>
      </c>
      <c r="CA88" s="1">
        <f t="shared" si="41"/>
        <v>36.597222222222221</v>
      </c>
      <c r="CB88" s="1">
        <f t="shared" si="41"/>
        <v>37.105555555555554</v>
      </c>
      <c r="CC88" s="1">
        <f t="shared" si="41"/>
        <v>37.613888888888887</v>
      </c>
      <c r="CD88" s="1">
        <f t="shared" si="42"/>
        <v>38.12222222222222</v>
      </c>
      <c r="CE88" s="1">
        <f t="shared" si="42"/>
        <v>38.62777777777778</v>
      </c>
      <c r="CF88" s="1">
        <f t="shared" si="42"/>
        <v>39.136111111111113</v>
      </c>
      <c r="CG88" s="1">
        <f t="shared" si="42"/>
        <v>39.641666666666666</v>
      </c>
      <c r="CH88" s="1">
        <f t="shared" si="42"/>
        <v>40.15</v>
      </c>
      <c r="CI88" s="1">
        <f t="shared" si="42"/>
        <v>40.655555555555559</v>
      </c>
      <c r="CJ88" s="1">
        <f t="shared" si="42"/>
        <v>41.163888888888891</v>
      </c>
      <c r="CK88" s="1">
        <f t="shared" si="42"/>
        <v>41.672222222222224</v>
      </c>
      <c r="CL88" s="1">
        <f t="shared" si="42"/>
        <v>42.180555555555557</v>
      </c>
      <c r="CM88" s="1">
        <f t="shared" si="42"/>
        <v>42.68611111111111</v>
      </c>
      <c r="CN88" s="1">
        <f t="shared" si="42"/>
        <v>43.194444444444443</v>
      </c>
      <c r="CO88" s="1">
        <f t="shared" si="42"/>
        <v>43.7</v>
      </c>
      <c r="CP88" s="1">
        <f t="shared" si="42"/>
        <v>44.208333333333336</v>
      </c>
      <c r="CQ88" s="1">
        <f t="shared" si="42"/>
        <v>44.713888888888889</v>
      </c>
      <c r="CR88" s="1">
        <f t="shared" si="42"/>
        <v>45.222222222222221</v>
      </c>
      <c r="CS88" s="1">
        <f t="shared" si="42"/>
        <v>45.730555555555554</v>
      </c>
      <c r="CT88" s="1">
        <f t="shared" si="43"/>
        <v>46.238888888888887</v>
      </c>
      <c r="CU88" s="1">
        <f t="shared" si="43"/>
        <v>46.744444444444447</v>
      </c>
      <c r="CV88" s="1">
        <f t="shared" si="43"/>
        <v>47.25277777777778</v>
      </c>
      <c r="CW88" s="1">
        <f t="shared" si="43"/>
        <v>47.758333333333333</v>
      </c>
      <c r="CX88" s="1">
        <f t="shared" si="43"/>
        <v>48.266666666666666</v>
      </c>
      <c r="CY88" s="1">
        <f t="shared" si="43"/>
        <v>48.772222222222226</v>
      </c>
      <c r="CZ88" s="1">
        <f t="shared" si="43"/>
        <v>49.280555555555559</v>
      </c>
      <c r="DA88" s="1">
        <f t="shared" si="43"/>
        <v>49.788888888888891</v>
      </c>
      <c r="DB88" s="1">
        <f t="shared" si="43"/>
        <v>50.297222222222224</v>
      </c>
      <c r="DC88" s="1">
        <f t="shared" si="43"/>
        <v>50.297222222222224</v>
      </c>
    </row>
    <row r="89" spans="1:107" x14ac:dyDescent="0.25">
      <c r="A89">
        <f t="shared" si="38"/>
        <v>5</v>
      </c>
      <c r="B89" s="2">
        <f>yields_BRUTE!B89</f>
        <v>42131</v>
      </c>
      <c r="C89" s="1">
        <f t="shared" si="47"/>
        <v>-0.18611111111111112</v>
      </c>
      <c r="D89" s="1">
        <f t="shared" si="47"/>
        <v>-0.14722222222222223</v>
      </c>
      <c r="E89" s="1">
        <f t="shared" si="47"/>
        <v>6.9444444444444448E-2</v>
      </c>
      <c r="F89" s="1">
        <f t="shared" si="47"/>
        <v>0.32500000000000001</v>
      </c>
      <c r="G89" s="1">
        <f t="shared" si="47"/>
        <v>0.36388888888888887</v>
      </c>
      <c r="H89" s="1">
        <f t="shared" si="47"/>
        <v>0.57777777777777772</v>
      </c>
      <c r="I89" s="1">
        <f t="shared" si="47"/>
        <v>0.57777777777777772</v>
      </c>
      <c r="J89" s="1">
        <f t="shared" si="47"/>
        <v>0.8305555555555556</v>
      </c>
      <c r="K89" s="1">
        <f t="shared" si="47"/>
        <v>0.86944444444444446</v>
      </c>
      <c r="L89" s="1">
        <f t="shared" si="47"/>
        <v>1.086111111111111</v>
      </c>
      <c r="M89" s="1">
        <f t="shared" si="47"/>
        <v>1.3416666666666666</v>
      </c>
      <c r="N89" s="1">
        <f t="shared" si="47"/>
        <v>1.3416666666666666</v>
      </c>
      <c r="O89" s="1">
        <f t="shared" si="47"/>
        <v>1.3805555555555555</v>
      </c>
      <c r="P89" s="1">
        <f t="shared" si="47"/>
        <v>1.5944444444444446</v>
      </c>
      <c r="Q89" s="1">
        <f t="shared" si="47"/>
        <v>1.8833333333333333</v>
      </c>
      <c r="R89" s="1">
        <f t="shared" si="47"/>
        <v>2.1</v>
      </c>
      <c r="S89" s="1">
        <f t="shared" si="45"/>
        <v>2.3944444444444444</v>
      </c>
      <c r="T89" s="1">
        <f t="shared" si="45"/>
        <v>2.6083333333333334</v>
      </c>
      <c r="U89" s="1">
        <f t="shared" si="45"/>
        <v>2.8972222222222221</v>
      </c>
      <c r="V89" s="1">
        <f t="shared" si="45"/>
        <v>3.1138888888888889</v>
      </c>
      <c r="W89" s="1">
        <f t="shared" si="45"/>
        <v>3.4083333333333332</v>
      </c>
      <c r="X89" s="1">
        <f t="shared" si="45"/>
        <v>3.6222222222222222</v>
      </c>
      <c r="Y89" s="1">
        <f t="shared" si="45"/>
        <v>3.911111111111111</v>
      </c>
      <c r="Z89" s="1">
        <f t="shared" si="45"/>
        <v>4.1277777777777782</v>
      </c>
      <c r="AA89" s="1">
        <f t="shared" si="45"/>
        <v>4.4222222222222225</v>
      </c>
      <c r="AB89" s="1">
        <f t="shared" si="45"/>
        <v>4.6361111111111111</v>
      </c>
      <c r="AC89" s="1">
        <f t="shared" si="45"/>
        <v>4.927777777777778</v>
      </c>
      <c r="AD89" s="1">
        <f t="shared" si="45"/>
        <v>5.1444444444444448</v>
      </c>
      <c r="AE89" s="1">
        <f t="shared" si="45"/>
        <v>5.1444444444444448</v>
      </c>
      <c r="AF89" s="3">
        <f t="shared" si="45"/>
        <v>5.4388888888888891</v>
      </c>
      <c r="AG89" s="1">
        <f t="shared" si="44"/>
        <v>5.6527777777777777</v>
      </c>
      <c r="AH89" s="1">
        <f t="shared" si="44"/>
        <v>5.9416666666666664</v>
      </c>
      <c r="AI89" s="1">
        <f t="shared" si="44"/>
        <v>5.9416666666666664</v>
      </c>
      <c r="AJ89" s="1">
        <f t="shared" si="44"/>
        <v>6.1583333333333332</v>
      </c>
      <c r="AK89" s="1">
        <f t="shared" si="44"/>
        <v>6.1583333333333332</v>
      </c>
      <c r="AL89" s="1">
        <f t="shared" si="44"/>
        <v>6.666666666666667</v>
      </c>
      <c r="AM89" s="1">
        <f t="shared" si="44"/>
        <v>7.1722222222222225</v>
      </c>
      <c r="AN89" s="1">
        <f t="shared" si="44"/>
        <v>7.1722222222222225</v>
      </c>
      <c r="AO89" s="1">
        <f t="shared" si="44"/>
        <v>7.6805555555555554</v>
      </c>
      <c r="AP89" s="1">
        <f t="shared" si="44"/>
        <v>8.1861111111111118</v>
      </c>
      <c r="AQ89" s="1">
        <f t="shared" si="44"/>
        <v>8.1861111111111118</v>
      </c>
      <c r="AR89" s="1">
        <f t="shared" si="44"/>
        <v>8.6944444444444446</v>
      </c>
      <c r="AS89" s="1">
        <f t="shared" si="44"/>
        <v>9.2027777777777775</v>
      </c>
      <c r="AT89" s="1">
        <f t="shared" si="44"/>
        <v>9.7111111111111104</v>
      </c>
      <c r="AU89" s="1">
        <f t="shared" si="44"/>
        <v>10.216666666666667</v>
      </c>
      <c r="AV89" s="1">
        <f t="shared" si="44"/>
        <v>10.216666666666667</v>
      </c>
      <c r="AW89" s="1">
        <f t="shared" si="46"/>
        <v>14.783333333333333</v>
      </c>
      <c r="AX89" s="1">
        <f t="shared" si="40"/>
        <v>15.28888888888889</v>
      </c>
      <c r="AY89" s="1">
        <f t="shared" si="40"/>
        <v>15.797222222222222</v>
      </c>
      <c r="AZ89" s="1">
        <f t="shared" si="40"/>
        <v>16.302777777777777</v>
      </c>
      <c r="BA89" s="1">
        <f t="shared" si="40"/>
        <v>16.81111111111111</v>
      </c>
      <c r="BB89" s="1">
        <f t="shared" si="40"/>
        <v>17.319444444444443</v>
      </c>
      <c r="BC89" s="1">
        <f t="shared" si="40"/>
        <v>17.827777777777779</v>
      </c>
      <c r="BD89" s="1">
        <f t="shared" si="40"/>
        <v>18.333333333333332</v>
      </c>
      <c r="BE89" s="1">
        <f t="shared" si="40"/>
        <v>18.333333333333332</v>
      </c>
      <c r="BF89" s="1">
        <f t="shared" si="40"/>
        <v>26.958333333333332</v>
      </c>
      <c r="BG89" s="1">
        <f t="shared" si="40"/>
        <v>27.463888888888889</v>
      </c>
      <c r="BH89" s="1">
        <f t="shared" si="40"/>
        <v>27.972222222222221</v>
      </c>
      <c r="BI89" s="1">
        <f t="shared" si="40"/>
        <v>28.477777777777778</v>
      </c>
      <c r="BJ89" s="1">
        <f t="shared" si="40"/>
        <v>28.986111111111111</v>
      </c>
      <c r="BK89" s="1">
        <f t="shared" si="40"/>
        <v>29.494444444444444</v>
      </c>
      <c r="BL89" s="1">
        <f t="shared" si="40"/>
        <v>30.002777777777776</v>
      </c>
      <c r="BM89" s="1">
        <f t="shared" si="40"/>
        <v>30.508333333333333</v>
      </c>
      <c r="BN89" s="1">
        <f t="shared" si="41"/>
        <v>31.016666666666666</v>
      </c>
      <c r="BO89" s="1">
        <f t="shared" si="41"/>
        <v>31.016666666666666</v>
      </c>
      <c r="BP89" s="1">
        <f t="shared" si="41"/>
        <v>31.522222222222222</v>
      </c>
      <c r="BQ89" s="1">
        <f t="shared" si="41"/>
        <v>32.030555555555559</v>
      </c>
      <c r="BR89" s="1">
        <f t="shared" si="41"/>
        <v>32.536111111111111</v>
      </c>
      <c r="BS89" s="1">
        <f t="shared" si="41"/>
        <v>33.044444444444444</v>
      </c>
      <c r="BT89" s="1">
        <f t="shared" si="41"/>
        <v>33.552777777777777</v>
      </c>
      <c r="BU89" s="1">
        <f t="shared" si="41"/>
        <v>34.06111111111111</v>
      </c>
      <c r="BV89" s="1">
        <f t="shared" si="41"/>
        <v>34.06111111111111</v>
      </c>
      <c r="BW89" s="1">
        <f t="shared" si="41"/>
        <v>34.56666666666667</v>
      </c>
      <c r="BX89" s="1">
        <f t="shared" si="41"/>
        <v>35.075000000000003</v>
      </c>
      <c r="BY89" s="1">
        <f t="shared" si="41"/>
        <v>35.580555555555556</v>
      </c>
      <c r="BZ89" s="1">
        <f t="shared" si="41"/>
        <v>36.088888888888889</v>
      </c>
      <c r="CA89" s="1">
        <f t="shared" si="41"/>
        <v>36.594444444444441</v>
      </c>
      <c r="CB89" s="1">
        <f t="shared" si="41"/>
        <v>37.102777777777774</v>
      </c>
      <c r="CC89" s="1">
        <f t="shared" si="41"/>
        <v>37.611111111111114</v>
      </c>
      <c r="CD89" s="1">
        <f t="shared" si="42"/>
        <v>38.119444444444447</v>
      </c>
      <c r="CE89" s="1">
        <f t="shared" si="42"/>
        <v>38.625</v>
      </c>
      <c r="CF89" s="1">
        <f t="shared" si="42"/>
        <v>39.133333333333333</v>
      </c>
      <c r="CG89" s="1">
        <f t="shared" si="42"/>
        <v>39.638888888888886</v>
      </c>
      <c r="CH89" s="1">
        <f t="shared" si="42"/>
        <v>40.147222222222226</v>
      </c>
      <c r="CI89" s="1">
        <f t="shared" si="42"/>
        <v>40.652777777777779</v>
      </c>
      <c r="CJ89" s="1">
        <f t="shared" si="42"/>
        <v>41.161111111111111</v>
      </c>
      <c r="CK89" s="1">
        <f t="shared" si="42"/>
        <v>41.669444444444444</v>
      </c>
      <c r="CL89" s="1">
        <f t="shared" si="42"/>
        <v>42.177777777777777</v>
      </c>
      <c r="CM89" s="1">
        <f t="shared" si="42"/>
        <v>42.68333333333333</v>
      </c>
      <c r="CN89" s="1">
        <f t="shared" si="42"/>
        <v>43.19166666666667</v>
      </c>
      <c r="CO89" s="1">
        <f t="shared" si="42"/>
        <v>43.697222222222223</v>
      </c>
      <c r="CP89" s="1">
        <f t="shared" si="42"/>
        <v>44.205555555555556</v>
      </c>
      <c r="CQ89" s="1">
        <f t="shared" si="42"/>
        <v>44.711111111111109</v>
      </c>
      <c r="CR89" s="1">
        <f t="shared" si="42"/>
        <v>45.219444444444441</v>
      </c>
      <c r="CS89" s="1">
        <f t="shared" si="42"/>
        <v>45.727777777777774</v>
      </c>
      <c r="CT89" s="1">
        <f t="shared" si="43"/>
        <v>46.236111111111114</v>
      </c>
      <c r="CU89" s="1">
        <f t="shared" si="43"/>
        <v>46.741666666666667</v>
      </c>
      <c r="CV89" s="1">
        <f t="shared" si="43"/>
        <v>47.25</v>
      </c>
      <c r="CW89" s="1">
        <f t="shared" si="43"/>
        <v>47.755555555555553</v>
      </c>
      <c r="CX89" s="1">
        <f t="shared" si="43"/>
        <v>48.263888888888886</v>
      </c>
      <c r="CY89" s="1">
        <f t="shared" si="43"/>
        <v>48.769444444444446</v>
      </c>
      <c r="CZ89" s="1">
        <f t="shared" si="43"/>
        <v>49.277777777777779</v>
      </c>
      <c r="DA89" s="1">
        <f t="shared" si="43"/>
        <v>49.786111111111111</v>
      </c>
      <c r="DB89" s="1">
        <f t="shared" si="43"/>
        <v>50.294444444444444</v>
      </c>
      <c r="DC89" s="1">
        <f t="shared" si="43"/>
        <v>50.294444444444444</v>
      </c>
    </row>
    <row r="90" spans="1:107" x14ac:dyDescent="0.25">
      <c r="A90">
        <f t="shared" si="38"/>
        <v>6</v>
      </c>
      <c r="B90" s="2">
        <f>yields_BRUTE!B90</f>
        <v>42132</v>
      </c>
      <c r="C90" s="1">
        <f t="shared" si="47"/>
        <v>-0.18888888888888888</v>
      </c>
      <c r="D90" s="1">
        <f t="shared" si="47"/>
        <v>-0.15</v>
      </c>
      <c r="E90" s="1">
        <f t="shared" si="47"/>
        <v>6.6666666666666666E-2</v>
      </c>
      <c r="F90" s="1">
        <f t="shared" si="47"/>
        <v>0.32222222222222224</v>
      </c>
      <c r="G90" s="1">
        <f t="shared" si="47"/>
        <v>0.3611111111111111</v>
      </c>
      <c r="H90" s="1">
        <f t="shared" si="47"/>
        <v>0.57499999999999996</v>
      </c>
      <c r="I90" s="1">
        <f t="shared" si="47"/>
        <v>0.57499999999999996</v>
      </c>
      <c r="J90" s="1">
        <f t="shared" si="47"/>
        <v>0.82777777777777772</v>
      </c>
      <c r="K90" s="1">
        <f t="shared" si="47"/>
        <v>0.8666666666666667</v>
      </c>
      <c r="L90" s="1">
        <f t="shared" si="47"/>
        <v>1.0833333333333333</v>
      </c>
      <c r="M90" s="1">
        <f t="shared" si="47"/>
        <v>1.3388888888888888</v>
      </c>
      <c r="N90" s="1">
        <f t="shared" si="47"/>
        <v>1.3388888888888888</v>
      </c>
      <c r="O90" s="1">
        <f t="shared" si="47"/>
        <v>1.3777777777777778</v>
      </c>
      <c r="P90" s="1">
        <f t="shared" si="47"/>
        <v>1.5916666666666666</v>
      </c>
      <c r="Q90" s="1">
        <f t="shared" si="47"/>
        <v>1.8805555555555555</v>
      </c>
      <c r="R90" s="1">
        <f t="shared" si="47"/>
        <v>2.0972222222222223</v>
      </c>
      <c r="S90" s="1">
        <f t="shared" si="45"/>
        <v>2.3916666666666666</v>
      </c>
      <c r="T90" s="1">
        <f t="shared" si="45"/>
        <v>2.6055555555555556</v>
      </c>
      <c r="U90" s="1">
        <f t="shared" si="45"/>
        <v>2.8944444444444444</v>
      </c>
      <c r="V90" s="1">
        <f t="shared" si="45"/>
        <v>3.1111111111111112</v>
      </c>
      <c r="W90" s="1">
        <f t="shared" si="45"/>
        <v>3.4055555555555554</v>
      </c>
      <c r="X90" s="1">
        <f t="shared" si="45"/>
        <v>3.6194444444444445</v>
      </c>
      <c r="Y90" s="1">
        <f t="shared" si="45"/>
        <v>3.9083333333333332</v>
      </c>
      <c r="Z90" s="1">
        <f t="shared" si="45"/>
        <v>4.125</v>
      </c>
      <c r="AA90" s="1">
        <f t="shared" si="45"/>
        <v>4.4194444444444443</v>
      </c>
      <c r="AB90" s="1">
        <f t="shared" si="45"/>
        <v>4.6333333333333337</v>
      </c>
      <c r="AC90" s="1">
        <f t="shared" si="45"/>
        <v>4.9249999999999998</v>
      </c>
      <c r="AD90" s="1">
        <f t="shared" si="45"/>
        <v>5.1416666666666666</v>
      </c>
      <c r="AE90" s="1">
        <f t="shared" si="45"/>
        <v>5.1416666666666666</v>
      </c>
      <c r="AF90" s="3">
        <f t="shared" si="45"/>
        <v>5.4361111111111109</v>
      </c>
      <c r="AG90" s="1">
        <f t="shared" si="44"/>
        <v>5.65</v>
      </c>
      <c r="AH90" s="1">
        <f t="shared" si="44"/>
        <v>5.9388888888888891</v>
      </c>
      <c r="AI90" s="1">
        <f t="shared" si="44"/>
        <v>5.9388888888888891</v>
      </c>
      <c r="AJ90" s="1">
        <f t="shared" si="44"/>
        <v>6.1555555555555559</v>
      </c>
      <c r="AK90" s="1">
        <f t="shared" si="44"/>
        <v>6.1555555555555559</v>
      </c>
      <c r="AL90" s="1">
        <f t="shared" si="44"/>
        <v>6.6638888888888888</v>
      </c>
      <c r="AM90" s="1">
        <f t="shared" si="44"/>
        <v>7.1694444444444443</v>
      </c>
      <c r="AN90" s="1">
        <f t="shared" si="44"/>
        <v>7.1694444444444443</v>
      </c>
      <c r="AO90" s="1">
        <f t="shared" si="44"/>
        <v>7.677777777777778</v>
      </c>
      <c r="AP90" s="1">
        <f t="shared" si="44"/>
        <v>8.1833333333333336</v>
      </c>
      <c r="AQ90" s="1">
        <f t="shared" si="44"/>
        <v>8.1833333333333336</v>
      </c>
      <c r="AR90" s="1">
        <f t="shared" si="44"/>
        <v>8.6916666666666664</v>
      </c>
      <c r="AS90" s="1">
        <f t="shared" si="44"/>
        <v>9.1999999999999993</v>
      </c>
      <c r="AT90" s="1">
        <f t="shared" si="44"/>
        <v>9.7083333333333339</v>
      </c>
      <c r="AU90" s="1">
        <f t="shared" si="44"/>
        <v>10.213888888888889</v>
      </c>
      <c r="AV90" s="1">
        <f t="shared" si="44"/>
        <v>10.213888888888889</v>
      </c>
      <c r="AW90" s="1">
        <f t="shared" si="46"/>
        <v>14.780555555555555</v>
      </c>
      <c r="AX90" s="1">
        <f t="shared" si="40"/>
        <v>15.286111111111111</v>
      </c>
      <c r="AY90" s="1">
        <f t="shared" si="40"/>
        <v>15.794444444444444</v>
      </c>
      <c r="AZ90" s="1">
        <f t="shared" si="40"/>
        <v>16.3</v>
      </c>
      <c r="BA90" s="1">
        <f t="shared" si="40"/>
        <v>16.808333333333334</v>
      </c>
      <c r="BB90" s="1">
        <f t="shared" si="40"/>
        <v>17.316666666666666</v>
      </c>
      <c r="BC90" s="1">
        <f t="shared" si="40"/>
        <v>17.824999999999999</v>
      </c>
      <c r="BD90" s="1">
        <f t="shared" si="40"/>
        <v>18.330555555555556</v>
      </c>
      <c r="BE90" s="1">
        <f t="shared" si="40"/>
        <v>18.330555555555556</v>
      </c>
      <c r="BF90" s="1">
        <f t="shared" si="40"/>
        <v>26.955555555555556</v>
      </c>
      <c r="BG90" s="1">
        <f t="shared" si="40"/>
        <v>27.461111111111112</v>
      </c>
      <c r="BH90" s="1">
        <f t="shared" si="40"/>
        <v>27.969444444444445</v>
      </c>
      <c r="BI90" s="1">
        <f t="shared" si="40"/>
        <v>28.475000000000001</v>
      </c>
      <c r="BJ90" s="1">
        <f t="shared" si="40"/>
        <v>28.983333333333334</v>
      </c>
      <c r="BK90" s="1">
        <f t="shared" si="40"/>
        <v>29.491666666666667</v>
      </c>
      <c r="BL90" s="1">
        <f t="shared" si="40"/>
        <v>30</v>
      </c>
      <c r="BM90" s="1">
        <f t="shared" si="40"/>
        <v>30.505555555555556</v>
      </c>
      <c r="BN90" s="1">
        <f t="shared" si="41"/>
        <v>31.013888888888889</v>
      </c>
      <c r="BO90" s="1">
        <f t="shared" si="41"/>
        <v>31.013888888888889</v>
      </c>
      <c r="BP90" s="1">
        <f t="shared" si="41"/>
        <v>31.519444444444446</v>
      </c>
      <c r="BQ90" s="1">
        <f t="shared" si="41"/>
        <v>32.027777777777779</v>
      </c>
      <c r="BR90" s="1">
        <f t="shared" si="41"/>
        <v>32.533333333333331</v>
      </c>
      <c r="BS90" s="1">
        <f t="shared" si="41"/>
        <v>33.041666666666664</v>
      </c>
      <c r="BT90" s="1">
        <f t="shared" si="41"/>
        <v>33.549999999999997</v>
      </c>
      <c r="BU90" s="1">
        <f t="shared" si="41"/>
        <v>34.05833333333333</v>
      </c>
      <c r="BV90" s="1">
        <f t="shared" si="41"/>
        <v>34.05833333333333</v>
      </c>
      <c r="BW90" s="1">
        <f t="shared" si="41"/>
        <v>34.56388888888889</v>
      </c>
      <c r="BX90" s="1">
        <f t="shared" si="41"/>
        <v>35.072222222222223</v>
      </c>
      <c r="BY90" s="1">
        <f t="shared" si="41"/>
        <v>35.577777777777776</v>
      </c>
      <c r="BZ90" s="1">
        <f t="shared" si="41"/>
        <v>36.086111111111109</v>
      </c>
      <c r="CA90" s="1">
        <f t="shared" si="41"/>
        <v>36.591666666666669</v>
      </c>
      <c r="CB90" s="1">
        <f t="shared" si="41"/>
        <v>37.1</v>
      </c>
      <c r="CC90" s="1">
        <f t="shared" si="41"/>
        <v>37.608333333333334</v>
      </c>
      <c r="CD90" s="1">
        <f t="shared" si="42"/>
        <v>38.116666666666667</v>
      </c>
      <c r="CE90" s="1">
        <f t="shared" si="42"/>
        <v>38.62222222222222</v>
      </c>
      <c r="CF90" s="1">
        <f t="shared" si="42"/>
        <v>39.130555555555553</v>
      </c>
      <c r="CG90" s="1">
        <f t="shared" si="42"/>
        <v>39.636111111111113</v>
      </c>
      <c r="CH90" s="1">
        <f t="shared" si="42"/>
        <v>40.144444444444446</v>
      </c>
      <c r="CI90" s="1">
        <f t="shared" si="42"/>
        <v>40.65</v>
      </c>
      <c r="CJ90" s="1">
        <f t="shared" si="42"/>
        <v>41.158333333333331</v>
      </c>
      <c r="CK90" s="1">
        <f t="shared" si="42"/>
        <v>41.666666666666664</v>
      </c>
      <c r="CL90" s="1">
        <f t="shared" si="42"/>
        <v>42.174999999999997</v>
      </c>
      <c r="CM90" s="1">
        <f t="shared" si="42"/>
        <v>42.680555555555557</v>
      </c>
      <c r="CN90" s="1">
        <f t="shared" si="42"/>
        <v>43.18888888888889</v>
      </c>
      <c r="CO90" s="1">
        <f t="shared" si="42"/>
        <v>43.694444444444443</v>
      </c>
      <c r="CP90" s="1">
        <f t="shared" si="42"/>
        <v>44.202777777777776</v>
      </c>
      <c r="CQ90" s="1">
        <f t="shared" si="42"/>
        <v>44.708333333333336</v>
      </c>
      <c r="CR90" s="1">
        <f t="shared" si="42"/>
        <v>45.216666666666669</v>
      </c>
      <c r="CS90" s="1">
        <f t="shared" si="42"/>
        <v>45.725000000000001</v>
      </c>
      <c r="CT90" s="1">
        <f t="shared" si="43"/>
        <v>46.233333333333334</v>
      </c>
      <c r="CU90" s="1">
        <f t="shared" si="43"/>
        <v>46.738888888888887</v>
      </c>
      <c r="CV90" s="1">
        <f t="shared" si="43"/>
        <v>47.24722222222222</v>
      </c>
      <c r="CW90" s="1">
        <f t="shared" si="43"/>
        <v>47.75277777777778</v>
      </c>
      <c r="CX90" s="1">
        <f t="shared" si="43"/>
        <v>48.261111111111113</v>
      </c>
      <c r="CY90" s="1">
        <f t="shared" si="43"/>
        <v>48.766666666666666</v>
      </c>
      <c r="CZ90" s="1">
        <f t="shared" si="43"/>
        <v>49.274999999999999</v>
      </c>
      <c r="DA90" s="1">
        <f t="shared" si="43"/>
        <v>49.783333333333331</v>
      </c>
      <c r="DB90" s="1">
        <f t="shared" si="43"/>
        <v>50.291666666666664</v>
      </c>
      <c r="DC90" s="1">
        <f t="shared" si="43"/>
        <v>50.291666666666664</v>
      </c>
    </row>
    <row r="91" spans="1:107" x14ac:dyDescent="0.25">
      <c r="A91">
        <f t="shared" si="38"/>
        <v>2</v>
      </c>
      <c r="B91" s="2">
        <f>yields_BRUTE!B91</f>
        <v>42135</v>
      </c>
      <c r="C91" s="1">
        <f t="shared" si="47"/>
        <v>-0.19722222222222222</v>
      </c>
      <c r="D91" s="1">
        <f t="shared" si="47"/>
        <v>-0.15833333333333333</v>
      </c>
      <c r="E91" s="1">
        <f t="shared" si="47"/>
        <v>5.8333333333333334E-2</v>
      </c>
      <c r="F91" s="1">
        <f t="shared" si="47"/>
        <v>0.31388888888888888</v>
      </c>
      <c r="G91" s="1">
        <f t="shared" si="47"/>
        <v>0.3527777777777778</v>
      </c>
      <c r="H91" s="1">
        <f t="shared" si="47"/>
        <v>0.56666666666666665</v>
      </c>
      <c r="I91" s="1">
        <f t="shared" si="47"/>
        <v>0.56666666666666665</v>
      </c>
      <c r="J91" s="1">
        <f t="shared" si="47"/>
        <v>0.81944444444444442</v>
      </c>
      <c r="K91" s="1">
        <f t="shared" si="47"/>
        <v>0.85833333333333328</v>
      </c>
      <c r="L91" s="1">
        <f t="shared" si="47"/>
        <v>1.075</v>
      </c>
      <c r="M91" s="1">
        <f t="shared" si="47"/>
        <v>1.3305555555555555</v>
      </c>
      <c r="N91" s="1">
        <f t="shared" si="47"/>
        <v>1.3305555555555555</v>
      </c>
      <c r="O91" s="1">
        <f t="shared" si="47"/>
        <v>1.3694444444444445</v>
      </c>
      <c r="P91" s="1">
        <f t="shared" si="47"/>
        <v>1.5833333333333333</v>
      </c>
      <c r="Q91" s="1">
        <f t="shared" si="47"/>
        <v>1.8722222222222222</v>
      </c>
      <c r="R91" s="1">
        <f t="shared" si="47"/>
        <v>2.088888888888889</v>
      </c>
      <c r="S91" s="1">
        <f t="shared" si="45"/>
        <v>2.3833333333333333</v>
      </c>
      <c r="T91" s="1">
        <f t="shared" si="45"/>
        <v>2.5972222222222223</v>
      </c>
      <c r="U91" s="1">
        <f t="shared" si="45"/>
        <v>2.8861111111111111</v>
      </c>
      <c r="V91" s="1">
        <f t="shared" si="45"/>
        <v>3.1027777777777779</v>
      </c>
      <c r="W91" s="1">
        <f t="shared" si="45"/>
        <v>3.3972222222222221</v>
      </c>
      <c r="X91" s="1">
        <f t="shared" si="45"/>
        <v>3.6111111111111112</v>
      </c>
      <c r="Y91" s="1">
        <f t="shared" si="45"/>
        <v>3.9</v>
      </c>
      <c r="Z91" s="1">
        <f t="shared" si="45"/>
        <v>4.1166666666666663</v>
      </c>
      <c r="AA91" s="1">
        <f t="shared" si="45"/>
        <v>4.4111111111111114</v>
      </c>
      <c r="AB91" s="1">
        <f t="shared" si="45"/>
        <v>4.625</v>
      </c>
      <c r="AC91" s="1">
        <f t="shared" si="45"/>
        <v>4.916666666666667</v>
      </c>
      <c r="AD91" s="1">
        <f t="shared" si="45"/>
        <v>5.1333333333333337</v>
      </c>
      <c r="AE91" s="1">
        <f t="shared" si="45"/>
        <v>5.1333333333333337</v>
      </c>
      <c r="AF91" s="3">
        <f t="shared" si="45"/>
        <v>5.427777777777778</v>
      </c>
      <c r="AG91" s="1">
        <f t="shared" si="44"/>
        <v>5.6416666666666666</v>
      </c>
      <c r="AH91" s="1">
        <f t="shared" si="44"/>
        <v>5.9305555555555554</v>
      </c>
      <c r="AI91" s="1">
        <f t="shared" si="44"/>
        <v>5.9305555555555554</v>
      </c>
      <c r="AJ91" s="1">
        <f t="shared" si="44"/>
        <v>6.1472222222222221</v>
      </c>
      <c r="AK91" s="1">
        <f t="shared" si="44"/>
        <v>6.1472222222222221</v>
      </c>
      <c r="AL91" s="1">
        <f t="shared" si="44"/>
        <v>6.6555555555555559</v>
      </c>
      <c r="AM91" s="1">
        <f t="shared" si="44"/>
        <v>7.1611111111111114</v>
      </c>
      <c r="AN91" s="1">
        <f t="shared" si="44"/>
        <v>7.1611111111111114</v>
      </c>
      <c r="AO91" s="1">
        <f t="shared" si="44"/>
        <v>7.6694444444444443</v>
      </c>
      <c r="AP91" s="1">
        <f t="shared" si="44"/>
        <v>8.1750000000000007</v>
      </c>
      <c r="AQ91" s="1">
        <f t="shared" si="44"/>
        <v>8.1750000000000007</v>
      </c>
      <c r="AR91" s="1">
        <f t="shared" si="44"/>
        <v>8.6833333333333336</v>
      </c>
      <c r="AS91" s="1">
        <f t="shared" si="44"/>
        <v>9.1916666666666664</v>
      </c>
      <c r="AT91" s="1">
        <f t="shared" si="44"/>
        <v>9.6999999999999993</v>
      </c>
      <c r="AU91" s="1">
        <f t="shared" si="44"/>
        <v>10.205555555555556</v>
      </c>
      <c r="AV91" s="1">
        <f t="shared" si="44"/>
        <v>10.205555555555556</v>
      </c>
      <c r="AW91" s="1">
        <f t="shared" si="46"/>
        <v>14.772222222222222</v>
      </c>
      <c r="AX91" s="1">
        <f t="shared" si="40"/>
        <v>15.277777777777779</v>
      </c>
      <c r="AY91" s="1">
        <f t="shared" si="40"/>
        <v>15.786111111111111</v>
      </c>
      <c r="AZ91" s="1">
        <f t="shared" si="40"/>
        <v>16.291666666666668</v>
      </c>
      <c r="BA91" s="1">
        <f t="shared" si="40"/>
        <v>16.8</v>
      </c>
      <c r="BB91" s="1">
        <f t="shared" si="40"/>
        <v>17.308333333333334</v>
      </c>
      <c r="BC91" s="1">
        <f t="shared" si="40"/>
        <v>17.816666666666666</v>
      </c>
      <c r="BD91" s="1">
        <f t="shared" si="40"/>
        <v>18.322222222222223</v>
      </c>
      <c r="BE91" s="1">
        <f t="shared" si="40"/>
        <v>18.322222222222223</v>
      </c>
      <c r="BF91" s="1">
        <f t="shared" si="40"/>
        <v>26.947222222222223</v>
      </c>
      <c r="BG91" s="1">
        <f t="shared" si="40"/>
        <v>27.452777777777779</v>
      </c>
      <c r="BH91" s="1">
        <f t="shared" si="40"/>
        <v>27.961111111111112</v>
      </c>
      <c r="BI91" s="1">
        <f t="shared" si="40"/>
        <v>28.466666666666665</v>
      </c>
      <c r="BJ91" s="1">
        <f t="shared" si="40"/>
        <v>28.975000000000001</v>
      </c>
      <c r="BK91" s="1">
        <f t="shared" si="40"/>
        <v>29.483333333333334</v>
      </c>
      <c r="BL91" s="1">
        <f t="shared" si="40"/>
        <v>29.991666666666667</v>
      </c>
      <c r="BM91" s="1">
        <f t="shared" si="40"/>
        <v>30.497222222222224</v>
      </c>
      <c r="BN91" s="1">
        <f t="shared" si="41"/>
        <v>31.005555555555556</v>
      </c>
      <c r="BO91" s="1">
        <f t="shared" si="41"/>
        <v>31.005555555555556</v>
      </c>
      <c r="BP91" s="1">
        <f t="shared" si="41"/>
        <v>31.511111111111113</v>
      </c>
      <c r="BQ91" s="1">
        <f t="shared" si="41"/>
        <v>32.019444444444446</v>
      </c>
      <c r="BR91" s="1">
        <f t="shared" si="41"/>
        <v>32.524999999999999</v>
      </c>
      <c r="BS91" s="1">
        <f t="shared" si="41"/>
        <v>33.033333333333331</v>
      </c>
      <c r="BT91" s="1">
        <f t="shared" si="41"/>
        <v>33.541666666666664</v>
      </c>
      <c r="BU91" s="1">
        <f t="shared" si="41"/>
        <v>34.049999999999997</v>
      </c>
      <c r="BV91" s="1">
        <f t="shared" si="41"/>
        <v>34.049999999999997</v>
      </c>
      <c r="BW91" s="1">
        <f t="shared" si="41"/>
        <v>34.555555555555557</v>
      </c>
      <c r="BX91" s="1">
        <f t="shared" si="41"/>
        <v>35.06388888888889</v>
      </c>
      <c r="BY91" s="1">
        <f t="shared" si="41"/>
        <v>35.569444444444443</v>
      </c>
      <c r="BZ91" s="1">
        <f t="shared" si="41"/>
        <v>36.077777777777776</v>
      </c>
      <c r="CA91" s="1">
        <f t="shared" si="41"/>
        <v>36.583333333333336</v>
      </c>
      <c r="CB91" s="1">
        <f t="shared" si="41"/>
        <v>37.091666666666669</v>
      </c>
      <c r="CC91" s="1">
        <f t="shared" si="41"/>
        <v>37.6</v>
      </c>
      <c r="CD91" s="1">
        <f t="shared" si="42"/>
        <v>38.108333333333334</v>
      </c>
      <c r="CE91" s="1">
        <f t="shared" si="42"/>
        <v>38.613888888888887</v>
      </c>
      <c r="CF91" s="1">
        <f t="shared" si="42"/>
        <v>39.12222222222222</v>
      </c>
      <c r="CG91" s="1">
        <f t="shared" si="42"/>
        <v>39.62777777777778</v>
      </c>
      <c r="CH91" s="1">
        <f t="shared" si="42"/>
        <v>40.136111111111113</v>
      </c>
      <c r="CI91" s="1">
        <f t="shared" si="42"/>
        <v>40.641666666666666</v>
      </c>
      <c r="CJ91" s="1">
        <f t="shared" si="42"/>
        <v>41.15</v>
      </c>
      <c r="CK91" s="1">
        <f t="shared" si="42"/>
        <v>41.658333333333331</v>
      </c>
      <c r="CL91" s="1">
        <f t="shared" si="42"/>
        <v>42.166666666666664</v>
      </c>
      <c r="CM91" s="1">
        <f t="shared" si="42"/>
        <v>42.672222222222224</v>
      </c>
      <c r="CN91" s="1">
        <f t="shared" si="42"/>
        <v>43.180555555555557</v>
      </c>
      <c r="CO91" s="1">
        <f t="shared" si="42"/>
        <v>43.68611111111111</v>
      </c>
      <c r="CP91" s="1">
        <f t="shared" si="42"/>
        <v>44.194444444444443</v>
      </c>
      <c r="CQ91" s="1">
        <f t="shared" si="42"/>
        <v>44.7</v>
      </c>
      <c r="CR91" s="1">
        <f t="shared" si="42"/>
        <v>45.208333333333336</v>
      </c>
      <c r="CS91" s="1">
        <f t="shared" si="42"/>
        <v>45.716666666666669</v>
      </c>
      <c r="CT91" s="1">
        <f t="shared" si="43"/>
        <v>46.225000000000001</v>
      </c>
      <c r="CU91" s="1">
        <f t="shared" si="43"/>
        <v>46.730555555555554</v>
      </c>
      <c r="CV91" s="1">
        <f t="shared" si="43"/>
        <v>47.238888888888887</v>
      </c>
      <c r="CW91" s="1">
        <f t="shared" si="43"/>
        <v>47.744444444444447</v>
      </c>
      <c r="CX91" s="1">
        <f t="shared" si="43"/>
        <v>48.25277777777778</v>
      </c>
      <c r="CY91" s="1">
        <f t="shared" si="43"/>
        <v>48.758333333333333</v>
      </c>
      <c r="CZ91" s="1">
        <f t="shared" si="43"/>
        <v>49.266666666666666</v>
      </c>
      <c r="DA91" s="1">
        <f t="shared" si="43"/>
        <v>49.774999999999999</v>
      </c>
      <c r="DB91" s="1">
        <f t="shared" si="43"/>
        <v>50.283333333333331</v>
      </c>
      <c r="DC91" s="1">
        <f t="shared" si="43"/>
        <v>50.283333333333331</v>
      </c>
    </row>
    <row r="92" spans="1:107" x14ac:dyDescent="0.25">
      <c r="A92">
        <f t="shared" si="38"/>
        <v>3</v>
      </c>
      <c r="B92" s="2">
        <f>yields_BRUTE!B92</f>
        <v>42136</v>
      </c>
      <c r="C92" s="1">
        <f t="shared" si="47"/>
        <v>-0.2</v>
      </c>
      <c r="D92" s="1">
        <f t="shared" si="47"/>
        <v>-0.16111111111111112</v>
      </c>
      <c r="E92" s="1">
        <f t="shared" si="47"/>
        <v>5.5555555555555552E-2</v>
      </c>
      <c r="F92" s="1">
        <f t="shared" si="47"/>
        <v>0.31111111111111112</v>
      </c>
      <c r="G92" s="1">
        <f t="shared" si="47"/>
        <v>0.35</v>
      </c>
      <c r="H92" s="1">
        <f t="shared" si="47"/>
        <v>0.56388888888888888</v>
      </c>
      <c r="I92" s="1">
        <f t="shared" si="47"/>
        <v>0.56388888888888888</v>
      </c>
      <c r="J92" s="1">
        <f t="shared" si="47"/>
        <v>0.81666666666666665</v>
      </c>
      <c r="K92" s="1">
        <f t="shared" si="47"/>
        <v>0.85555555555555551</v>
      </c>
      <c r="L92" s="1">
        <f t="shared" si="47"/>
        <v>1.0722222222222222</v>
      </c>
      <c r="M92" s="1">
        <f t="shared" si="47"/>
        <v>1.3277777777777777</v>
      </c>
      <c r="N92" s="1">
        <f t="shared" si="47"/>
        <v>1.3277777777777777</v>
      </c>
      <c r="O92" s="1">
        <f t="shared" si="47"/>
        <v>1.3666666666666667</v>
      </c>
      <c r="P92" s="1">
        <f t="shared" si="47"/>
        <v>1.5805555555555555</v>
      </c>
      <c r="Q92" s="1">
        <f t="shared" si="47"/>
        <v>1.8694444444444445</v>
      </c>
      <c r="R92" s="1">
        <f t="shared" si="47"/>
        <v>2.0861111111111112</v>
      </c>
      <c r="S92" s="1">
        <f t="shared" si="45"/>
        <v>2.3805555555555555</v>
      </c>
      <c r="T92" s="1">
        <f t="shared" si="45"/>
        <v>2.5944444444444446</v>
      </c>
      <c r="U92" s="1">
        <f t="shared" si="45"/>
        <v>2.8833333333333333</v>
      </c>
      <c r="V92" s="1">
        <f t="shared" si="45"/>
        <v>3.1</v>
      </c>
      <c r="W92" s="1">
        <f t="shared" si="45"/>
        <v>3.3944444444444444</v>
      </c>
      <c r="X92" s="1">
        <f t="shared" si="45"/>
        <v>3.6083333333333334</v>
      </c>
      <c r="Y92" s="1">
        <f t="shared" si="45"/>
        <v>3.8972222222222221</v>
      </c>
      <c r="Z92" s="1">
        <f t="shared" si="45"/>
        <v>4.1138888888888889</v>
      </c>
      <c r="AA92" s="1">
        <f t="shared" si="45"/>
        <v>4.4083333333333332</v>
      </c>
      <c r="AB92" s="1">
        <f t="shared" si="45"/>
        <v>4.6222222222222218</v>
      </c>
      <c r="AC92" s="1">
        <f t="shared" si="45"/>
        <v>4.9138888888888888</v>
      </c>
      <c r="AD92" s="1">
        <f t="shared" si="45"/>
        <v>5.1305555555555555</v>
      </c>
      <c r="AE92" s="1">
        <f t="shared" si="45"/>
        <v>5.1305555555555555</v>
      </c>
      <c r="AF92" s="3">
        <f t="shared" si="45"/>
        <v>5.4249999999999998</v>
      </c>
      <c r="AG92" s="1">
        <f t="shared" si="44"/>
        <v>5.6388888888888893</v>
      </c>
      <c r="AH92" s="1">
        <f t="shared" si="44"/>
        <v>5.927777777777778</v>
      </c>
      <c r="AI92" s="1">
        <f t="shared" si="44"/>
        <v>5.927777777777778</v>
      </c>
      <c r="AJ92" s="1">
        <f t="shared" si="44"/>
        <v>6.1444444444444448</v>
      </c>
      <c r="AK92" s="1">
        <f t="shared" si="44"/>
        <v>6.1444444444444448</v>
      </c>
      <c r="AL92" s="1">
        <f t="shared" si="44"/>
        <v>6.6527777777777777</v>
      </c>
      <c r="AM92" s="1">
        <f t="shared" si="44"/>
        <v>7.1583333333333332</v>
      </c>
      <c r="AN92" s="1">
        <f t="shared" si="44"/>
        <v>7.1583333333333332</v>
      </c>
      <c r="AO92" s="1">
        <f t="shared" si="44"/>
        <v>7.666666666666667</v>
      </c>
      <c r="AP92" s="1">
        <f t="shared" si="44"/>
        <v>8.1722222222222225</v>
      </c>
      <c r="AQ92" s="1">
        <f t="shared" si="44"/>
        <v>8.1722222222222225</v>
      </c>
      <c r="AR92" s="1">
        <f t="shared" si="44"/>
        <v>8.6805555555555554</v>
      </c>
      <c r="AS92" s="1">
        <f t="shared" si="44"/>
        <v>9.1888888888888882</v>
      </c>
      <c r="AT92" s="1">
        <f t="shared" si="44"/>
        <v>9.6972222222222229</v>
      </c>
      <c r="AU92" s="1">
        <f t="shared" si="44"/>
        <v>10.202777777777778</v>
      </c>
      <c r="AV92" s="1">
        <f t="shared" si="44"/>
        <v>10.202777777777778</v>
      </c>
      <c r="AW92" s="1">
        <f t="shared" si="46"/>
        <v>14.769444444444444</v>
      </c>
      <c r="AX92" s="1">
        <f t="shared" si="40"/>
        <v>15.275</v>
      </c>
      <c r="AY92" s="1">
        <f t="shared" si="40"/>
        <v>15.783333333333333</v>
      </c>
      <c r="AZ92" s="1">
        <f t="shared" si="40"/>
        <v>16.288888888888888</v>
      </c>
      <c r="BA92" s="1">
        <f t="shared" si="40"/>
        <v>16.797222222222221</v>
      </c>
      <c r="BB92" s="1">
        <f t="shared" si="40"/>
        <v>17.305555555555557</v>
      </c>
      <c r="BC92" s="1">
        <f t="shared" si="40"/>
        <v>17.81388888888889</v>
      </c>
      <c r="BD92" s="1">
        <f t="shared" si="40"/>
        <v>18.319444444444443</v>
      </c>
      <c r="BE92" s="1">
        <f t="shared" si="40"/>
        <v>18.319444444444443</v>
      </c>
      <c r="BF92" s="1">
        <f t="shared" si="40"/>
        <v>26.944444444444443</v>
      </c>
      <c r="BG92" s="1">
        <f t="shared" si="40"/>
        <v>27.45</v>
      </c>
      <c r="BH92" s="1">
        <f t="shared" si="40"/>
        <v>27.958333333333332</v>
      </c>
      <c r="BI92" s="1">
        <f t="shared" si="40"/>
        <v>28.463888888888889</v>
      </c>
      <c r="BJ92" s="1">
        <f t="shared" si="40"/>
        <v>28.972222222222221</v>
      </c>
      <c r="BK92" s="1">
        <f t="shared" si="40"/>
        <v>29.480555555555554</v>
      </c>
      <c r="BL92" s="1">
        <f t="shared" si="40"/>
        <v>29.988888888888887</v>
      </c>
      <c r="BM92" s="1">
        <f t="shared" si="40"/>
        <v>30.494444444444444</v>
      </c>
      <c r="BN92" s="1">
        <f t="shared" si="41"/>
        <v>31.002777777777776</v>
      </c>
      <c r="BO92" s="1">
        <f t="shared" si="41"/>
        <v>31.002777777777776</v>
      </c>
      <c r="BP92" s="1">
        <f t="shared" si="41"/>
        <v>31.508333333333333</v>
      </c>
      <c r="BQ92" s="1">
        <f t="shared" si="41"/>
        <v>32.016666666666666</v>
      </c>
      <c r="BR92" s="1">
        <f t="shared" si="41"/>
        <v>32.522222222222226</v>
      </c>
      <c r="BS92" s="1">
        <f t="shared" si="41"/>
        <v>33.030555555555559</v>
      </c>
      <c r="BT92" s="1">
        <f t="shared" si="41"/>
        <v>33.538888888888891</v>
      </c>
      <c r="BU92" s="1">
        <f t="shared" si="41"/>
        <v>34.047222222222224</v>
      </c>
      <c r="BV92" s="1">
        <f t="shared" si="41"/>
        <v>34.047222222222224</v>
      </c>
      <c r="BW92" s="1">
        <f t="shared" si="41"/>
        <v>34.552777777777777</v>
      </c>
      <c r="BX92" s="1">
        <f t="shared" si="41"/>
        <v>35.06111111111111</v>
      </c>
      <c r="BY92" s="1">
        <f t="shared" si="41"/>
        <v>35.56666666666667</v>
      </c>
      <c r="BZ92" s="1">
        <f t="shared" si="41"/>
        <v>36.075000000000003</v>
      </c>
      <c r="CA92" s="1">
        <f t="shared" si="41"/>
        <v>36.580555555555556</v>
      </c>
      <c r="CB92" s="1">
        <f t="shared" si="41"/>
        <v>37.088888888888889</v>
      </c>
      <c r="CC92" s="1">
        <f t="shared" si="41"/>
        <v>37.597222222222221</v>
      </c>
      <c r="CD92" s="1">
        <f t="shared" si="42"/>
        <v>38.105555555555554</v>
      </c>
      <c r="CE92" s="1">
        <f t="shared" si="42"/>
        <v>38.611111111111114</v>
      </c>
      <c r="CF92" s="1">
        <f t="shared" si="42"/>
        <v>39.119444444444447</v>
      </c>
      <c r="CG92" s="1">
        <f t="shared" si="42"/>
        <v>39.625</v>
      </c>
      <c r="CH92" s="1">
        <f t="shared" si="42"/>
        <v>40.133333333333333</v>
      </c>
      <c r="CI92" s="1">
        <f t="shared" si="42"/>
        <v>40.638888888888886</v>
      </c>
      <c r="CJ92" s="1">
        <f t="shared" si="42"/>
        <v>41.147222222222226</v>
      </c>
      <c r="CK92" s="1">
        <f t="shared" si="42"/>
        <v>41.655555555555559</v>
      </c>
      <c r="CL92" s="1">
        <f t="shared" si="42"/>
        <v>42.163888888888891</v>
      </c>
      <c r="CM92" s="1">
        <f t="shared" si="42"/>
        <v>42.669444444444444</v>
      </c>
      <c r="CN92" s="1">
        <f t="shared" si="42"/>
        <v>43.177777777777777</v>
      </c>
      <c r="CO92" s="1">
        <f t="shared" si="42"/>
        <v>43.68333333333333</v>
      </c>
      <c r="CP92" s="1">
        <f t="shared" si="42"/>
        <v>44.19166666666667</v>
      </c>
      <c r="CQ92" s="1">
        <f t="shared" si="42"/>
        <v>44.697222222222223</v>
      </c>
      <c r="CR92" s="1">
        <f t="shared" si="42"/>
        <v>45.205555555555556</v>
      </c>
      <c r="CS92" s="1">
        <f t="shared" si="42"/>
        <v>45.713888888888889</v>
      </c>
      <c r="CT92" s="1">
        <f t="shared" si="43"/>
        <v>46.222222222222221</v>
      </c>
      <c r="CU92" s="1">
        <f t="shared" si="43"/>
        <v>46.727777777777774</v>
      </c>
      <c r="CV92" s="1">
        <f t="shared" si="43"/>
        <v>47.236111111111114</v>
      </c>
      <c r="CW92" s="1">
        <f t="shared" si="43"/>
        <v>47.741666666666667</v>
      </c>
      <c r="CX92" s="1">
        <f t="shared" si="43"/>
        <v>48.25</v>
      </c>
      <c r="CY92" s="1">
        <f t="shared" si="43"/>
        <v>48.755555555555553</v>
      </c>
      <c r="CZ92" s="1">
        <f t="shared" si="43"/>
        <v>49.263888888888886</v>
      </c>
      <c r="DA92" s="1">
        <f t="shared" si="43"/>
        <v>49.772222222222226</v>
      </c>
      <c r="DB92" s="1">
        <f t="shared" si="43"/>
        <v>50.280555555555559</v>
      </c>
      <c r="DC92" s="1">
        <f t="shared" si="43"/>
        <v>50.280555555555559</v>
      </c>
    </row>
    <row r="93" spans="1:107" x14ac:dyDescent="0.25">
      <c r="A93">
        <f t="shared" si="38"/>
        <v>4</v>
      </c>
      <c r="B93" s="2">
        <f>yields_BRUTE!B93</f>
        <v>42137</v>
      </c>
      <c r="C93" s="1">
        <f t="shared" si="47"/>
        <v>-0.20277777777777778</v>
      </c>
      <c r="D93" s="1">
        <f t="shared" si="47"/>
        <v>-0.16388888888888889</v>
      </c>
      <c r="E93" s="1">
        <f t="shared" si="47"/>
        <v>5.2777777777777778E-2</v>
      </c>
      <c r="F93" s="1">
        <f t="shared" si="47"/>
        <v>0.30833333333333335</v>
      </c>
      <c r="G93" s="1">
        <f t="shared" si="47"/>
        <v>0.34722222222222221</v>
      </c>
      <c r="H93" s="1">
        <f t="shared" si="47"/>
        <v>0.56111111111111112</v>
      </c>
      <c r="I93" s="1">
        <f t="shared" si="47"/>
        <v>0.56111111111111112</v>
      </c>
      <c r="J93" s="1">
        <f t="shared" si="47"/>
        <v>0.81388888888888888</v>
      </c>
      <c r="K93" s="1">
        <f t="shared" si="47"/>
        <v>0.85277777777777775</v>
      </c>
      <c r="L93" s="1">
        <f t="shared" si="47"/>
        <v>1.0694444444444444</v>
      </c>
      <c r="M93" s="1">
        <f t="shared" si="47"/>
        <v>1.325</v>
      </c>
      <c r="N93" s="1">
        <f t="shared" si="47"/>
        <v>1.325</v>
      </c>
      <c r="O93" s="1">
        <f t="shared" si="47"/>
        <v>1.3638888888888889</v>
      </c>
      <c r="P93" s="1">
        <f t="shared" si="47"/>
        <v>1.5777777777777777</v>
      </c>
      <c r="Q93" s="1">
        <f t="shared" si="47"/>
        <v>1.8666666666666667</v>
      </c>
      <c r="R93" s="1">
        <f t="shared" si="47"/>
        <v>2.0833333333333335</v>
      </c>
      <c r="S93" s="1">
        <f t="shared" si="45"/>
        <v>2.3777777777777778</v>
      </c>
      <c r="T93" s="1">
        <f t="shared" si="45"/>
        <v>2.5916666666666668</v>
      </c>
      <c r="U93" s="1">
        <f t="shared" si="45"/>
        <v>2.8805555555555555</v>
      </c>
      <c r="V93" s="1">
        <f t="shared" si="45"/>
        <v>3.0972222222222223</v>
      </c>
      <c r="W93" s="1">
        <f t="shared" si="45"/>
        <v>3.3916666666666666</v>
      </c>
      <c r="X93" s="1">
        <f t="shared" si="45"/>
        <v>3.6055555555555556</v>
      </c>
      <c r="Y93" s="1">
        <f t="shared" si="45"/>
        <v>3.8944444444444444</v>
      </c>
      <c r="Z93" s="1">
        <f t="shared" si="45"/>
        <v>4.1111111111111107</v>
      </c>
      <c r="AA93" s="1">
        <f t="shared" si="45"/>
        <v>4.4055555555555559</v>
      </c>
      <c r="AB93" s="1">
        <f t="shared" si="45"/>
        <v>4.6194444444444445</v>
      </c>
      <c r="AC93" s="1">
        <f t="shared" si="45"/>
        <v>4.9111111111111114</v>
      </c>
      <c r="AD93" s="1">
        <f t="shared" si="45"/>
        <v>5.1277777777777782</v>
      </c>
      <c r="AE93" s="1">
        <f t="shared" si="45"/>
        <v>5.1277777777777782</v>
      </c>
      <c r="AF93" s="3">
        <f t="shared" si="45"/>
        <v>5.4222222222222225</v>
      </c>
      <c r="AG93" s="1">
        <f t="shared" si="44"/>
        <v>5.6361111111111111</v>
      </c>
      <c r="AH93" s="1">
        <f t="shared" si="44"/>
        <v>5.9249999999999998</v>
      </c>
      <c r="AI93" s="1">
        <f t="shared" si="44"/>
        <v>5.9249999999999998</v>
      </c>
      <c r="AJ93" s="1">
        <f t="shared" si="44"/>
        <v>6.1416666666666666</v>
      </c>
      <c r="AK93" s="1">
        <f t="shared" si="44"/>
        <v>6.1416666666666666</v>
      </c>
      <c r="AL93" s="1">
        <f t="shared" si="44"/>
        <v>6.65</v>
      </c>
      <c r="AM93" s="1">
        <f t="shared" si="44"/>
        <v>7.1555555555555559</v>
      </c>
      <c r="AN93" s="1">
        <f t="shared" si="44"/>
        <v>7.1555555555555559</v>
      </c>
      <c r="AO93" s="1">
        <f t="shared" si="44"/>
        <v>7.6638888888888888</v>
      </c>
      <c r="AP93" s="1">
        <f t="shared" si="44"/>
        <v>8.1694444444444443</v>
      </c>
      <c r="AQ93" s="1">
        <f t="shared" si="44"/>
        <v>8.1694444444444443</v>
      </c>
      <c r="AR93" s="1">
        <f t="shared" si="44"/>
        <v>8.6777777777777771</v>
      </c>
      <c r="AS93" s="1">
        <f t="shared" si="44"/>
        <v>9.1861111111111118</v>
      </c>
      <c r="AT93" s="1">
        <f t="shared" si="44"/>
        <v>9.6944444444444446</v>
      </c>
      <c r="AU93" s="1">
        <f t="shared" si="44"/>
        <v>10.199999999999999</v>
      </c>
      <c r="AV93" s="1">
        <f t="shared" si="44"/>
        <v>10.199999999999999</v>
      </c>
      <c r="AW93" s="1">
        <f t="shared" si="46"/>
        <v>14.766666666666667</v>
      </c>
      <c r="AX93" s="1">
        <f t="shared" si="40"/>
        <v>15.272222222222222</v>
      </c>
      <c r="AY93" s="1">
        <f t="shared" si="40"/>
        <v>15.780555555555555</v>
      </c>
      <c r="AZ93" s="1">
        <f t="shared" si="40"/>
        <v>16.286111111111111</v>
      </c>
      <c r="BA93" s="1">
        <f t="shared" si="40"/>
        <v>16.794444444444444</v>
      </c>
      <c r="BB93" s="1">
        <f t="shared" si="40"/>
        <v>17.302777777777777</v>
      </c>
      <c r="BC93" s="1">
        <f t="shared" si="40"/>
        <v>17.81111111111111</v>
      </c>
      <c r="BD93" s="1">
        <f t="shared" si="40"/>
        <v>18.316666666666666</v>
      </c>
      <c r="BE93" s="1">
        <f t="shared" si="40"/>
        <v>18.316666666666666</v>
      </c>
      <c r="BF93" s="1">
        <f t="shared" si="40"/>
        <v>26.941666666666666</v>
      </c>
      <c r="BG93" s="1">
        <f t="shared" si="40"/>
        <v>27.447222222222223</v>
      </c>
      <c r="BH93" s="1">
        <f t="shared" si="40"/>
        <v>27.955555555555556</v>
      </c>
      <c r="BI93" s="1">
        <f t="shared" si="40"/>
        <v>28.461111111111112</v>
      </c>
      <c r="BJ93" s="1">
        <f t="shared" si="40"/>
        <v>28.969444444444445</v>
      </c>
      <c r="BK93" s="1">
        <f t="shared" si="40"/>
        <v>29.477777777777778</v>
      </c>
      <c r="BL93" s="1">
        <f t="shared" si="40"/>
        <v>29.986111111111111</v>
      </c>
      <c r="BM93" s="1">
        <f t="shared" si="40"/>
        <v>30.491666666666667</v>
      </c>
      <c r="BN93" s="1">
        <f t="shared" si="41"/>
        <v>31</v>
      </c>
      <c r="BO93" s="1">
        <f t="shared" si="41"/>
        <v>31</v>
      </c>
      <c r="BP93" s="1">
        <f t="shared" si="41"/>
        <v>31.505555555555556</v>
      </c>
      <c r="BQ93" s="1">
        <f t="shared" si="41"/>
        <v>32.013888888888886</v>
      </c>
      <c r="BR93" s="1">
        <f t="shared" si="41"/>
        <v>32.519444444444446</v>
      </c>
      <c r="BS93" s="1">
        <f t="shared" si="41"/>
        <v>33.027777777777779</v>
      </c>
      <c r="BT93" s="1">
        <f t="shared" si="41"/>
        <v>33.536111111111111</v>
      </c>
      <c r="BU93" s="1">
        <f t="shared" si="41"/>
        <v>34.044444444444444</v>
      </c>
      <c r="BV93" s="1">
        <f t="shared" si="41"/>
        <v>34.044444444444444</v>
      </c>
      <c r="BW93" s="1">
        <f t="shared" si="41"/>
        <v>34.549999999999997</v>
      </c>
      <c r="BX93" s="1">
        <f t="shared" si="41"/>
        <v>35.05833333333333</v>
      </c>
      <c r="BY93" s="1">
        <f t="shared" si="41"/>
        <v>35.56388888888889</v>
      </c>
      <c r="BZ93" s="1">
        <f t="shared" si="41"/>
        <v>36.072222222222223</v>
      </c>
      <c r="CA93" s="1">
        <f t="shared" si="41"/>
        <v>36.577777777777776</v>
      </c>
      <c r="CB93" s="1">
        <f t="shared" si="41"/>
        <v>37.086111111111109</v>
      </c>
      <c r="CC93" s="1">
        <f t="shared" si="41"/>
        <v>37.594444444444441</v>
      </c>
      <c r="CD93" s="1">
        <f t="shared" si="42"/>
        <v>38.102777777777774</v>
      </c>
      <c r="CE93" s="1">
        <f t="shared" si="42"/>
        <v>38.608333333333334</v>
      </c>
      <c r="CF93" s="1">
        <f t="shared" si="42"/>
        <v>39.116666666666667</v>
      </c>
      <c r="CG93" s="1">
        <f t="shared" si="42"/>
        <v>39.62222222222222</v>
      </c>
      <c r="CH93" s="1">
        <f t="shared" si="42"/>
        <v>40.130555555555553</v>
      </c>
      <c r="CI93" s="1">
        <f t="shared" si="42"/>
        <v>40.636111111111113</v>
      </c>
      <c r="CJ93" s="1">
        <f t="shared" si="42"/>
        <v>41.144444444444446</v>
      </c>
      <c r="CK93" s="1">
        <f t="shared" si="42"/>
        <v>41.652777777777779</v>
      </c>
      <c r="CL93" s="1">
        <f t="shared" si="42"/>
        <v>42.161111111111111</v>
      </c>
      <c r="CM93" s="1">
        <f t="shared" si="42"/>
        <v>42.666666666666664</v>
      </c>
      <c r="CN93" s="1">
        <f t="shared" si="42"/>
        <v>43.174999999999997</v>
      </c>
      <c r="CO93" s="1">
        <f t="shared" si="42"/>
        <v>43.680555555555557</v>
      </c>
      <c r="CP93" s="1">
        <f t="shared" si="42"/>
        <v>44.18888888888889</v>
      </c>
      <c r="CQ93" s="1">
        <f t="shared" si="42"/>
        <v>44.694444444444443</v>
      </c>
      <c r="CR93" s="1">
        <f t="shared" si="42"/>
        <v>45.202777777777776</v>
      </c>
      <c r="CS93" s="1">
        <f t="shared" si="42"/>
        <v>45.711111111111109</v>
      </c>
      <c r="CT93" s="1">
        <f t="shared" si="43"/>
        <v>46.219444444444441</v>
      </c>
      <c r="CU93" s="1">
        <f t="shared" si="43"/>
        <v>46.725000000000001</v>
      </c>
      <c r="CV93" s="1">
        <f t="shared" si="43"/>
        <v>47.233333333333334</v>
      </c>
      <c r="CW93" s="1">
        <f t="shared" si="43"/>
        <v>47.738888888888887</v>
      </c>
      <c r="CX93" s="1">
        <f t="shared" si="43"/>
        <v>48.24722222222222</v>
      </c>
      <c r="CY93" s="1">
        <f t="shared" si="43"/>
        <v>48.75277777777778</v>
      </c>
      <c r="CZ93" s="1">
        <f t="shared" si="43"/>
        <v>49.261111111111113</v>
      </c>
      <c r="DA93" s="1">
        <f t="shared" si="43"/>
        <v>49.769444444444446</v>
      </c>
      <c r="DB93" s="1">
        <f t="shared" si="43"/>
        <v>50.277777777777779</v>
      </c>
      <c r="DC93" s="1">
        <f t="shared" si="43"/>
        <v>50.277777777777779</v>
      </c>
    </row>
    <row r="94" spans="1:107" x14ac:dyDescent="0.25">
      <c r="A94">
        <f t="shared" si="38"/>
        <v>5</v>
      </c>
      <c r="B94" s="2">
        <f>yields_BRUTE!B94</f>
        <v>42138</v>
      </c>
      <c r="C94" s="1">
        <f t="shared" si="47"/>
        <v>-0.20555555555555555</v>
      </c>
      <c r="D94" s="1">
        <f t="shared" si="47"/>
        <v>-0.16666666666666666</v>
      </c>
      <c r="E94" s="1">
        <f t="shared" si="47"/>
        <v>0.05</v>
      </c>
      <c r="F94" s="1">
        <f t="shared" si="47"/>
        <v>0.30555555555555558</v>
      </c>
      <c r="G94" s="1">
        <f t="shared" si="47"/>
        <v>0.34444444444444444</v>
      </c>
      <c r="H94" s="1">
        <f t="shared" si="47"/>
        <v>0.55833333333333335</v>
      </c>
      <c r="I94" s="1">
        <f t="shared" si="47"/>
        <v>0.55833333333333335</v>
      </c>
      <c r="J94" s="1">
        <f t="shared" si="47"/>
        <v>0.81111111111111112</v>
      </c>
      <c r="K94" s="1">
        <f t="shared" si="47"/>
        <v>0.85</v>
      </c>
      <c r="L94" s="1">
        <f t="shared" si="47"/>
        <v>1.0666666666666667</v>
      </c>
      <c r="M94" s="1">
        <f t="shared" si="47"/>
        <v>1.3222222222222222</v>
      </c>
      <c r="N94" s="1">
        <f t="shared" si="47"/>
        <v>1.3222222222222222</v>
      </c>
      <c r="O94" s="1">
        <f t="shared" si="47"/>
        <v>1.3611111111111112</v>
      </c>
      <c r="P94" s="1">
        <f t="shared" si="47"/>
        <v>1.575</v>
      </c>
      <c r="Q94" s="1">
        <f t="shared" si="47"/>
        <v>1.8638888888888889</v>
      </c>
      <c r="R94" s="1">
        <f t="shared" si="47"/>
        <v>2.0805555555555557</v>
      </c>
      <c r="S94" s="1">
        <f t="shared" si="45"/>
        <v>2.375</v>
      </c>
      <c r="T94" s="1">
        <f t="shared" si="45"/>
        <v>2.588888888888889</v>
      </c>
      <c r="U94" s="1">
        <f t="shared" si="45"/>
        <v>2.8777777777777778</v>
      </c>
      <c r="V94" s="1">
        <f t="shared" si="45"/>
        <v>3.0944444444444446</v>
      </c>
      <c r="W94" s="1">
        <f t="shared" si="45"/>
        <v>3.3888888888888888</v>
      </c>
      <c r="X94" s="1">
        <f t="shared" si="45"/>
        <v>3.6027777777777779</v>
      </c>
      <c r="Y94" s="1">
        <f t="shared" si="45"/>
        <v>3.8916666666666666</v>
      </c>
      <c r="Z94" s="1">
        <f t="shared" si="45"/>
        <v>4.1083333333333334</v>
      </c>
      <c r="AA94" s="1">
        <f t="shared" si="45"/>
        <v>4.4027777777777777</v>
      </c>
      <c r="AB94" s="1">
        <f t="shared" si="45"/>
        <v>4.6166666666666663</v>
      </c>
      <c r="AC94" s="1">
        <f t="shared" si="45"/>
        <v>4.9083333333333332</v>
      </c>
      <c r="AD94" s="1">
        <f t="shared" si="45"/>
        <v>5.125</v>
      </c>
      <c r="AE94" s="1">
        <f t="shared" si="45"/>
        <v>5.125</v>
      </c>
      <c r="AF94" s="3">
        <f t="shared" si="45"/>
        <v>5.4194444444444443</v>
      </c>
      <c r="AG94" s="1">
        <f t="shared" si="44"/>
        <v>5.6333333333333337</v>
      </c>
      <c r="AH94" s="1">
        <f t="shared" si="44"/>
        <v>5.9222222222222225</v>
      </c>
      <c r="AI94" s="1">
        <f t="shared" si="44"/>
        <v>5.9222222222222225</v>
      </c>
      <c r="AJ94" s="1">
        <f t="shared" si="44"/>
        <v>6.1388888888888893</v>
      </c>
      <c r="AK94" s="1">
        <f t="shared" si="44"/>
        <v>6.1388888888888893</v>
      </c>
      <c r="AL94" s="1">
        <f t="shared" si="44"/>
        <v>6.6472222222222221</v>
      </c>
      <c r="AM94" s="1">
        <f t="shared" si="44"/>
        <v>7.1527777777777777</v>
      </c>
      <c r="AN94" s="1">
        <f t="shared" si="44"/>
        <v>7.1527777777777777</v>
      </c>
      <c r="AO94" s="1">
        <f t="shared" si="44"/>
        <v>7.6611111111111114</v>
      </c>
      <c r="AP94" s="1">
        <f t="shared" si="44"/>
        <v>8.1666666666666661</v>
      </c>
      <c r="AQ94" s="1">
        <f t="shared" si="44"/>
        <v>8.1666666666666661</v>
      </c>
      <c r="AR94" s="1">
        <f t="shared" si="44"/>
        <v>8.6750000000000007</v>
      </c>
      <c r="AS94" s="1">
        <f t="shared" si="44"/>
        <v>9.1833333333333336</v>
      </c>
      <c r="AT94" s="1">
        <f t="shared" si="44"/>
        <v>9.6916666666666664</v>
      </c>
      <c r="AU94" s="1">
        <f t="shared" si="44"/>
        <v>10.197222222222223</v>
      </c>
      <c r="AV94" s="1">
        <f t="shared" si="44"/>
        <v>10.197222222222223</v>
      </c>
      <c r="AW94" s="1">
        <f t="shared" si="46"/>
        <v>14.763888888888889</v>
      </c>
      <c r="AX94" s="1">
        <f t="shared" si="40"/>
        <v>15.269444444444444</v>
      </c>
      <c r="AY94" s="1">
        <f t="shared" si="40"/>
        <v>15.777777777777779</v>
      </c>
      <c r="AZ94" s="1">
        <f t="shared" si="40"/>
        <v>16.283333333333335</v>
      </c>
      <c r="BA94" s="1">
        <f t="shared" si="40"/>
        <v>16.791666666666668</v>
      </c>
      <c r="BB94" s="1">
        <f t="shared" si="40"/>
        <v>17.3</v>
      </c>
      <c r="BC94" s="1">
        <f t="shared" si="40"/>
        <v>17.808333333333334</v>
      </c>
      <c r="BD94" s="1">
        <f t="shared" si="40"/>
        <v>18.31388888888889</v>
      </c>
      <c r="BE94" s="1">
        <f t="shared" si="40"/>
        <v>18.31388888888889</v>
      </c>
      <c r="BF94" s="1">
        <f t="shared" si="40"/>
        <v>26.93888888888889</v>
      </c>
      <c r="BG94" s="1">
        <f t="shared" si="40"/>
        <v>27.444444444444443</v>
      </c>
      <c r="BH94" s="1">
        <f t="shared" si="40"/>
        <v>27.952777777777779</v>
      </c>
      <c r="BI94" s="1">
        <f t="shared" si="40"/>
        <v>28.458333333333332</v>
      </c>
      <c r="BJ94" s="1">
        <f t="shared" si="40"/>
        <v>28.966666666666665</v>
      </c>
      <c r="BK94" s="1">
        <f t="shared" si="40"/>
        <v>29.475000000000001</v>
      </c>
      <c r="BL94" s="1">
        <f t="shared" si="40"/>
        <v>29.983333333333334</v>
      </c>
      <c r="BM94" s="1">
        <f t="shared" si="40"/>
        <v>30.488888888888887</v>
      </c>
      <c r="BN94" s="1">
        <f t="shared" si="41"/>
        <v>30.997222222222224</v>
      </c>
      <c r="BO94" s="1">
        <f t="shared" si="41"/>
        <v>30.997222222222224</v>
      </c>
      <c r="BP94" s="1">
        <f t="shared" si="41"/>
        <v>31.502777777777776</v>
      </c>
      <c r="BQ94" s="1">
        <f t="shared" si="41"/>
        <v>32.011111111111113</v>
      </c>
      <c r="BR94" s="1">
        <f t="shared" si="41"/>
        <v>32.516666666666666</v>
      </c>
      <c r="BS94" s="1">
        <f t="shared" si="41"/>
        <v>33.024999999999999</v>
      </c>
      <c r="BT94" s="1">
        <f t="shared" si="41"/>
        <v>33.533333333333331</v>
      </c>
      <c r="BU94" s="1">
        <f t="shared" si="41"/>
        <v>34.041666666666664</v>
      </c>
      <c r="BV94" s="1">
        <f t="shared" si="41"/>
        <v>34.041666666666664</v>
      </c>
      <c r="BW94" s="1">
        <f t="shared" si="41"/>
        <v>34.547222222222224</v>
      </c>
      <c r="BX94" s="1">
        <f t="shared" si="41"/>
        <v>35.055555555555557</v>
      </c>
      <c r="BY94" s="1">
        <f t="shared" si="41"/>
        <v>35.56111111111111</v>
      </c>
      <c r="BZ94" s="1">
        <f t="shared" si="41"/>
        <v>36.069444444444443</v>
      </c>
      <c r="CA94" s="1">
        <f t="shared" si="41"/>
        <v>36.575000000000003</v>
      </c>
      <c r="CB94" s="1">
        <f t="shared" si="41"/>
        <v>37.083333333333336</v>
      </c>
      <c r="CC94" s="1">
        <f t="shared" si="41"/>
        <v>37.591666666666669</v>
      </c>
      <c r="CD94" s="1">
        <f t="shared" si="42"/>
        <v>38.1</v>
      </c>
      <c r="CE94" s="1">
        <f t="shared" si="42"/>
        <v>38.605555555555554</v>
      </c>
      <c r="CF94" s="1">
        <f t="shared" si="42"/>
        <v>39.113888888888887</v>
      </c>
      <c r="CG94" s="1">
        <f t="shared" si="42"/>
        <v>39.619444444444447</v>
      </c>
      <c r="CH94" s="1">
        <f t="shared" si="42"/>
        <v>40.12777777777778</v>
      </c>
      <c r="CI94" s="1">
        <f t="shared" si="42"/>
        <v>40.633333333333333</v>
      </c>
      <c r="CJ94" s="1">
        <f t="shared" si="42"/>
        <v>41.141666666666666</v>
      </c>
      <c r="CK94" s="1">
        <f t="shared" si="42"/>
        <v>41.65</v>
      </c>
      <c r="CL94" s="1">
        <f t="shared" si="42"/>
        <v>42.158333333333331</v>
      </c>
      <c r="CM94" s="1">
        <f t="shared" si="42"/>
        <v>42.663888888888891</v>
      </c>
      <c r="CN94" s="1">
        <f t="shared" si="42"/>
        <v>43.172222222222224</v>
      </c>
      <c r="CO94" s="1">
        <f t="shared" si="42"/>
        <v>43.677777777777777</v>
      </c>
      <c r="CP94" s="1">
        <f t="shared" si="42"/>
        <v>44.18611111111111</v>
      </c>
      <c r="CQ94" s="1">
        <f t="shared" si="42"/>
        <v>44.69166666666667</v>
      </c>
      <c r="CR94" s="1">
        <f t="shared" si="42"/>
        <v>45.2</v>
      </c>
      <c r="CS94" s="1">
        <f t="shared" si="42"/>
        <v>45.708333333333336</v>
      </c>
      <c r="CT94" s="1">
        <f t="shared" si="43"/>
        <v>46.216666666666669</v>
      </c>
      <c r="CU94" s="1">
        <f t="shared" si="43"/>
        <v>46.722222222222221</v>
      </c>
      <c r="CV94" s="1">
        <f t="shared" si="43"/>
        <v>47.230555555555554</v>
      </c>
      <c r="CW94" s="1">
        <f t="shared" si="43"/>
        <v>47.736111111111114</v>
      </c>
      <c r="CX94" s="1">
        <f t="shared" si="43"/>
        <v>48.244444444444447</v>
      </c>
      <c r="CY94" s="1">
        <f t="shared" si="43"/>
        <v>48.75</v>
      </c>
      <c r="CZ94" s="1">
        <f t="shared" si="43"/>
        <v>49.258333333333333</v>
      </c>
      <c r="DA94" s="1">
        <f t="shared" si="43"/>
        <v>49.766666666666666</v>
      </c>
      <c r="DB94" s="1">
        <f t="shared" si="43"/>
        <v>50.274999999999999</v>
      </c>
      <c r="DC94" s="1">
        <f t="shared" si="43"/>
        <v>50.274999999999999</v>
      </c>
    </row>
    <row r="95" spans="1:107" x14ac:dyDescent="0.25">
      <c r="A95">
        <f t="shared" si="38"/>
        <v>6</v>
      </c>
      <c r="B95" s="2">
        <f>yields_BRUTE!B95</f>
        <v>42139</v>
      </c>
      <c r="C95" s="1">
        <f t="shared" si="47"/>
        <v>-0.20833333333333334</v>
      </c>
      <c r="D95" s="1">
        <f t="shared" si="47"/>
        <v>-0.16944444444444445</v>
      </c>
      <c r="E95" s="1">
        <f t="shared" si="47"/>
        <v>4.7222222222222221E-2</v>
      </c>
      <c r="F95" s="1">
        <f t="shared" si="47"/>
        <v>0.30277777777777776</v>
      </c>
      <c r="G95" s="1">
        <f t="shared" si="47"/>
        <v>0.34166666666666667</v>
      </c>
      <c r="H95" s="1">
        <f t="shared" si="47"/>
        <v>0.55555555555555558</v>
      </c>
      <c r="I95" s="1">
        <f t="shared" si="47"/>
        <v>0.55555555555555558</v>
      </c>
      <c r="J95" s="1">
        <f t="shared" si="47"/>
        <v>0.80833333333333335</v>
      </c>
      <c r="K95" s="1">
        <f t="shared" si="47"/>
        <v>0.84722222222222221</v>
      </c>
      <c r="L95" s="1">
        <f t="shared" si="47"/>
        <v>1.0638888888888889</v>
      </c>
      <c r="M95" s="1">
        <f t="shared" si="47"/>
        <v>1.3194444444444444</v>
      </c>
      <c r="N95" s="1">
        <f t="shared" si="47"/>
        <v>1.3194444444444444</v>
      </c>
      <c r="O95" s="1">
        <f t="shared" si="47"/>
        <v>1.3583333333333334</v>
      </c>
      <c r="P95" s="1">
        <f t="shared" si="47"/>
        <v>1.5722222222222222</v>
      </c>
      <c r="Q95" s="1">
        <f t="shared" si="47"/>
        <v>1.8611111111111112</v>
      </c>
      <c r="R95" s="1">
        <f t="shared" si="47"/>
        <v>2.0777777777777779</v>
      </c>
      <c r="S95" s="1">
        <f t="shared" si="45"/>
        <v>2.3722222222222222</v>
      </c>
      <c r="T95" s="1">
        <f t="shared" si="45"/>
        <v>2.5861111111111112</v>
      </c>
      <c r="U95" s="1">
        <f t="shared" si="45"/>
        <v>2.875</v>
      </c>
      <c r="V95" s="1">
        <f t="shared" si="45"/>
        <v>3.0916666666666668</v>
      </c>
      <c r="W95" s="1">
        <f t="shared" si="45"/>
        <v>3.3861111111111111</v>
      </c>
      <c r="X95" s="1">
        <f t="shared" si="45"/>
        <v>3.6</v>
      </c>
      <c r="Y95" s="1">
        <f t="shared" si="45"/>
        <v>3.8888888888888888</v>
      </c>
      <c r="Z95" s="1">
        <f t="shared" si="45"/>
        <v>4.1055555555555552</v>
      </c>
      <c r="AA95" s="1">
        <f t="shared" si="45"/>
        <v>4.4000000000000004</v>
      </c>
      <c r="AB95" s="1">
        <f t="shared" si="45"/>
        <v>4.6138888888888889</v>
      </c>
      <c r="AC95" s="1">
        <f t="shared" si="45"/>
        <v>4.9055555555555559</v>
      </c>
      <c r="AD95" s="1">
        <f t="shared" si="45"/>
        <v>5.1222222222222218</v>
      </c>
      <c r="AE95" s="1">
        <f t="shared" si="45"/>
        <v>5.1222222222222218</v>
      </c>
      <c r="AF95" s="3">
        <f t="shared" si="45"/>
        <v>5.416666666666667</v>
      </c>
      <c r="AG95" s="1">
        <f t="shared" si="44"/>
        <v>5.6305555555555555</v>
      </c>
      <c r="AH95" s="1">
        <f t="shared" si="44"/>
        <v>5.9194444444444443</v>
      </c>
      <c r="AI95" s="1">
        <f t="shared" si="44"/>
        <v>5.9194444444444443</v>
      </c>
      <c r="AJ95" s="1">
        <f t="shared" si="44"/>
        <v>6.1361111111111111</v>
      </c>
      <c r="AK95" s="1">
        <f t="shared" si="44"/>
        <v>6.1361111111111111</v>
      </c>
      <c r="AL95" s="1">
        <f t="shared" si="44"/>
        <v>6.6444444444444448</v>
      </c>
      <c r="AM95" s="1">
        <f t="shared" si="44"/>
        <v>7.15</v>
      </c>
      <c r="AN95" s="1">
        <f t="shared" si="44"/>
        <v>7.15</v>
      </c>
      <c r="AO95" s="1">
        <f t="shared" si="44"/>
        <v>7.6583333333333332</v>
      </c>
      <c r="AP95" s="1">
        <f t="shared" si="44"/>
        <v>8.1638888888888896</v>
      </c>
      <c r="AQ95" s="1">
        <f t="shared" si="44"/>
        <v>8.1638888888888896</v>
      </c>
      <c r="AR95" s="1">
        <f t="shared" si="44"/>
        <v>8.6722222222222225</v>
      </c>
      <c r="AS95" s="1">
        <f t="shared" si="44"/>
        <v>9.1805555555555554</v>
      </c>
      <c r="AT95" s="1">
        <f t="shared" si="44"/>
        <v>9.6888888888888882</v>
      </c>
      <c r="AU95" s="1">
        <f t="shared" si="44"/>
        <v>10.194444444444445</v>
      </c>
      <c r="AV95" s="1">
        <f t="shared" si="44"/>
        <v>10.194444444444445</v>
      </c>
      <c r="AW95" s="1">
        <f t="shared" si="46"/>
        <v>14.761111111111111</v>
      </c>
      <c r="AX95" s="1">
        <f t="shared" si="46"/>
        <v>15.266666666666667</v>
      </c>
      <c r="AY95" s="1">
        <f t="shared" si="46"/>
        <v>15.775</v>
      </c>
      <c r="AZ95" s="1">
        <f t="shared" si="46"/>
        <v>16.280555555555555</v>
      </c>
      <c r="BA95" s="1">
        <f t="shared" si="46"/>
        <v>16.788888888888888</v>
      </c>
      <c r="BB95" s="1">
        <f t="shared" si="46"/>
        <v>17.297222222222221</v>
      </c>
      <c r="BC95" s="1">
        <f t="shared" si="46"/>
        <v>17.805555555555557</v>
      </c>
      <c r="BD95" s="1">
        <f t="shared" si="46"/>
        <v>18.31111111111111</v>
      </c>
      <c r="BE95" s="1">
        <f t="shared" si="46"/>
        <v>18.31111111111111</v>
      </c>
      <c r="BF95" s="1">
        <f t="shared" si="46"/>
        <v>26.93611111111111</v>
      </c>
      <c r="BG95" s="1">
        <f t="shared" si="46"/>
        <v>27.441666666666666</v>
      </c>
      <c r="BH95" s="1">
        <f t="shared" si="46"/>
        <v>27.95</v>
      </c>
      <c r="BI95" s="1">
        <f t="shared" si="46"/>
        <v>28.455555555555556</v>
      </c>
      <c r="BJ95" s="1">
        <f t="shared" si="46"/>
        <v>28.963888888888889</v>
      </c>
      <c r="BK95" s="1">
        <f t="shared" si="46"/>
        <v>29.472222222222221</v>
      </c>
      <c r="BL95" s="1">
        <f t="shared" si="46"/>
        <v>29.980555555555554</v>
      </c>
      <c r="BM95" s="1">
        <f t="shared" ref="BM95:CB110" si="48">(BM$1-$B95)/360</f>
        <v>30.486111111111111</v>
      </c>
      <c r="BN95" s="1">
        <f t="shared" si="48"/>
        <v>30.994444444444444</v>
      </c>
      <c r="BO95" s="1">
        <f t="shared" si="48"/>
        <v>30.994444444444444</v>
      </c>
      <c r="BP95" s="1">
        <f t="shared" si="48"/>
        <v>31.5</v>
      </c>
      <c r="BQ95" s="1">
        <f t="shared" si="48"/>
        <v>32.008333333333333</v>
      </c>
      <c r="BR95" s="1">
        <f t="shared" si="48"/>
        <v>32.513888888888886</v>
      </c>
      <c r="BS95" s="1">
        <f t="shared" si="48"/>
        <v>33.022222222222226</v>
      </c>
      <c r="BT95" s="1">
        <f t="shared" si="48"/>
        <v>33.530555555555559</v>
      </c>
      <c r="BU95" s="1">
        <f t="shared" si="48"/>
        <v>34.038888888888891</v>
      </c>
      <c r="BV95" s="1">
        <f t="shared" si="48"/>
        <v>34.038888888888891</v>
      </c>
      <c r="BW95" s="1">
        <f t="shared" si="48"/>
        <v>34.544444444444444</v>
      </c>
      <c r="BX95" s="1">
        <f t="shared" si="48"/>
        <v>35.052777777777777</v>
      </c>
      <c r="BY95" s="1">
        <f t="shared" si="48"/>
        <v>35.55833333333333</v>
      </c>
      <c r="BZ95" s="1">
        <f t="shared" si="48"/>
        <v>36.06666666666667</v>
      </c>
      <c r="CA95" s="1">
        <f t="shared" si="48"/>
        <v>36.572222222222223</v>
      </c>
      <c r="CB95" s="1">
        <f t="shared" si="48"/>
        <v>37.080555555555556</v>
      </c>
      <c r="CC95" s="1">
        <f t="shared" ref="CC95:CR110" si="49">(CC$1-$B95)/360</f>
        <v>37.588888888888889</v>
      </c>
      <c r="CD95" s="1">
        <f t="shared" si="49"/>
        <v>38.097222222222221</v>
      </c>
      <c r="CE95" s="1">
        <f t="shared" si="49"/>
        <v>38.602777777777774</v>
      </c>
      <c r="CF95" s="1">
        <f t="shared" si="49"/>
        <v>39.111111111111114</v>
      </c>
      <c r="CG95" s="1">
        <f t="shared" si="49"/>
        <v>39.616666666666667</v>
      </c>
      <c r="CH95" s="1">
        <f t="shared" si="49"/>
        <v>40.125</v>
      </c>
      <c r="CI95" s="1">
        <f t="shared" si="49"/>
        <v>40.630555555555553</v>
      </c>
      <c r="CJ95" s="1">
        <f t="shared" si="49"/>
        <v>41.138888888888886</v>
      </c>
      <c r="CK95" s="1">
        <f t="shared" si="49"/>
        <v>41.647222222222226</v>
      </c>
      <c r="CL95" s="1">
        <f t="shared" si="49"/>
        <v>42.155555555555559</v>
      </c>
      <c r="CM95" s="1">
        <f t="shared" si="49"/>
        <v>42.661111111111111</v>
      </c>
      <c r="CN95" s="1">
        <f t="shared" si="49"/>
        <v>43.169444444444444</v>
      </c>
      <c r="CO95" s="1">
        <f t="shared" si="49"/>
        <v>43.674999999999997</v>
      </c>
      <c r="CP95" s="1">
        <f t="shared" si="49"/>
        <v>44.18333333333333</v>
      </c>
      <c r="CQ95" s="1">
        <f t="shared" si="49"/>
        <v>44.68888888888889</v>
      </c>
      <c r="CR95" s="1">
        <f t="shared" si="49"/>
        <v>45.197222222222223</v>
      </c>
      <c r="CS95" s="1">
        <f t="shared" ref="CS95:DC110" si="50">(CS$1-$B95)/360</f>
        <v>45.705555555555556</v>
      </c>
      <c r="CT95" s="1">
        <f t="shared" si="50"/>
        <v>46.213888888888889</v>
      </c>
      <c r="CU95" s="1">
        <f t="shared" si="50"/>
        <v>46.719444444444441</v>
      </c>
      <c r="CV95" s="1">
        <f t="shared" si="50"/>
        <v>47.227777777777774</v>
      </c>
      <c r="CW95" s="1">
        <f t="shared" si="50"/>
        <v>47.733333333333334</v>
      </c>
      <c r="CX95" s="1">
        <f t="shared" si="50"/>
        <v>48.241666666666667</v>
      </c>
      <c r="CY95" s="1">
        <f t="shared" si="50"/>
        <v>48.74722222222222</v>
      </c>
      <c r="CZ95" s="1">
        <f t="shared" si="50"/>
        <v>49.255555555555553</v>
      </c>
      <c r="DA95" s="1">
        <f t="shared" si="50"/>
        <v>49.763888888888886</v>
      </c>
      <c r="DB95" s="1">
        <f t="shared" si="50"/>
        <v>50.272222222222226</v>
      </c>
      <c r="DC95" s="1">
        <f t="shared" si="50"/>
        <v>50.272222222222226</v>
      </c>
    </row>
    <row r="96" spans="1:107" x14ac:dyDescent="0.25">
      <c r="A96">
        <f t="shared" si="38"/>
        <v>3</v>
      </c>
      <c r="B96" s="2">
        <f>yields_BRUTE!B96</f>
        <v>42143</v>
      </c>
      <c r="C96" s="1">
        <f t="shared" si="47"/>
        <v>-0.21944444444444444</v>
      </c>
      <c r="D96" s="1">
        <f t="shared" si="47"/>
        <v>-0.18055555555555555</v>
      </c>
      <c r="E96" s="1">
        <f t="shared" si="47"/>
        <v>3.6111111111111108E-2</v>
      </c>
      <c r="F96" s="1">
        <f t="shared" si="47"/>
        <v>0.29166666666666669</v>
      </c>
      <c r="G96" s="1">
        <f t="shared" si="47"/>
        <v>0.33055555555555555</v>
      </c>
      <c r="H96" s="1">
        <f t="shared" si="47"/>
        <v>0.5444444444444444</v>
      </c>
      <c r="I96" s="1">
        <f t="shared" si="47"/>
        <v>0.5444444444444444</v>
      </c>
      <c r="J96" s="1">
        <f t="shared" si="47"/>
        <v>0.79722222222222228</v>
      </c>
      <c r="K96" s="1">
        <f t="shared" si="47"/>
        <v>0.83611111111111114</v>
      </c>
      <c r="L96" s="1">
        <f t="shared" si="47"/>
        <v>1.0527777777777778</v>
      </c>
      <c r="M96" s="1">
        <f t="shared" si="47"/>
        <v>1.3083333333333333</v>
      </c>
      <c r="N96" s="1">
        <f t="shared" si="47"/>
        <v>1.3083333333333333</v>
      </c>
      <c r="O96" s="1">
        <f t="shared" si="47"/>
        <v>1.3472222222222223</v>
      </c>
      <c r="P96" s="1">
        <f t="shared" si="47"/>
        <v>1.5611111111111111</v>
      </c>
      <c r="Q96" s="1">
        <f t="shared" si="47"/>
        <v>1.85</v>
      </c>
      <c r="R96" s="1">
        <f t="shared" si="47"/>
        <v>2.0666666666666669</v>
      </c>
      <c r="S96" s="1">
        <f t="shared" si="45"/>
        <v>2.3611111111111112</v>
      </c>
      <c r="T96" s="1">
        <f t="shared" si="45"/>
        <v>2.5750000000000002</v>
      </c>
      <c r="U96" s="1">
        <f t="shared" si="45"/>
        <v>2.8638888888888889</v>
      </c>
      <c r="V96" s="1">
        <f t="shared" si="45"/>
        <v>3.0805555555555557</v>
      </c>
      <c r="W96" s="1">
        <f t="shared" si="45"/>
        <v>3.375</v>
      </c>
      <c r="X96" s="1">
        <f t="shared" si="45"/>
        <v>3.588888888888889</v>
      </c>
      <c r="Y96" s="1">
        <f t="shared" si="45"/>
        <v>3.8777777777777778</v>
      </c>
      <c r="Z96" s="1">
        <f t="shared" si="45"/>
        <v>4.0944444444444441</v>
      </c>
      <c r="AA96" s="1">
        <f t="shared" si="45"/>
        <v>4.3888888888888893</v>
      </c>
      <c r="AB96" s="1">
        <f t="shared" si="45"/>
        <v>4.6027777777777779</v>
      </c>
      <c r="AC96" s="1">
        <f t="shared" si="45"/>
        <v>4.8944444444444448</v>
      </c>
      <c r="AD96" s="1">
        <f t="shared" si="45"/>
        <v>5.1111111111111107</v>
      </c>
      <c r="AE96" s="1">
        <f t="shared" si="45"/>
        <v>5.1111111111111107</v>
      </c>
      <c r="AF96" s="3">
        <f t="shared" si="45"/>
        <v>5.4055555555555559</v>
      </c>
      <c r="AG96" s="1">
        <f t="shared" si="44"/>
        <v>5.6194444444444445</v>
      </c>
      <c r="AH96" s="1">
        <f t="shared" si="44"/>
        <v>5.9083333333333332</v>
      </c>
      <c r="AI96" s="1">
        <f t="shared" si="44"/>
        <v>5.9083333333333332</v>
      </c>
      <c r="AJ96" s="1">
        <f t="shared" si="44"/>
        <v>6.125</v>
      </c>
      <c r="AK96" s="1">
        <f t="shared" si="44"/>
        <v>6.125</v>
      </c>
      <c r="AL96" s="1">
        <f t="shared" si="44"/>
        <v>6.6333333333333337</v>
      </c>
      <c r="AM96" s="1">
        <f t="shared" si="44"/>
        <v>7.1388888888888893</v>
      </c>
      <c r="AN96" s="1">
        <f t="shared" si="44"/>
        <v>7.1388888888888893</v>
      </c>
      <c r="AO96" s="1">
        <f t="shared" si="44"/>
        <v>7.6472222222222221</v>
      </c>
      <c r="AP96" s="1">
        <f t="shared" si="44"/>
        <v>8.1527777777777786</v>
      </c>
      <c r="AQ96" s="1">
        <f t="shared" si="44"/>
        <v>8.1527777777777786</v>
      </c>
      <c r="AR96" s="1">
        <f t="shared" si="44"/>
        <v>8.6611111111111114</v>
      </c>
      <c r="AS96" s="1">
        <f t="shared" si="44"/>
        <v>9.1694444444444443</v>
      </c>
      <c r="AT96" s="1">
        <f t="shared" si="44"/>
        <v>9.6777777777777771</v>
      </c>
      <c r="AU96" s="1">
        <f t="shared" si="44"/>
        <v>10.183333333333334</v>
      </c>
      <c r="AV96" s="1">
        <f t="shared" si="44"/>
        <v>10.183333333333334</v>
      </c>
      <c r="AW96" s="1">
        <f t="shared" si="46"/>
        <v>14.75</v>
      </c>
      <c r="AX96" s="1">
        <f t="shared" si="46"/>
        <v>15.255555555555556</v>
      </c>
      <c r="AY96" s="1">
        <f t="shared" si="46"/>
        <v>15.763888888888889</v>
      </c>
      <c r="AZ96" s="1">
        <f t="shared" si="46"/>
        <v>16.269444444444446</v>
      </c>
      <c r="BA96" s="1">
        <f t="shared" si="46"/>
        <v>16.777777777777779</v>
      </c>
      <c r="BB96" s="1">
        <f t="shared" si="46"/>
        <v>17.286111111111111</v>
      </c>
      <c r="BC96" s="1">
        <f t="shared" si="46"/>
        <v>17.794444444444444</v>
      </c>
      <c r="BD96" s="1">
        <f t="shared" si="46"/>
        <v>18.3</v>
      </c>
      <c r="BE96" s="1">
        <f t="shared" si="46"/>
        <v>18.3</v>
      </c>
      <c r="BF96" s="1">
        <f t="shared" si="46"/>
        <v>26.925000000000001</v>
      </c>
      <c r="BG96" s="1">
        <f t="shared" si="46"/>
        <v>27.430555555555557</v>
      </c>
      <c r="BH96" s="1">
        <f t="shared" si="46"/>
        <v>27.93888888888889</v>
      </c>
      <c r="BI96" s="1">
        <f t="shared" si="46"/>
        <v>28.444444444444443</v>
      </c>
      <c r="BJ96" s="1">
        <f t="shared" si="46"/>
        <v>28.952777777777779</v>
      </c>
      <c r="BK96" s="1">
        <f t="shared" si="46"/>
        <v>29.461111111111112</v>
      </c>
      <c r="BL96" s="1">
        <f t="shared" si="46"/>
        <v>29.969444444444445</v>
      </c>
      <c r="BM96" s="1">
        <f t="shared" si="48"/>
        <v>30.475000000000001</v>
      </c>
      <c r="BN96" s="1">
        <f t="shared" si="48"/>
        <v>30.983333333333334</v>
      </c>
      <c r="BO96" s="1">
        <f t="shared" si="48"/>
        <v>30.983333333333334</v>
      </c>
      <c r="BP96" s="1">
        <f t="shared" si="48"/>
        <v>31.488888888888887</v>
      </c>
      <c r="BQ96" s="1">
        <f t="shared" si="48"/>
        <v>31.997222222222224</v>
      </c>
      <c r="BR96" s="1">
        <f t="shared" si="48"/>
        <v>32.50277777777778</v>
      </c>
      <c r="BS96" s="1">
        <f t="shared" si="48"/>
        <v>33.011111111111113</v>
      </c>
      <c r="BT96" s="1">
        <f t="shared" si="48"/>
        <v>33.519444444444446</v>
      </c>
      <c r="BU96" s="1">
        <f t="shared" si="48"/>
        <v>34.027777777777779</v>
      </c>
      <c r="BV96" s="1">
        <f t="shared" si="48"/>
        <v>34.027777777777779</v>
      </c>
      <c r="BW96" s="1">
        <f t="shared" si="48"/>
        <v>34.533333333333331</v>
      </c>
      <c r="BX96" s="1">
        <f t="shared" si="48"/>
        <v>35.041666666666664</v>
      </c>
      <c r="BY96" s="1">
        <f t="shared" si="48"/>
        <v>35.547222222222224</v>
      </c>
      <c r="BZ96" s="1">
        <f t="shared" si="48"/>
        <v>36.055555555555557</v>
      </c>
      <c r="CA96" s="1">
        <f t="shared" si="48"/>
        <v>36.56111111111111</v>
      </c>
      <c r="CB96" s="1">
        <f t="shared" si="48"/>
        <v>37.069444444444443</v>
      </c>
      <c r="CC96" s="1">
        <f t="shared" si="49"/>
        <v>37.577777777777776</v>
      </c>
      <c r="CD96" s="1">
        <f t="shared" si="49"/>
        <v>38.086111111111109</v>
      </c>
      <c r="CE96" s="1">
        <f t="shared" si="49"/>
        <v>38.591666666666669</v>
      </c>
      <c r="CF96" s="1">
        <f t="shared" si="49"/>
        <v>39.1</v>
      </c>
      <c r="CG96" s="1">
        <f t="shared" si="49"/>
        <v>39.605555555555554</v>
      </c>
      <c r="CH96" s="1">
        <f t="shared" si="49"/>
        <v>40.113888888888887</v>
      </c>
      <c r="CI96" s="1">
        <f t="shared" si="49"/>
        <v>40.619444444444447</v>
      </c>
      <c r="CJ96" s="1">
        <f t="shared" si="49"/>
        <v>41.12777777777778</v>
      </c>
      <c r="CK96" s="1">
        <f t="shared" si="49"/>
        <v>41.636111111111113</v>
      </c>
      <c r="CL96" s="1">
        <f t="shared" si="49"/>
        <v>42.144444444444446</v>
      </c>
      <c r="CM96" s="1">
        <f t="shared" si="49"/>
        <v>42.65</v>
      </c>
      <c r="CN96" s="1">
        <f t="shared" si="49"/>
        <v>43.158333333333331</v>
      </c>
      <c r="CO96" s="1">
        <f t="shared" si="49"/>
        <v>43.663888888888891</v>
      </c>
      <c r="CP96" s="1">
        <f t="shared" si="49"/>
        <v>44.172222222222224</v>
      </c>
      <c r="CQ96" s="1">
        <f t="shared" si="49"/>
        <v>44.677777777777777</v>
      </c>
      <c r="CR96" s="1">
        <f t="shared" si="49"/>
        <v>45.18611111111111</v>
      </c>
      <c r="CS96" s="1">
        <f t="shared" si="50"/>
        <v>45.694444444444443</v>
      </c>
      <c r="CT96" s="1">
        <f t="shared" si="50"/>
        <v>46.202777777777776</v>
      </c>
      <c r="CU96" s="1">
        <f t="shared" si="50"/>
        <v>46.708333333333336</v>
      </c>
      <c r="CV96" s="1">
        <f t="shared" si="50"/>
        <v>47.216666666666669</v>
      </c>
      <c r="CW96" s="1">
        <f t="shared" si="50"/>
        <v>47.722222222222221</v>
      </c>
      <c r="CX96" s="1">
        <f t="shared" si="50"/>
        <v>48.230555555555554</v>
      </c>
      <c r="CY96" s="1">
        <f t="shared" si="50"/>
        <v>48.736111111111114</v>
      </c>
      <c r="CZ96" s="1">
        <f t="shared" si="50"/>
        <v>49.244444444444447</v>
      </c>
      <c r="DA96" s="1">
        <f t="shared" si="50"/>
        <v>49.75277777777778</v>
      </c>
      <c r="DB96" s="1">
        <f t="shared" si="50"/>
        <v>50.261111111111113</v>
      </c>
      <c r="DC96" s="1">
        <f t="shared" si="50"/>
        <v>50.261111111111113</v>
      </c>
    </row>
    <row r="97" spans="1:107" x14ac:dyDescent="0.25">
      <c r="A97">
        <f t="shared" si="38"/>
        <v>4</v>
      </c>
      <c r="B97" s="2">
        <f>yields_BRUTE!B97</f>
        <v>42144</v>
      </c>
      <c r="C97" s="1">
        <f t="shared" si="47"/>
        <v>-0.22222222222222221</v>
      </c>
      <c r="D97" s="1">
        <f t="shared" si="47"/>
        <v>-0.18333333333333332</v>
      </c>
      <c r="E97" s="1">
        <f t="shared" si="47"/>
        <v>3.3333333333333333E-2</v>
      </c>
      <c r="F97" s="1">
        <f t="shared" si="47"/>
        <v>0.28888888888888886</v>
      </c>
      <c r="G97" s="1">
        <f t="shared" si="47"/>
        <v>0.32777777777777778</v>
      </c>
      <c r="H97" s="1">
        <f t="shared" si="47"/>
        <v>0.54166666666666663</v>
      </c>
      <c r="I97" s="1">
        <f t="shared" si="47"/>
        <v>0.54166666666666663</v>
      </c>
      <c r="J97" s="1">
        <f t="shared" si="47"/>
        <v>0.7944444444444444</v>
      </c>
      <c r="K97" s="1">
        <f t="shared" si="47"/>
        <v>0.83333333333333337</v>
      </c>
      <c r="L97" s="1">
        <f t="shared" si="47"/>
        <v>1.05</v>
      </c>
      <c r="M97" s="1">
        <f t="shared" si="47"/>
        <v>1.3055555555555556</v>
      </c>
      <c r="N97" s="1">
        <f t="shared" si="47"/>
        <v>1.3055555555555556</v>
      </c>
      <c r="O97" s="1">
        <f t="shared" si="47"/>
        <v>1.3444444444444446</v>
      </c>
      <c r="P97" s="1">
        <f t="shared" si="47"/>
        <v>1.5583333333333333</v>
      </c>
      <c r="Q97" s="1">
        <f t="shared" si="47"/>
        <v>1.8472222222222223</v>
      </c>
      <c r="R97" s="1">
        <f t="shared" si="47"/>
        <v>2.0638888888888891</v>
      </c>
      <c r="S97" s="1">
        <f t="shared" si="45"/>
        <v>2.3583333333333334</v>
      </c>
      <c r="T97" s="1">
        <f t="shared" si="45"/>
        <v>2.5722222222222224</v>
      </c>
      <c r="U97" s="1">
        <f t="shared" si="45"/>
        <v>2.8611111111111112</v>
      </c>
      <c r="V97" s="1">
        <f t="shared" si="45"/>
        <v>3.0777777777777779</v>
      </c>
      <c r="W97" s="1">
        <f t="shared" si="45"/>
        <v>3.3722222222222222</v>
      </c>
      <c r="X97" s="1">
        <f t="shared" si="45"/>
        <v>3.5861111111111112</v>
      </c>
      <c r="Y97" s="1">
        <f t="shared" si="45"/>
        <v>3.875</v>
      </c>
      <c r="Z97" s="1">
        <f t="shared" si="45"/>
        <v>4.0916666666666668</v>
      </c>
      <c r="AA97" s="1">
        <f t="shared" si="45"/>
        <v>4.3861111111111111</v>
      </c>
      <c r="AB97" s="1">
        <f t="shared" si="45"/>
        <v>4.5999999999999996</v>
      </c>
      <c r="AC97" s="1">
        <f t="shared" si="45"/>
        <v>4.8916666666666666</v>
      </c>
      <c r="AD97" s="1">
        <f t="shared" si="45"/>
        <v>5.1083333333333334</v>
      </c>
      <c r="AE97" s="1">
        <f t="shared" si="45"/>
        <v>5.1083333333333334</v>
      </c>
      <c r="AF97" s="3">
        <f t="shared" si="45"/>
        <v>5.4027777777777777</v>
      </c>
      <c r="AG97" s="1">
        <f t="shared" si="45"/>
        <v>5.6166666666666663</v>
      </c>
      <c r="AH97" s="1">
        <f t="shared" si="45"/>
        <v>5.9055555555555559</v>
      </c>
      <c r="AI97" s="1">
        <f t="shared" ref="AI97:AX112" si="51">(AI$1-$B97)/360</f>
        <v>5.9055555555555559</v>
      </c>
      <c r="AJ97" s="1">
        <f t="shared" si="51"/>
        <v>6.1222222222222218</v>
      </c>
      <c r="AK97" s="1">
        <f t="shared" si="51"/>
        <v>6.1222222222222218</v>
      </c>
      <c r="AL97" s="1">
        <f t="shared" si="51"/>
        <v>6.6305555555555555</v>
      </c>
      <c r="AM97" s="1">
        <f t="shared" si="51"/>
        <v>7.1361111111111111</v>
      </c>
      <c r="AN97" s="1">
        <f t="shared" si="51"/>
        <v>7.1361111111111111</v>
      </c>
      <c r="AO97" s="1">
        <f t="shared" si="51"/>
        <v>7.6444444444444448</v>
      </c>
      <c r="AP97" s="1">
        <f t="shared" si="51"/>
        <v>8.15</v>
      </c>
      <c r="AQ97" s="1">
        <f t="shared" si="51"/>
        <v>8.15</v>
      </c>
      <c r="AR97" s="1">
        <f t="shared" si="51"/>
        <v>8.6583333333333332</v>
      </c>
      <c r="AS97" s="1">
        <f t="shared" si="51"/>
        <v>9.1666666666666661</v>
      </c>
      <c r="AT97" s="1">
        <f t="shared" si="51"/>
        <v>9.6750000000000007</v>
      </c>
      <c r="AU97" s="1">
        <f t="shared" si="51"/>
        <v>10.180555555555555</v>
      </c>
      <c r="AV97" s="1">
        <f t="shared" si="51"/>
        <v>10.180555555555555</v>
      </c>
      <c r="AW97" s="1">
        <f t="shared" si="46"/>
        <v>14.747222222222222</v>
      </c>
      <c r="AX97" s="1">
        <f t="shared" si="46"/>
        <v>15.252777777777778</v>
      </c>
      <c r="AY97" s="1">
        <f t="shared" si="46"/>
        <v>15.761111111111111</v>
      </c>
      <c r="AZ97" s="1">
        <f t="shared" si="46"/>
        <v>16.266666666666666</v>
      </c>
      <c r="BA97" s="1">
        <f t="shared" si="46"/>
        <v>16.774999999999999</v>
      </c>
      <c r="BB97" s="1">
        <f t="shared" si="46"/>
        <v>17.283333333333335</v>
      </c>
      <c r="BC97" s="1">
        <f t="shared" si="46"/>
        <v>17.791666666666668</v>
      </c>
      <c r="BD97" s="1">
        <f t="shared" si="46"/>
        <v>18.297222222222221</v>
      </c>
      <c r="BE97" s="1">
        <f t="shared" si="46"/>
        <v>18.297222222222221</v>
      </c>
      <c r="BF97" s="1">
        <f t="shared" si="46"/>
        <v>26.922222222222221</v>
      </c>
      <c r="BG97" s="1">
        <f t="shared" si="46"/>
        <v>27.427777777777777</v>
      </c>
      <c r="BH97" s="1">
        <f t="shared" si="46"/>
        <v>27.93611111111111</v>
      </c>
      <c r="BI97" s="1">
        <f t="shared" si="46"/>
        <v>28.441666666666666</v>
      </c>
      <c r="BJ97" s="1">
        <f t="shared" si="46"/>
        <v>28.95</v>
      </c>
      <c r="BK97" s="1">
        <f t="shared" si="46"/>
        <v>29.458333333333332</v>
      </c>
      <c r="BL97" s="1">
        <f t="shared" si="46"/>
        <v>29.966666666666665</v>
      </c>
      <c r="BM97" s="1">
        <f t="shared" si="48"/>
        <v>30.472222222222221</v>
      </c>
      <c r="BN97" s="1">
        <f t="shared" si="48"/>
        <v>30.980555555555554</v>
      </c>
      <c r="BO97" s="1">
        <f t="shared" si="48"/>
        <v>30.980555555555554</v>
      </c>
      <c r="BP97" s="1">
        <f t="shared" si="48"/>
        <v>31.486111111111111</v>
      </c>
      <c r="BQ97" s="1">
        <f t="shared" si="48"/>
        <v>31.994444444444444</v>
      </c>
      <c r="BR97" s="1">
        <f t="shared" si="48"/>
        <v>32.5</v>
      </c>
      <c r="BS97" s="1">
        <f t="shared" si="48"/>
        <v>33.008333333333333</v>
      </c>
      <c r="BT97" s="1">
        <f t="shared" si="48"/>
        <v>33.516666666666666</v>
      </c>
      <c r="BU97" s="1">
        <f t="shared" si="48"/>
        <v>34.024999999999999</v>
      </c>
      <c r="BV97" s="1">
        <f t="shared" si="48"/>
        <v>34.024999999999999</v>
      </c>
      <c r="BW97" s="1">
        <f t="shared" si="48"/>
        <v>34.530555555555559</v>
      </c>
      <c r="BX97" s="1">
        <f t="shared" si="48"/>
        <v>35.038888888888891</v>
      </c>
      <c r="BY97" s="1">
        <f t="shared" si="48"/>
        <v>35.544444444444444</v>
      </c>
      <c r="BZ97" s="1">
        <f t="shared" si="48"/>
        <v>36.052777777777777</v>
      </c>
      <c r="CA97" s="1">
        <f t="shared" si="48"/>
        <v>36.55833333333333</v>
      </c>
      <c r="CB97" s="1">
        <f t="shared" si="48"/>
        <v>37.06666666666667</v>
      </c>
      <c r="CC97" s="1">
        <f t="shared" si="49"/>
        <v>37.575000000000003</v>
      </c>
      <c r="CD97" s="1">
        <f t="shared" si="49"/>
        <v>38.083333333333336</v>
      </c>
      <c r="CE97" s="1">
        <f t="shared" si="49"/>
        <v>38.588888888888889</v>
      </c>
      <c r="CF97" s="1">
        <f t="shared" si="49"/>
        <v>39.097222222222221</v>
      </c>
      <c r="CG97" s="1">
        <f t="shared" si="49"/>
        <v>39.602777777777774</v>
      </c>
      <c r="CH97" s="1">
        <f t="shared" si="49"/>
        <v>40.111111111111114</v>
      </c>
      <c r="CI97" s="1">
        <f t="shared" si="49"/>
        <v>40.616666666666667</v>
      </c>
      <c r="CJ97" s="1">
        <f t="shared" si="49"/>
        <v>41.125</v>
      </c>
      <c r="CK97" s="1">
        <f t="shared" si="49"/>
        <v>41.633333333333333</v>
      </c>
      <c r="CL97" s="1">
        <f t="shared" si="49"/>
        <v>42.141666666666666</v>
      </c>
      <c r="CM97" s="1">
        <f t="shared" si="49"/>
        <v>42.647222222222226</v>
      </c>
      <c r="CN97" s="1">
        <f t="shared" si="49"/>
        <v>43.155555555555559</v>
      </c>
      <c r="CO97" s="1">
        <f t="shared" si="49"/>
        <v>43.661111111111111</v>
      </c>
      <c r="CP97" s="1">
        <f t="shared" si="49"/>
        <v>44.169444444444444</v>
      </c>
      <c r="CQ97" s="1">
        <f t="shared" si="49"/>
        <v>44.674999999999997</v>
      </c>
      <c r="CR97" s="1">
        <f t="shared" si="49"/>
        <v>45.18333333333333</v>
      </c>
      <c r="CS97" s="1">
        <f t="shared" si="50"/>
        <v>45.69166666666667</v>
      </c>
      <c r="CT97" s="1">
        <f t="shared" si="50"/>
        <v>46.2</v>
      </c>
      <c r="CU97" s="1">
        <f t="shared" si="50"/>
        <v>46.705555555555556</v>
      </c>
      <c r="CV97" s="1">
        <f t="shared" si="50"/>
        <v>47.213888888888889</v>
      </c>
      <c r="CW97" s="1">
        <f t="shared" si="50"/>
        <v>47.719444444444441</v>
      </c>
      <c r="CX97" s="1">
        <f t="shared" si="50"/>
        <v>48.227777777777774</v>
      </c>
      <c r="CY97" s="1">
        <f t="shared" si="50"/>
        <v>48.733333333333334</v>
      </c>
      <c r="CZ97" s="1">
        <f t="shared" si="50"/>
        <v>49.241666666666667</v>
      </c>
      <c r="DA97" s="1">
        <f t="shared" si="50"/>
        <v>49.75</v>
      </c>
      <c r="DB97" s="1">
        <f t="shared" si="50"/>
        <v>50.258333333333333</v>
      </c>
      <c r="DC97" s="1">
        <f t="shared" si="50"/>
        <v>50.258333333333333</v>
      </c>
    </row>
    <row r="98" spans="1:107" x14ac:dyDescent="0.25">
      <c r="A98">
        <f t="shared" si="38"/>
        <v>5</v>
      </c>
      <c r="B98" s="2">
        <f>yields_BRUTE!B98</f>
        <v>42145</v>
      </c>
      <c r="C98" s="1">
        <f t="shared" si="47"/>
        <v>-0.22500000000000001</v>
      </c>
      <c r="D98" s="1">
        <f t="shared" si="47"/>
        <v>-0.18611111111111112</v>
      </c>
      <c r="E98" s="1">
        <f t="shared" si="47"/>
        <v>3.0555555555555555E-2</v>
      </c>
      <c r="F98" s="1">
        <f t="shared" si="47"/>
        <v>0.28611111111111109</v>
      </c>
      <c r="G98" s="1">
        <f t="shared" si="47"/>
        <v>0.32500000000000001</v>
      </c>
      <c r="H98" s="1">
        <f t="shared" si="47"/>
        <v>0.53888888888888886</v>
      </c>
      <c r="I98" s="1">
        <f t="shared" si="47"/>
        <v>0.53888888888888886</v>
      </c>
      <c r="J98" s="1">
        <f t="shared" si="47"/>
        <v>0.79166666666666663</v>
      </c>
      <c r="K98" s="1">
        <f t="shared" si="47"/>
        <v>0.8305555555555556</v>
      </c>
      <c r="L98" s="1">
        <f t="shared" si="47"/>
        <v>1.0472222222222223</v>
      </c>
      <c r="M98" s="1">
        <f t="shared" si="47"/>
        <v>1.3027777777777778</v>
      </c>
      <c r="N98" s="1">
        <f t="shared" si="47"/>
        <v>1.3027777777777778</v>
      </c>
      <c r="O98" s="1">
        <f t="shared" si="47"/>
        <v>1.3416666666666666</v>
      </c>
      <c r="P98" s="1">
        <f t="shared" si="47"/>
        <v>1.5555555555555556</v>
      </c>
      <c r="Q98" s="1">
        <f t="shared" si="47"/>
        <v>1.8444444444444446</v>
      </c>
      <c r="R98" s="1">
        <f t="shared" ref="R98:AG113" si="52">(R$1-$B98)/360</f>
        <v>2.0611111111111109</v>
      </c>
      <c r="S98" s="1">
        <f t="shared" si="52"/>
        <v>2.3555555555555556</v>
      </c>
      <c r="T98" s="1">
        <f t="shared" si="52"/>
        <v>2.5694444444444446</v>
      </c>
      <c r="U98" s="1">
        <f t="shared" si="52"/>
        <v>2.8583333333333334</v>
      </c>
      <c r="V98" s="1">
        <f t="shared" si="52"/>
        <v>3.0750000000000002</v>
      </c>
      <c r="W98" s="1">
        <f t="shared" si="52"/>
        <v>3.3694444444444445</v>
      </c>
      <c r="X98" s="1">
        <f t="shared" si="52"/>
        <v>3.5833333333333335</v>
      </c>
      <c r="Y98" s="1">
        <f t="shared" si="52"/>
        <v>3.8722222222222222</v>
      </c>
      <c r="Z98" s="1">
        <f t="shared" si="52"/>
        <v>4.0888888888888886</v>
      </c>
      <c r="AA98" s="1">
        <f t="shared" si="52"/>
        <v>4.3833333333333337</v>
      </c>
      <c r="AB98" s="1">
        <f t="shared" si="52"/>
        <v>4.5972222222222223</v>
      </c>
      <c r="AC98" s="1">
        <f t="shared" si="52"/>
        <v>4.8888888888888893</v>
      </c>
      <c r="AD98" s="1">
        <f t="shared" si="52"/>
        <v>5.1055555555555552</v>
      </c>
      <c r="AE98" s="1">
        <f t="shared" si="52"/>
        <v>5.1055555555555552</v>
      </c>
      <c r="AF98" s="3">
        <f t="shared" si="52"/>
        <v>5.4</v>
      </c>
      <c r="AG98" s="1">
        <f t="shared" si="52"/>
        <v>5.6138888888888889</v>
      </c>
      <c r="AH98" s="1">
        <f t="shared" ref="AH98:AW113" si="53">(AH$1-$B98)/360</f>
        <v>5.9027777777777777</v>
      </c>
      <c r="AI98" s="1">
        <f t="shared" si="51"/>
        <v>5.9027777777777777</v>
      </c>
      <c r="AJ98" s="1">
        <f t="shared" si="51"/>
        <v>6.1194444444444445</v>
      </c>
      <c r="AK98" s="1">
        <f t="shared" si="51"/>
        <v>6.1194444444444445</v>
      </c>
      <c r="AL98" s="1">
        <f t="shared" si="51"/>
        <v>6.6277777777777782</v>
      </c>
      <c r="AM98" s="1">
        <f t="shared" si="51"/>
        <v>7.1333333333333337</v>
      </c>
      <c r="AN98" s="1">
        <f t="shared" si="51"/>
        <v>7.1333333333333337</v>
      </c>
      <c r="AO98" s="1">
        <f t="shared" si="51"/>
        <v>7.6416666666666666</v>
      </c>
      <c r="AP98" s="1">
        <f t="shared" si="51"/>
        <v>8.1472222222222221</v>
      </c>
      <c r="AQ98" s="1">
        <f t="shared" si="51"/>
        <v>8.1472222222222221</v>
      </c>
      <c r="AR98" s="1">
        <f t="shared" si="51"/>
        <v>8.655555555555555</v>
      </c>
      <c r="AS98" s="1">
        <f t="shared" si="51"/>
        <v>9.1638888888888896</v>
      </c>
      <c r="AT98" s="1">
        <f t="shared" si="51"/>
        <v>9.6722222222222225</v>
      </c>
      <c r="AU98" s="1">
        <f t="shared" si="51"/>
        <v>10.177777777777777</v>
      </c>
      <c r="AV98" s="1">
        <f t="shared" si="51"/>
        <v>10.177777777777777</v>
      </c>
      <c r="AW98" s="1">
        <f t="shared" si="51"/>
        <v>14.744444444444444</v>
      </c>
      <c r="AX98" s="1">
        <f t="shared" si="51"/>
        <v>15.25</v>
      </c>
      <c r="AY98" s="1">
        <f t="shared" ref="AY98:BN113" si="54">(AY$1-$B98)/360</f>
        <v>15.758333333333333</v>
      </c>
      <c r="AZ98" s="1">
        <f t="shared" si="54"/>
        <v>16.263888888888889</v>
      </c>
      <c r="BA98" s="1">
        <f t="shared" si="54"/>
        <v>16.772222222222222</v>
      </c>
      <c r="BB98" s="1">
        <f t="shared" si="54"/>
        <v>17.280555555555555</v>
      </c>
      <c r="BC98" s="1">
        <f t="shared" si="54"/>
        <v>17.788888888888888</v>
      </c>
      <c r="BD98" s="1">
        <f t="shared" si="54"/>
        <v>18.294444444444444</v>
      </c>
      <c r="BE98" s="1">
        <f t="shared" si="54"/>
        <v>18.294444444444444</v>
      </c>
      <c r="BF98" s="1">
        <f t="shared" si="54"/>
        <v>26.919444444444444</v>
      </c>
      <c r="BG98" s="1">
        <f t="shared" si="54"/>
        <v>27.425000000000001</v>
      </c>
      <c r="BH98" s="1">
        <f t="shared" si="54"/>
        <v>27.933333333333334</v>
      </c>
      <c r="BI98" s="1">
        <f t="shared" si="54"/>
        <v>28.43888888888889</v>
      </c>
      <c r="BJ98" s="1">
        <f t="shared" si="54"/>
        <v>28.947222222222223</v>
      </c>
      <c r="BK98" s="1">
        <f t="shared" si="54"/>
        <v>29.455555555555556</v>
      </c>
      <c r="BL98" s="1">
        <f t="shared" si="54"/>
        <v>29.963888888888889</v>
      </c>
      <c r="BM98" s="1">
        <f t="shared" si="48"/>
        <v>30.469444444444445</v>
      </c>
      <c r="BN98" s="1">
        <f t="shared" si="48"/>
        <v>30.977777777777778</v>
      </c>
      <c r="BO98" s="1">
        <f t="shared" si="48"/>
        <v>30.977777777777778</v>
      </c>
      <c r="BP98" s="1">
        <f t="shared" si="48"/>
        <v>31.483333333333334</v>
      </c>
      <c r="BQ98" s="1">
        <f t="shared" si="48"/>
        <v>31.991666666666667</v>
      </c>
      <c r="BR98" s="1">
        <f t="shared" si="48"/>
        <v>32.49722222222222</v>
      </c>
      <c r="BS98" s="1">
        <f t="shared" si="48"/>
        <v>33.005555555555553</v>
      </c>
      <c r="BT98" s="1">
        <f t="shared" si="48"/>
        <v>33.513888888888886</v>
      </c>
      <c r="BU98" s="1">
        <f t="shared" si="48"/>
        <v>34.022222222222226</v>
      </c>
      <c r="BV98" s="1">
        <f t="shared" si="48"/>
        <v>34.022222222222226</v>
      </c>
      <c r="BW98" s="1">
        <f t="shared" si="48"/>
        <v>34.527777777777779</v>
      </c>
      <c r="BX98" s="1">
        <f t="shared" si="48"/>
        <v>35.036111111111111</v>
      </c>
      <c r="BY98" s="1">
        <f t="shared" si="48"/>
        <v>35.541666666666664</v>
      </c>
      <c r="BZ98" s="1">
        <f t="shared" si="48"/>
        <v>36.049999999999997</v>
      </c>
      <c r="CA98" s="1">
        <f t="shared" si="48"/>
        <v>36.555555555555557</v>
      </c>
      <c r="CB98" s="1">
        <f t="shared" si="48"/>
        <v>37.06388888888889</v>
      </c>
      <c r="CC98" s="1">
        <f t="shared" si="49"/>
        <v>37.572222222222223</v>
      </c>
      <c r="CD98" s="1">
        <f t="shared" si="49"/>
        <v>38.080555555555556</v>
      </c>
      <c r="CE98" s="1">
        <f t="shared" si="49"/>
        <v>38.586111111111109</v>
      </c>
      <c r="CF98" s="1">
        <f t="shared" si="49"/>
        <v>39.094444444444441</v>
      </c>
      <c r="CG98" s="1">
        <f t="shared" si="49"/>
        <v>39.6</v>
      </c>
      <c r="CH98" s="1">
        <f t="shared" si="49"/>
        <v>40.108333333333334</v>
      </c>
      <c r="CI98" s="1">
        <f t="shared" si="49"/>
        <v>40.613888888888887</v>
      </c>
      <c r="CJ98" s="1">
        <f t="shared" si="49"/>
        <v>41.12222222222222</v>
      </c>
      <c r="CK98" s="1">
        <f t="shared" si="49"/>
        <v>41.630555555555553</v>
      </c>
      <c r="CL98" s="1">
        <f t="shared" si="49"/>
        <v>42.138888888888886</v>
      </c>
      <c r="CM98" s="1">
        <f t="shared" si="49"/>
        <v>42.644444444444446</v>
      </c>
      <c r="CN98" s="1">
        <f t="shared" si="49"/>
        <v>43.152777777777779</v>
      </c>
      <c r="CO98" s="1">
        <f t="shared" si="49"/>
        <v>43.658333333333331</v>
      </c>
      <c r="CP98" s="1">
        <f t="shared" si="49"/>
        <v>44.166666666666664</v>
      </c>
      <c r="CQ98" s="1">
        <f t="shared" si="49"/>
        <v>44.672222222222224</v>
      </c>
      <c r="CR98" s="1">
        <f t="shared" si="49"/>
        <v>45.180555555555557</v>
      </c>
      <c r="CS98" s="1">
        <f t="shared" si="50"/>
        <v>45.68888888888889</v>
      </c>
      <c r="CT98" s="1">
        <f t="shared" si="50"/>
        <v>46.197222222222223</v>
      </c>
      <c r="CU98" s="1">
        <f t="shared" si="50"/>
        <v>46.702777777777776</v>
      </c>
      <c r="CV98" s="1">
        <f t="shared" si="50"/>
        <v>47.211111111111109</v>
      </c>
      <c r="CW98" s="1">
        <f t="shared" si="50"/>
        <v>47.716666666666669</v>
      </c>
      <c r="CX98" s="1">
        <f t="shared" si="50"/>
        <v>48.225000000000001</v>
      </c>
      <c r="CY98" s="1">
        <f t="shared" si="50"/>
        <v>48.730555555555554</v>
      </c>
      <c r="CZ98" s="1">
        <f t="shared" si="50"/>
        <v>49.238888888888887</v>
      </c>
      <c r="DA98" s="1">
        <f t="shared" si="50"/>
        <v>49.74722222222222</v>
      </c>
      <c r="DB98" s="1">
        <f t="shared" si="50"/>
        <v>50.255555555555553</v>
      </c>
      <c r="DC98" s="1">
        <f t="shared" si="50"/>
        <v>50.255555555555553</v>
      </c>
    </row>
    <row r="99" spans="1:107" x14ac:dyDescent="0.25">
      <c r="A99">
        <f t="shared" si="38"/>
        <v>6</v>
      </c>
      <c r="B99" s="2">
        <f>yields_BRUTE!B99</f>
        <v>42146</v>
      </c>
      <c r="C99" s="1">
        <f t="shared" ref="C99:R114" si="55">(C$1-$B99)/360</f>
        <v>-0.22777777777777777</v>
      </c>
      <c r="D99" s="1">
        <f t="shared" si="55"/>
        <v>-0.18888888888888888</v>
      </c>
      <c r="E99" s="1">
        <f t="shared" si="55"/>
        <v>2.7777777777777776E-2</v>
      </c>
      <c r="F99" s="1">
        <f t="shared" si="55"/>
        <v>0.28333333333333333</v>
      </c>
      <c r="G99" s="1">
        <f t="shared" si="55"/>
        <v>0.32222222222222224</v>
      </c>
      <c r="H99" s="1">
        <f t="shared" si="55"/>
        <v>0.53611111111111109</v>
      </c>
      <c r="I99" s="1">
        <f t="shared" si="55"/>
        <v>0.53611111111111109</v>
      </c>
      <c r="J99" s="1">
        <f t="shared" si="55"/>
        <v>0.78888888888888886</v>
      </c>
      <c r="K99" s="1">
        <f t="shared" si="55"/>
        <v>0.82777777777777772</v>
      </c>
      <c r="L99" s="1">
        <f t="shared" si="55"/>
        <v>1.0444444444444445</v>
      </c>
      <c r="M99" s="1">
        <f t="shared" si="55"/>
        <v>1.3</v>
      </c>
      <c r="N99" s="1">
        <f t="shared" si="55"/>
        <v>1.3</v>
      </c>
      <c r="O99" s="1">
        <f t="shared" si="55"/>
        <v>1.3388888888888888</v>
      </c>
      <c r="P99" s="1">
        <f t="shared" si="55"/>
        <v>1.5527777777777778</v>
      </c>
      <c r="Q99" s="1">
        <f t="shared" si="55"/>
        <v>1.8416666666666666</v>
      </c>
      <c r="R99" s="1">
        <f t="shared" si="52"/>
        <v>2.0583333333333331</v>
      </c>
      <c r="S99" s="1">
        <f t="shared" si="52"/>
        <v>2.3527777777777779</v>
      </c>
      <c r="T99" s="1">
        <f t="shared" si="52"/>
        <v>2.5666666666666669</v>
      </c>
      <c r="U99" s="1">
        <f t="shared" si="52"/>
        <v>2.8555555555555556</v>
      </c>
      <c r="V99" s="1">
        <f t="shared" si="52"/>
        <v>3.0722222222222224</v>
      </c>
      <c r="W99" s="1">
        <f t="shared" si="52"/>
        <v>3.3666666666666667</v>
      </c>
      <c r="X99" s="1">
        <f t="shared" si="52"/>
        <v>3.5805555555555557</v>
      </c>
      <c r="Y99" s="1">
        <f t="shared" si="52"/>
        <v>3.8694444444444445</v>
      </c>
      <c r="Z99" s="1">
        <f t="shared" si="52"/>
        <v>4.0861111111111112</v>
      </c>
      <c r="AA99" s="1">
        <f t="shared" si="52"/>
        <v>4.3805555555555555</v>
      </c>
      <c r="AB99" s="1">
        <f t="shared" si="52"/>
        <v>4.5944444444444441</v>
      </c>
      <c r="AC99" s="1">
        <f t="shared" si="52"/>
        <v>4.8861111111111111</v>
      </c>
      <c r="AD99" s="1">
        <f t="shared" si="52"/>
        <v>5.1027777777777779</v>
      </c>
      <c r="AE99" s="1">
        <f t="shared" si="52"/>
        <v>5.1027777777777779</v>
      </c>
      <c r="AF99" s="3">
        <f t="shared" si="52"/>
        <v>5.3972222222222221</v>
      </c>
      <c r="AG99" s="1">
        <f t="shared" si="52"/>
        <v>5.6111111111111107</v>
      </c>
      <c r="AH99" s="1">
        <f t="shared" si="53"/>
        <v>5.9</v>
      </c>
      <c r="AI99" s="1">
        <f t="shared" si="51"/>
        <v>5.9</v>
      </c>
      <c r="AJ99" s="1">
        <f t="shared" si="51"/>
        <v>6.1166666666666663</v>
      </c>
      <c r="AK99" s="1">
        <f t="shared" si="51"/>
        <v>6.1166666666666663</v>
      </c>
      <c r="AL99" s="1">
        <f t="shared" si="51"/>
        <v>6.625</v>
      </c>
      <c r="AM99" s="1">
        <f t="shared" si="51"/>
        <v>7.1305555555555555</v>
      </c>
      <c r="AN99" s="1">
        <f t="shared" si="51"/>
        <v>7.1305555555555555</v>
      </c>
      <c r="AO99" s="1">
        <f t="shared" si="51"/>
        <v>7.6388888888888893</v>
      </c>
      <c r="AP99" s="1">
        <f t="shared" si="51"/>
        <v>8.1444444444444439</v>
      </c>
      <c r="AQ99" s="1">
        <f t="shared" si="51"/>
        <v>8.1444444444444439</v>
      </c>
      <c r="AR99" s="1">
        <f t="shared" si="51"/>
        <v>8.6527777777777786</v>
      </c>
      <c r="AS99" s="1">
        <f t="shared" si="51"/>
        <v>9.1611111111111114</v>
      </c>
      <c r="AT99" s="1">
        <f t="shared" si="51"/>
        <v>9.6694444444444443</v>
      </c>
      <c r="AU99" s="1">
        <f t="shared" si="51"/>
        <v>10.175000000000001</v>
      </c>
      <c r="AV99" s="1">
        <f t="shared" si="51"/>
        <v>10.175000000000001</v>
      </c>
      <c r="AW99" s="1">
        <f t="shared" si="51"/>
        <v>14.741666666666667</v>
      </c>
      <c r="AX99" s="1">
        <f t="shared" si="51"/>
        <v>15.247222222222222</v>
      </c>
      <c r="AY99" s="1">
        <f t="shared" si="54"/>
        <v>15.755555555555556</v>
      </c>
      <c r="AZ99" s="1">
        <f t="shared" si="54"/>
        <v>16.261111111111113</v>
      </c>
      <c r="BA99" s="1">
        <f t="shared" si="54"/>
        <v>16.769444444444446</v>
      </c>
      <c r="BB99" s="1">
        <f t="shared" si="54"/>
        <v>17.277777777777779</v>
      </c>
      <c r="BC99" s="1">
        <f t="shared" si="54"/>
        <v>17.786111111111111</v>
      </c>
      <c r="BD99" s="1">
        <f t="shared" si="54"/>
        <v>18.291666666666668</v>
      </c>
      <c r="BE99" s="1">
        <f t="shared" si="54"/>
        <v>18.291666666666668</v>
      </c>
      <c r="BF99" s="1">
        <f t="shared" si="54"/>
        <v>26.916666666666668</v>
      </c>
      <c r="BG99" s="1">
        <f t="shared" si="54"/>
        <v>27.422222222222221</v>
      </c>
      <c r="BH99" s="1">
        <f t="shared" si="54"/>
        <v>27.930555555555557</v>
      </c>
      <c r="BI99" s="1">
        <f t="shared" si="54"/>
        <v>28.43611111111111</v>
      </c>
      <c r="BJ99" s="1">
        <f t="shared" si="54"/>
        <v>28.944444444444443</v>
      </c>
      <c r="BK99" s="1">
        <f t="shared" si="54"/>
        <v>29.452777777777779</v>
      </c>
      <c r="BL99" s="1">
        <f t="shared" si="54"/>
        <v>29.961111111111112</v>
      </c>
      <c r="BM99" s="1">
        <f t="shared" si="48"/>
        <v>30.466666666666665</v>
      </c>
      <c r="BN99" s="1">
        <f t="shared" si="48"/>
        <v>30.975000000000001</v>
      </c>
      <c r="BO99" s="1">
        <f t="shared" si="48"/>
        <v>30.975000000000001</v>
      </c>
      <c r="BP99" s="1">
        <f t="shared" si="48"/>
        <v>31.480555555555554</v>
      </c>
      <c r="BQ99" s="1">
        <f t="shared" si="48"/>
        <v>31.988888888888887</v>
      </c>
      <c r="BR99" s="1">
        <f t="shared" si="48"/>
        <v>32.494444444444447</v>
      </c>
      <c r="BS99" s="1">
        <f t="shared" si="48"/>
        <v>33.00277777777778</v>
      </c>
      <c r="BT99" s="1">
        <f t="shared" si="48"/>
        <v>33.511111111111113</v>
      </c>
      <c r="BU99" s="1">
        <f t="shared" si="48"/>
        <v>34.019444444444446</v>
      </c>
      <c r="BV99" s="1">
        <f t="shared" si="48"/>
        <v>34.019444444444446</v>
      </c>
      <c r="BW99" s="1">
        <f t="shared" si="48"/>
        <v>34.524999999999999</v>
      </c>
      <c r="BX99" s="1">
        <f t="shared" si="48"/>
        <v>35.033333333333331</v>
      </c>
      <c r="BY99" s="1">
        <f t="shared" si="48"/>
        <v>35.538888888888891</v>
      </c>
      <c r="BZ99" s="1">
        <f t="shared" si="48"/>
        <v>36.047222222222224</v>
      </c>
      <c r="CA99" s="1">
        <f t="shared" si="48"/>
        <v>36.552777777777777</v>
      </c>
      <c r="CB99" s="1">
        <f t="shared" si="48"/>
        <v>37.06111111111111</v>
      </c>
      <c r="CC99" s="1">
        <f t="shared" si="49"/>
        <v>37.569444444444443</v>
      </c>
      <c r="CD99" s="1">
        <f t="shared" si="49"/>
        <v>38.077777777777776</v>
      </c>
      <c r="CE99" s="1">
        <f t="shared" si="49"/>
        <v>38.583333333333336</v>
      </c>
      <c r="CF99" s="1">
        <f t="shared" si="49"/>
        <v>39.091666666666669</v>
      </c>
      <c r="CG99" s="1">
        <f t="shared" si="49"/>
        <v>39.597222222222221</v>
      </c>
      <c r="CH99" s="1">
        <f t="shared" si="49"/>
        <v>40.105555555555554</v>
      </c>
      <c r="CI99" s="1">
        <f t="shared" si="49"/>
        <v>40.611111111111114</v>
      </c>
      <c r="CJ99" s="1">
        <f t="shared" si="49"/>
        <v>41.119444444444447</v>
      </c>
      <c r="CK99" s="1">
        <f t="shared" si="49"/>
        <v>41.62777777777778</v>
      </c>
      <c r="CL99" s="1">
        <f t="shared" si="49"/>
        <v>42.136111111111113</v>
      </c>
      <c r="CM99" s="1">
        <f t="shared" si="49"/>
        <v>42.641666666666666</v>
      </c>
      <c r="CN99" s="1">
        <f t="shared" si="49"/>
        <v>43.15</v>
      </c>
      <c r="CO99" s="1">
        <f t="shared" si="49"/>
        <v>43.655555555555559</v>
      </c>
      <c r="CP99" s="1">
        <f t="shared" si="49"/>
        <v>44.163888888888891</v>
      </c>
      <c r="CQ99" s="1">
        <f t="shared" si="49"/>
        <v>44.669444444444444</v>
      </c>
      <c r="CR99" s="1">
        <f t="shared" si="49"/>
        <v>45.177777777777777</v>
      </c>
      <c r="CS99" s="1">
        <f t="shared" si="50"/>
        <v>45.68611111111111</v>
      </c>
      <c r="CT99" s="1">
        <f t="shared" si="50"/>
        <v>46.194444444444443</v>
      </c>
      <c r="CU99" s="1">
        <f t="shared" si="50"/>
        <v>46.7</v>
      </c>
      <c r="CV99" s="1">
        <f t="shared" si="50"/>
        <v>47.208333333333336</v>
      </c>
      <c r="CW99" s="1">
        <f t="shared" si="50"/>
        <v>47.713888888888889</v>
      </c>
      <c r="CX99" s="1">
        <f t="shared" si="50"/>
        <v>48.222222222222221</v>
      </c>
      <c r="CY99" s="1">
        <f t="shared" si="50"/>
        <v>48.727777777777774</v>
      </c>
      <c r="CZ99" s="1">
        <f t="shared" si="50"/>
        <v>49.236111111111114</v>
      </c>
      <c r="DA99" s="1">
        <f t="shared" si="50"/>
        <v>49.744444444444447</v>
      </c>
      <c r="DB99" s="1">
        <f t="shared" si="50"/>
        <v>50.25277777777778</v>
      </c>
      <c r="DC99" s="1">
        <f t="shared" si="50"/>
        <v>50.25277777777778</v>
      </c>
    </row>
    <row r="100" spans="1:107" x14ac:dyDescent="0.25">
      <c r="A100">
        <f t="shared" si="38"/>
        <v>2</v>
      </c>
      <c r="B100" s="2">
        <f>yields_BRUTE!B100</f>
        <v>42149</v>
      </c>
      <c r="C100" s="1">
        <f t="shared" si="55"/>
        <v>-0.2361111111111111</v>
      </c>
      <c r="D100" s="1">
        <f t="shared" si="55"/>
        <v>-0.19722222222222222</v>
      </c>
      <c r="E100" s="1">
        <f t="shared" si="55"/>
        <v>1.9444444444444445E-2</v>
      </c>
      <c r="F100" s="1">
        <f t="shared" si="55"/>
        <v>0.27500000000000002</v>
      </c>
      <c r="G100" s="1">
        <f t="shared" si="55"/>
        <v>0.31388888888888888</v>
      </c>
      <c r="H100" s="1">
        <f t="shared" si="55"/>
        <v>0.52777777777777779</v>
      </c>
      <c r="I100" s="1">
        <f t="shared" si="55"/>
        <v>0.52777777777777779</v>
      </c>
      <c r="J100" s="1">
        <f t="shared" si="55"/>
        <v>0.78055555555555556</v>
      </c>
      <c r="K100" s="1">
        <f t="shared" si="55"/>
        <v>0.81944444444444442</v>
      </c>
      <c r="L100" s="1">
        <f t="shared" si="55"/>
        <v>1.0361111111111112</v>
      </c>
      <c r="M100" s="1">
        <f t="shared" si="55"/>
        <v>1.2916666666666667</v>
      </c>
      <c r="N100" s="1">
        <f t="shared" si="55"/>
        <v>1.2916666666666667</v>
      </c>
      <c r="O100" s="1">
        <f t="shared" si="55"/>
        <v>1.3305555555555555</v>
      </c>
      <c r="P100" s="1">
        <f t="shared" si="55"/>
        <v>1.5444444444444445</v>
      </c>
      <c r="Q100" s="1">
        <f t="shared" si="55"/>
        <v>1.8333333333333333</v>
      </c>
      <c r="R100" s="1">
        <f t="shared" si="52"/>
        <v>2.0499999999999998</v>
      </c>
      <c r="S100" s="1">
        <f t="shared" si="52"/>
        <v>2.3444444444444446</v>
      </c>
      <c r="T100" s="1">
        <f t="shared" si="52"/>
        <v>2.5583333333333331</v>
      </c>
      <c r="U100" s="1">
        <f t="shared" si="52"/>
        <v>2.8472222222222223</v>
      </c>
      <c r="V100" s="1">
        <f t="shared" si="52"/>
        <v>3.0638888888888891</v>
      </c>
      <c r="W100" s="1">
        <f t="shared" si="52"/>
        <v>3.3583333333333334</v>
      </c>
      <c r="X100" s="1">
        <f t="shared" si="52"/>
        <v>3.5722222222222224</v>
      </c>
      <c r="Y100" s="1">
        <f t="shared" si="52"/>
        <v>3.8611111111111112</v>
      </c>
      <c r="Z100" s="1">
        <f t="shared" si="52"/>
        <v>4.0777777777777775</v>
      </c>
      <c r="AA100" s="1">
        <f t="shared" si="52"/>
        <v>4.3722222222222218</v>
      </c>
      <c r="AB100" s="1">
        <f t="shared" si="52"/>
        <v>4.5861111111111112</v>
      </c>
      <c r="AC100" s="1">
        <f t="shared" si="52"/>
        <v>4.8777777777777782</v>
      </c>
      <c r="AD100" s="1">
        <f t="shared" si="52"/>
        <v>5.0944444444444441</v>
      </c>
      <c r="AE100" s="1">
        <f t="shared" si="52"/>
        <v>5.0944444444444441</v>
      </c>
      <c r="AF100" s="3">
        <f t="shared" si="52"/>
        <v>5.3888888888888893</v>
      </c>
      <c r="AG100" s="1">
        <f t="shared" si="52"/>
        <v>5.6027777777777779</v>
      </c>
      <c r="AH100" s="1">
        <f t="shared" si="53"/>
        <v>5.8916666666666666</v>
      </c>
      <c r="AI100" s="1">
        <f t="shared" si="51"/>
        <v>5.8916666666666666</v>
      </c>
      <c r="AJ100" s="1">
        <f t="shared" si="51"/>
        <v>6.1083333333333334</v>
      </c>
      <c r="AK100" s="1">
        <f t="shared" si="51"/>
        <v>6.1083333333333334</v>
      </c>
      <c r="AL100" s="1">
        <f t="shared" si="51"/>
        <v>6.6166666666666663</v>
      </c>
      <c r="AM100" s="1">
        <f t="shared" si="51"/>
        <v>7.1222222222222218</v>
      </c>
      <c r="AN100" s="1">
        <f t="shared" si="51"/>
        <v>7.1222222222222218</v>
      </c>
      <c r="AO100" s="1">
        <f t="shared" si="51"/>
        <v>7.6305555555555555</v>
      </c>
      <c r="AP100" s="1">
        <f t="shared" si="51"/>
        <v>8.1361111111111111</v>
      </c>
      <c r="AQ100" s="1">
        <f t="shared" si="51"/>
        <v>8.1361111111111111</v>
      </c>
      <c r="AR100" s="1">
        <f t="shared" si="51"/>
        <v>8.6444444444444439</v>
      </c>
      <c r="AS100" s="1">
        <f t="shared" si="51"/>
        <v>9.1527777777777786</v>
      </c>
      <c r="AT100" s="1">
        <f t="shared" si="51"/>
        <v>9.6611111111111114</v>
      </c>
      <c r="AU100" s="1">
        <f t="shared" si="51"/>
        <v>10.166666666666666</v>
      </c>
      <c r="AV100" s="1">
        <f t="shared" si="51"/>
        <v>10.166666666666666</v>
      </c>
      <c r="AW100" s="1">
        <f t="shared" si="51"/>
        <v>14.733333333333333</v>
      </c>
      <c r="AX100" s="1">
        <f t="shared" si="51"/>
        <v>15.238888888888889</v>
      </c>
      <c r="AY100" s="1">
        <f t="shared" si="54"/>
        <v>15.747222222222222</v>
      </c>
      <c r="AZ100" s="1">
        <f t="shared" si="54"/>
        <v>16.252777777777776</v>
      </c>
      <c r="BA100" s="1">
        <f t="shared" si="54"/>
        <v>16.761111111111113</v>
      </c>
      <c r="BB100" s="1">
        <f t="shared" si="54"/>
        <v>17.269444444444446</v>
      </c>
      <c r="BC100" s="1">
        <f t="shared" si="54"/>
        <v>17.777777777777779</v>
      </c>
      <c r="BD100" s="1">
        <f t="shared" si="54"/>
        <v>18.283333333333335</v>
      </c>
      <c r="BE100" s="1">
        <f t="shared" si="54"/>
        <v>18.283333333333335</v>
      </c>
      <c r="BF100" s="1">
        <f t="shared" si="54"/>
        <v>26.908333333333335</v>
      </c>
      <c r="BG100" s="1">
        <f t="shared" si="54"/>
        <v>27.413888888888888</v>
      </c>
      <c r="BH100" s="1">
        <f t="shared" si="54"/>
        <v>27.922222222222221</v>
      </c>
      <c r="BI100" s="1">
        <f t="shared" si="54"/>
        <v>28.427777777777777</v>
      </c>
      <c r="BJ100" s="1">
        <f t="shared" si="54"/>
        <v>28.93611111111111</v>
      </c>
      <c r="BK100" s="1">
        <f t="shared" si="54"/>
        <v>29.444444444444443</v>
      </c>
      <c r="BL100" s="1">
        <f t="shared" si="54"/>
        <v>29.952777777777779</v>
      </c>
      <c r="BM100" s="1">
        <f t="shared" si="48"/>
        <v>30.458333333333332</v>
      </c>
      <c r="BN100" s="1">
        <f t="shared" si="48"/>
        <v>30.966666666666665</v>
      </c>
      <c r="BO100" s="1">
        <f t="shared" si="48"/>
        <v>30.966666666666665</v>
      </c>
      <c r="BP100" s="1">
        <f t="shared" si="48"/>
        <v>31.472222222222221</v>
      </c>
      <c r="BQ100" s="1">
        <f t="shared" si="48"/>
        <v>31.980555555555554</v>
      </c>
      <c r="BR100" s="1">
        <f t="shared" si="48"/>
        <v>32.486111111111114</v>
      </c>
      <c r="BS100" s="1">
        <f t="shared" si="48"/>
        <v>32.994444444444447</v>
      </c>
      <c r="BT100" s="1">
        <f t="shared" si="48"/>
        <v>33.50277777777778</v>
      </c>
      <c r="BU100" s="1">
        <f t="shared" si="48"/>
        <v>34.011111111111113</v>
      </c>
      <c r="BV100" s="1">
        <f t="shared" si="48"/>
        <v>34.011111111111113</v>
      </c>
      <c r="BW100" s="1">
        <f t="shared" si="48"/>
        <v>34.516666666666666</v>
      </c>
      <c r="BX100" s="1">
        <f t="shared" si="48"/>
        <v>35.024999999999999</v>
      </c>
      <c r="BY100" s="1">
        <f t="shared" si="48"/>
        <v>35.530555555555559</v>
      </c>
      <c r="BZ100" s="1">
        <f t="shared" si="48"/>
        <v>36.038888888888891</v>
      </c>
      <c r="CA100" s="1">
        <f t="shared" si="48"/>
        <v>36.544444444444444</v>
      </c>
      <c r="CB100" s="1">
        <f t="shared" si="48"/>
        <v>37.052777777777777</v>
      </c>
      <c r="CC100" s="1">
        <f t="shared" si="49"/>
        <v>37.56111111111111</v>
      </c>
      <c r="CD100" s="1">
        <f t="shared" si="49"/>
        <v>38.069444444444443</v>
      </c>
      <c r="CE100" s="1">
        <f t="shared" si="49"/>
        <v>38.575000000000003</v>
      </c>
      <c r="CF100" s="1">
        <f t="shared" si="49"/>
        <v>39.083333333333336</v>
      </c>
      <c r="CG100" s="1">
        <f t="shared" si="49"/>
        <v>39.588888888888889</v>
      </c>
      <c r="CH100" s="1">
        <f t="shared" si="49"/>
        <v>40.097222222222221</v>
      </c>
      <c r="CI100" s="1">
        <f t="shared" si="49"/>
        <v>40.602777777777774</v>
      </c>
      <c r="CJ100" s="1">
        <f t="shared" si="49"/>
        <v>41.111111111111114</v>
      </c>
      <c r="CK100" s="1">
        <f t="shared" si="49"/>
        <v>41.619444444444447</v>
      </c>
      <c r="CL100" s="1">
        <f t="shared" si="49"/>
        <v>42.12777777777778</v>
      </c>
      <c r="CM100" s="1">
        <f t="shared" si="49"/>
        <v>42.633333333333333</v>
      </c>
      <c r="CN100" s="1">
        <f t="shared" si="49"/>
        <v>43.141666666666666</v>
      </c>
      <c r="CO100" s="1">
        <f t="shared" si="49"/>
        <v>43.647222222222226</v>
      </c>
      <c r="CP100" s="1">
        <f t="shared" si="49"/>
        <v>44.155555555555559</v>
      </c>
      <c r="CQ100" s="1">
        <f t="shared" si="49"/>
        <v>44.661111111111111</v>
      </c>
      <c r="CR100" s="1">
        <f t="shared" si="49"/>
        <v>45.169444444444444</v>
      </c>
      <c r="CS100" s="1">
        <f t="shared" si="50"/>
        <v>45.677777777777777</v>
      </c>
      <c r="CT100" s="1">
        <f t="shared" si="50"/>
        <v>46.18611111111111</v>
      </c>
      <c r="CU100" s="1">
        <f t="shared" si="50"/>
        <v>46.69166666666667</v>
      </c>
      <c r="CV100" s="1">
        <f t="shared" si="50"/>
        <v>47.2</v>
      </c>
      <c r="CW100" s="1">
        <f t="shared" si="50"/>
        <v>47.705555555555556</v>
      </c>
      <c r="CX100" s="1">
        <f t="shared" si="50"/>
        <v>48.213888888888889</v>
      </c>
      <c r="CY100" s="1">
        <f t="shared" si="50"/>
        <v>48.719444444444441</v>
      </c>
      <c r="CZ100" s="1">
        <f t="shared" si="50"/>
        <v>49.227777777777774</v>
      </c>
      <c r="DA100" s="1">
        <f t="shared" si="50"/>
        <v>49.736111111111114</v>
      </c>
      <c r="DB100" s="1">
        <f t="shared" si="50"/>
        <v>50.244444444444447</v>
      </c>
      <c r="DC100" s="1">
        <f t="shared" si="50"/>
        <v>50.244444444444447</v>
      </c>
    </row>
    <row r="101" spans="1:107" x14ac:dyDescent="0.25">
      <c r="A101">
        <f t="shared" si="38"/>
        <v>3</v>
      </c>
      <c r="B101" s="2">
        <f>yields_BRUTE!B101</f>
        <v>42150</v>
      </c>
      <c r="C101" s="1">
        <f t="shared" si="55"/>
        <v>-0.2388888888888889</v>
      </c>
      <c r="D101" s="1">
        <f t="shared" si="55"/>
        <v>-0.2</v>
      </c>
      <c r="E101" s="1">
        <f t="shared" si="55"/>
        <v>1.6666666666666666E-2</v>
      </c>
      <c r="F101" s="1">
        <f t="shared" si="55"/>
        <v>0.2722222222222222</v>
      </c>
      <c r="G101" s="1">
        <f t="shared" si="55"/>
        <v>0.31111111111111112</v>
      </c>
      <c r="H101" s="1">
        <f t="shared" si="55"/>
        <v>0.52500000000000002</v>
      </c>
      <c r="I101" s="1">
        <f t="shared" si="55"/>
        <v>0.52500000000000002</v>
      </c>
      <c r="J101" s="1">
        <f t="shared" si="55"/>
        <v>0.77777777777777779</v>
      </c>
      <c r="K101" s="1">
        <f t="shared" si="55"/>
        <v>0.81666666666666665</v>
      </c>
      <c r="L101" s="1">
        <f t="shared" si="55"/>
        <v>1.0333333333333334</v>
      </c>
      <c r="M101" s="1">
        <f t="shared" si="55"/>
        <v>1.288888888888889</v>
      </c>
      <c r="N101" s="1">
        <f t="shared" si="55"/>
        <v>1.288888888888889</v>
      </c>
      <c r="O101" s="1">
        <f t="shared" si="55"/>
        <v>1.3277777777777777</v>
      </c>
      <c r="P101" s="1">
        <f t="shared" si="55"/>
        <v>1.5416666666666667</v>
      </c>
      <c r="Q101" s="1">
        <f t="shared" si="55"/>
        <v>1.8305555555555555</v>
      </c>
      <c r="R101" s="1">
        <f t="shared" si="52"/>
        <v>2.0472222222222221</v>
      </c>
      <c r="S101" s="1">
        <f t="shared" si="52"/>
        <v>2.3416666666666668</v>
      </c>
      <c r="T101" s="1">
        <f t="shared" si="52"/>
        <v>2.5555555555555554</v>
      </c>
      <c r="U101" s="1">
        <f t="shared" si="52"/>
        <v>2.8444444444444446</v>
      </c>
      <c r="V101" s="1">
        <f t="shared" si="52"/>
        <v>3.0611111111111109</v>
      </c>
      <c r="W101" s="1">
        <f t="shared" si="52"/>
        <v>3.3555555555555556</v>
      </c>
      <c r="X101" s="1">
        <f t="shared" si="52"/>
        <v>3.5694444444444446</v>
      </c>
      <c r="Y101" s="1">
        <f t="shared" si="52"/>
        <v>3.8583333333333334</v>
      </c>
      <c r="Z101" s="1">
        <f t="shared" si="52"/>
        <v>4.0750000000000002</v>
      </c>
      <c r="AA101" s="1">
        <f t="shared" si="52"/>
        <v>4.3694444444444445</v>
      </c>
      <c r="AB101" s="1">
        <f t="shared" si="52"/>
        <v>4.583333333333333</v>
      </c>
      <c r="AC101" s="1">
        <f t="shared" si="52"/>
        <v>4.875</v>
      </c>
      <c r="AD101" s="1">
        <f t="shared" si="52"/>
        <v>5.0916666666666668</v>
      </c>
      <c r="AE101" s="1">
        <f t="shared" si="52"/>
        <v>5.0916666666666668</v>
      </c>
      <c r="AF101" s="3">
        <f t="shared" si="52"/>
        <v>5.3861111111111111</v>
      </c>
      <c r="AG101" s="1">
        <f t="shared" si="52"/>
        <v>5.6</v>
      </c>
      <c r="AH101" s="1">
        <f t="shared" si="53"/>
        <v>5.8888888888888893</v>
      </c>
      <c r="AI101" s="1">
        <f t="shared" si="51"/>
        <v>5.8888888888888893</v>
      </c>
      <c r="AJ101" s="1">
        <f t="shared" si="51"/>
        <v>6.1055555555555552</v>
      </c>
      <c r="AK101" s="1">
        <f t="shared" si="51"/>
        <v>6.1055555555555552</v>
      </c>
      <c r="AL101" s="1">
        <f t="shared" si="51"/>
        <v>6.6138888888888889</v>
      </c>
      <c r="AM101" s="1">
        <f t="shared" si="51"/>
        <v>7.1194444444444445</v>
      </c>
      <c r="AN101" s="1">
        <f t="shared" si="51"/>
        <v>7.1194444444444445</v>
      </c>
      <c r="AO101" s="1">
        <f t="shared" si="51"/>
        <v>7.6277777777777782</v>
      </c>
      <c r="AP101" s="1">
        <f t="shared" si="51"/>
        <v>8.1333333333333329</v>
      </c>
      <c r="AQ101" s="1">
        <f t="shared" si="51"/>
        <v>8.1333333333333329</v>
      </c>
      <c r="AR101" s="1">
        <f t="shared" si="51"/>
        <v>8.6416666666666675</v>
      </c>
      <c r="AS101" s="1">
        <f t="shared" si="51"/>
        <v>9.15</v>
      </c>
      <c r="AT101" s="1">
        <f t="shared" si="51"/>
        <v>9.6583333333333332</v>
      </c>
      <c r="AU101" s="1">
        <f t="shared" si="51"/>
        <v>10.16388888888889</v>
      </c>
      <c r="AV101" s="1">
        <f t="shared" si="51"/>
        <v>10.16388888888889</v>
      </c>
      <c r="AW101" s="1">
        <f t="shared" si="51"/>
        <v>14.730555555555556</v>
      </c>
      <c r="AX101" s="1">
        <f t="shared" si="51"/>
        <v>15.236111111111111</v>
      </c>
      <c r="AY101" s="1">
        <f t="shared" si="54"/>
        <v>15.744444444444444</v>
      </c>
      <c r="AZ101" s="1">
        <f t="shared" si="54"/>
        <v>16.25</v>
      </c>
      <c r="BA101" s="1">
        <f t="shared" si="54"/>
        <v>16.758333333333333</v>
      </c>
      <c r="BB101" s="1">
        <f t="shared" si="54"/>
        <v>17.266666666666666</v>
      </c>
      <c r="BC101" s="1">
        <f t="shared" si="54"/>
        <v>17.774999999999999</v>
      </c>
      <c r="BD101" s="1">
        <f t="shared" si="54"/>
        <v>18.280555555555555</v>
      </c>
      <c r="BE101" s="1">
        <f t="shared" si="54"/>
        <v>18.280555555555555</v>
      </c>
      <c r="BF101" s="1">
        <f t="shared" si="54"/>
        <v>26.905555555555555</v>
      </c>
      <c r="BG101" s="1">
        <f t="shared" si="54"/>
        <v>27.411111111111111</v>
      </c>
      <c r="BH101" s="1">
        <f t="shared" si="54"/>
        <v>27.919444444444444</v>
      </c>
      <c r="BI101" s="1">
        <f t="shared" si="54"/>
        <v>28.425000000000001</v>
      </c>
      <c r="BJ101" s="1">
        <f t="shared" si="54"/>
        <v>28.933333333333334</v>
      </c>
      <c r="BK101" s="1">
        <f t="shared" si="54"/>
        <v>29.441666666666666</v>
      </c>
      <c r="BL101" s="1">
        <f t="shared" si="54"/>
        <v>29.95</v>
      </c>
      <c r="BM101" s="1">
        <f t="shared" si="48"/>
        <v>30.455555555555556</v>
      </c>
      <c r="BN101" s="1">
        <f t="shared" si="48"/>
        <v>30.963888888888889</v>
      </c>
      <c r="BO101" s="1">
        <f t="shared" si="48"/>
        <v>30.963888888888889</v>
      </c>
      <c r="BP101" s="1">
        <f t="shared" si="48"/>
        <v>31.469444444444445</v>
      </c>
      <c r="BQ101" s="1">
        <f t="shared" si="48"/>
        <v>31.977777777777778</v>
      </c>
      <c r="BR101" s="1">
        <f t="shared" si="48"/>
        <v>32.483333333333334</v>
      </c>
      <c r="BS101" s="1">
        <f t="shared" si="48"/>
        <v>32.991666666666667</v>
      </c>
      <c r="BT101" s="1">
        <f t="shared" si="48"/>
        <v>33.5</v>
      </c>
      <c r="BU101" s="1">
        <f t="shared" si="48"/>
        <v>34.008333333333333</v>
      </c>
      <c r="BV101" s="1">
        <f t="shared" si="48"/>
        <v>34.008333333333333</v>
      </c>
      <c r="BW101" s="1">
        <f t="shared" si="48"/>
        <v>34.513888888888886</v>
      </c>
      <c r="BX101" s="1">
        <f t="shared" si="48"/>
        <v>35.022222222222226</v>
      </c>
      <c r="BY101" s="1">
        <f t="shared" si="48"/>
        <v>35.527777777777779</v>
      </c>
      <c r="BZ101" s="1">
        <f t="shared" si="48"/>
        <v>36.036111111111111</v>
      </c>
      <c r="CA101" s="1">
        <f t="shared" si="48"/>
        <v>36.541666666666664</v>
      </c>
      <c r="CB101" s="1">
        <f t="shared" si="48"/>
        <v>37.049999999999997</v>
      </c>
      <c r="CC101" s="1">
        <f t="shared" si="49"/>
        <v>37.55833333333333</v>
      </c>
      <c r="CD101" s="1">
        <f t="shared" si="49"/>
        <v>38.06666666666667</v>
      </c>
      <c r="CE101" s="1">
        <f t="shared" si="49"/>
        <v>38.572222222222223</v>
      </c>
      <c r="CF101" s="1">
        <f t="shared" si="49"/>
        <v>39.080555555555556</v>
      </c>
      <c r="CG101" s="1">
        <f t="shared" si="49"/>
        <v>39.586111111111109</v>
      </c>
      <c r="CH101" s="1">
        <f t="shared" si="49"/>
        <v>40.094444444444441</v>
      </c>
      <c r="CI101" s="1">
        <f t="shared" si="49"/>
        <v>40.6</v>
      </c>
      <c r="CJ101" s="1">
        <f t="shared" si="49"/>
        <v>41.108333333333334</v>
      </c>
      <c r="CK101" s="1">
        <f t="shared" si="49"/>
        <v>41.616666666666667</v>
      </c>
      <c r="CL101" s="1">
        <f t="shared" si="49"/>
        <v>42.125</v>
      </c>
      <c r="CM101" s="1">
        <f t="shared" si="49"/>
        <v>42.630555555555553</v>
      </c>
      <c r="CN101" s="1">
        <f t="shared" si="49"/>
        <v>43.138888888888886</v>
      </c>
      <c r="CO101" s="1">
        <f t="shared" si="49"/>
        <v>43.644444444444446</v>
      </c>
      <c r="CP101" s="1">
        <f t="shared" si="49"/>
        <v>44.152777777777779</v>
      </c>
      <c r="CQ101" s="1">
        <f t="shared" si="49"/>
        <v>44.658333333333331</v>
      </c>
      <c r="CR101" s="1">
        <f t="shared" si="49"/>
        <v>45.166666666666664</v>
      </c>
      <c r="CS101" s="1">
        <f t="shared" si="50"/>
        <v>45.674999999999997</v>
      </c>
      <c r="CT101" s="1">
        <f t="shared" si="50"/>
        <v>46.18333333333333</v>
      </c>
      <c r="CU101" s="1">
        <f t="shared" si="50"/>
        <v>46.68888888888889</v>
      </c>
      <c r="CV101" s="1">
        <f t="shared" si="50"/>
        <v>47.197222222222223</v>
      </c>
      <c r="CW101" s="1">
        <f t="shared" si="50"/>
        <v>47.702777777777776</v>
      </c>
      <c r="CX101" s="1">
        <f t="shared" si="50"/>
        <v>48.211111111111109</v>
      </c>
      <c r="CY101" s="1">
        <f t="shared" si="50"/>
        <v>48.716666666666669</v>
      </c>
      <c r="CZ101" s="1">
        <f t="shared" si="50"/>
        <v>49.225000000000001</v>
      </c>
      <c r="DA101" s="1">
        <f t="shared" si="50"/>
        <v>49.733333333333334</v>
      </c>
      <c r="DB101" s="1">
        <f t="shared" si="50"/>
        <v>50.241666666666667</v>
      </c>
      <c r="DC101" s="1">
        <f t="shared" si="50"/>
        <v>50.241666666666667</v>
      </c>
    </row>
    <row r="102" spans="1:107" x14ac:dyDescent="0.25">
      <c r="A102">
        <f t="shared" si="38"/>
        <v>4</v>
      </c>
      <c r="B102" s="2">
        <f>yields_BRUTE!B102</f>
        <v>42151</v>
      </c>
      <c r="C102" s="1">
        <f t="shared" si="55"/>
        <v>-0.24166666666666667</v>
      </c>
      <c r="D102" s="1">
        <f t="shared" si="55"/>
        <v>-0.20277777777777778</v>
      </c>
      <c r="E102" s="1">
        <f t="shared" si="55"/>
        <v>1.3888888888888888E-2</v>
      </c>
      <c r="F102" s="1">
        <f t="shared" si="55"/>
        <v>0.26944444444444443</v>
      </c>
      <c r="G102" s="1">
        <f t="shared" si="55"/>
        <v>0.30833333333333335</v>
      </c>
      <c r="H102" s="1">
        <f t="shared" si="55"/>
        <v>0.52222222222222225</v>
      </c>
      <c r="I102" s="1">
        <f t="shared" si="55"/>
        <v>0.52222222222222225</v>
      </c>
      <c r="J102" s="1">
        <f t="shared" si="55"/>
        <v>0.77500000000000002</v>
      </c>
      <c r="K102" s="1">
        <f t="shared" si="55"/>
        <v>0.81388888888888888</v>
      </c>
      <c r="L102" s="1">
        <f t="shared" si="55"/>
        <v>1.0305555555555554</v>
      </c>
      <c r="M102" s="1">
        <f t="shared" si="55"/>
        <v>1.2861111111111112</v>
      </c>
      <c r="N102" s="1">
        <f t="shared" si="55"/>
        <v>1.2861111111111112</v>
      </c>
      <c r="O102" s="1">
        <f t="shared" si="55"/>
        <v>1.325</v>
      </c>
      <c r="P102" s="1">
        <f t="shared" si="55"/>
        <v>1.538888888888889</v>
      </c>
      <c r="Q102" s="1">
        <f t="shared" si="55"/>
        <v>1.8277777777777777</v>
      </c>
      <c r="R102" s="1">
        <f t="shared" si="52"/>
        <v>2.0444444444444443</v>
      </c>
      <c r="S102" s="1">
        <f t="shared" si="52"/>
        <v>2.338888888888889</v>
      </c>
      <c r="T102" s="1">
        <f t="shared" si="52"/>
        <v>2.5527777777777776</v>
      </c>
      <c r="U102" s="1">
        <f t="shared" si="52"/>
        <v>2.8416666666666668</v>
      </c>
      <c r="V102" s="1">
        <f t="shared" si="52"/>
        <v>3.0583333333333331</v>
      </c>
      <c r="W102" s="1">
        <f t="shared" si="52"/>
        <v>3.3527777777777779</v>
      </c>
      <c r="X102" s="1">
        <f t="shared" si="52"/>
        <v>3.5666666666666669</v>
      </c>
      <c r="Y102" s="1">
        <f t="shared" si="52"/>
        <v>3.8555555555555556</v>
      </c>
      <c r="Z102" s="1">
        <f t="shared" si="52"/>
        <v>4.072222222222222</v>
      </c>
      <c r="AA102" s="1">
        <f t="shared" si="52"/>
        <v>4.3666666666666663</v>
      </c>
      <c r="AB102" s="1">
        <f t="shared" si="52"/>
        <v>4.5805555555555557</v>
      </c>
      <c r="AC102" s="1">
        <f t="shared" si="52"/>
        <v>4.8722222222222218</v>
      </c>
      <c r="AD102" s="1">
        <f t="shared" si="52"/>
        <v>5.0888888888888886</v>
      </c>
      <c r="AE102" s="1">
        <f t="shared" si="52"/>
        <v>5.0888888888888886</v>
      </c>
      <c r="AF102" s="3">
        <f t="shared" si="52"/>
        <v>5.3833333333333337</v>
      </c>
      <c r="AG102" s="1">
        <f t="shared" si="52"/>
        <v>5.5972222222222223</v>
      </c>
      <c r="AH102" s="1">
        <f t="shared" si="53"/>
        <v>5.8861111111111111</v>
      </c>
      <c r="AI102" s="1">
        <f t="shared" si="51"/>
        <v>5.8861111111111111</v>
      </c>
      <c r="AJ102" s="1">
        <f t="shared" si="51"/>
        <v>6.1027777777777779</v>
      </c>
      <c r="AK102" s="1">
        <f t="shared" si="51"/>
        <v>6.1027777777777779</v>
      </c>
      <c r="AL102" s="1">
        <f t="shared" si="51"/>
        <v>6.6111111111111107</v>
      </c>
      <c r="AM102" s="1">
        <f t="shared" si="51"/>
        <v>7.1166666666666663</v>
      </c>
      <c r="AN102" s="1">
        <f t="shared" si="51"/>
        <v>7.1166666666666663</v>
      </c>
      <c r="AO102" s="1">
        <f t="shared" si="51"/>
        <v>7.625</v>
      </c>
      <c r="AP102" s="1">
        <f t="shared" si="51"/>
        <v>8.1305555555555564</v>
      </c>
      <c r="AQ102" s="1">
        <f t="shared" si="51"/>
        <v>8.1305555555555564</v>
      </c>
      <c r="AR102" s="1">
        <f t="shared" si="51"/>
        <v>8.6388888888888893</v>
      </c>
      <c r="AS102" s="1">
        <f t="shared" si="51"/>
        <v>9.1472222222222221</v>
      </c>
      <c r="AT102" s="1">
        <f t="shared" si="51"/>
        <v>9.655555555555555</v>
      </c>
      <c r="AU102" s="1">
        <f t="shared" si="51"/>
        <v>10.161111111111111</v>
      </c>
      <c r="AV102" s="1">
        <f t="shared" si="51"/>
        <v>10.161111111111111</v>
      </c>
      <c r="AW102" s="1">
        <f t="shared" si="51"/>
        <v>14.727777777777778</v>
      </c>
      <c r="AX102" s="1">
        <f t="shared" si="51"/>
        <v>15.233333333333333</v>
      </c>
      <c r="AY102" s="1">
        <f t="shared" si="54"/>
        <v>15.741666666666667</v>
      </c>
      <c r="AZ102" s="1">
        <f t="shared" si="54"/>
        <v>16.247222222222224</v>
      </c>
      <c r="BA102" s="1">
        <f t="shared" si="54"/>
        <v>16.755555555555556</v>
      </c>
      <c r="BB102" s="1">
        <f t="shared" si="54"/>
        <v>17.263888888888889</v>
      </c>
      <c r="BC102" s="1">
        <f t="shared" si="54"/>
        <v>17.772222222222222</v>
      </c>
      <c r="BD102" s="1">
        <f t="shared" si="54"/>
        <v>18.277777777777779</v>
      </c>
      <c r="BE102" s="1">
        <f t="shared" si="54"/>
        <v>18.277777777777779</v>
      </c>
      <c r="BF102" s="1">
        <f t="shared" si="54"/>
        <v>26.902777777777779</v>
      </c>
      <c r="BG102" s="1">
        <f t="shared" si="54"/>
        <v>27.408333333333335</v>
      </c>
      <c r="BH102" s="1">
        <f t="shared" si="54"/>
        <v>27.916666666666668</v>
      </c>
      <c r="BI102" s="1">
        <f t="shared" si="54"/>
        <v>28.422222222222221</v>
      </c>
      <c r="BJ102" s="1">
        <f t="shared" si="54"/>
        <v>28.930555555555557</v>
      </c>
      <c r="BK102" s="1">
        <f t="shared" si="54"/>
        <v>29.43888888888889</v>
      </c>
      <c r="BL102" s="1">
        <f t="shared" si="54"/>
        <v>29.947222222222223</v>
      </c>
      <c r="BM102" s="1">
        <f t="shared" si="48"/>
        <v>30.452777777777779</v>
      </c>
      <c r="BN102" s="1">
        <f t="shared" si="48"/>
        <v>30.961111111111112</v>
      </c>
      <c r="BO102" s="1">
        <f t="shared" si="48"/>
        <v>30.961111111111112</v>
      </c>
      <c r="BP102" s="1">
        <f t="shared" si="48"/>
        <v>31.466666666666665</v>
      </c>
      <c r="BQ102" s="1">
        <f t="shared" si="48"/>
        <v>31.975000000000001</v>
      </c>
      <c r="BR102" s="1">
        <f t="shared" si="48"/>
        <v>32.480555555555554</v>
      </c>
      <c r="BS102" s="1">
        <f t="shared" si="48"/>
        <v>32.988888888888887</v>
      </c>
      <c r="BT102" s="1">
        <f t="shared" si="48"/>
        <v>33.49722222222222</v>
      </c>
      <c r="BU102" s="1">
        <f t="shared" si="48"/>
        <v>34.005555555555553</v>
      </c>
      <c r="BV102" s="1">
        <f t="shared" si="48"/>
        <v>34.005555555555553</v>
      </c>
      <c r="BW102" s="1">
        <f t="shared" si="48"/>
        <v>34.511111111111113</v>
      </c>
      <c r="BX102" s="1">
        <f t="shared" si="48"/>
        <v>35.019444444444446</v>
      </c>
      <c r="BY102" s="1">
        <f t="shared" si="48"/>
        <v>35.524999999999999</v>
      </c>
      <c r="BZ102" s="1">
        <f t="shared" si="48"/>
        <v>36.033333333333331</v>
      </c>
      <c r="CA102" s="1">
        <f t="shared" si="48"/>
        <v>36.538888888888891</v>
      </c>
      <c r="CB102" s="1">
        <f t="shared" si="48"/>
        <v>37.047222222222224</v>
      </c>
      <c r="CC102" s="1">
        <f t="shared" si="49"/>
        <v>37.555555555555557</v>
      </c>
      <c r="CD102" s="1">
        <f t="shared" si="49"/>
        <v>38.06388888888889</v>
      </c>
      <c r="CE102" s="1">
        <f t="shared" si="49"/>
        <v>38.569444444444443</v>
      </c>
      <c r="CF102" s="1">
        <f t="shared" si="49"/>
        <v>39.077777777777776</v>
      </c>
      <c r="CG102" s="1">
        <f t="shared" si="49"/>
        <v>39.583333333333336</v>
      </c>
      <c r="CH102" s="1">
        <f t="shared" si="49"/>
        <v>40.091666666666669</v>
      </c>
      <c r="CI102" s="1">
        <f t="shared" si="49"/>
        <v>40.597222222222221</v>
      </c>
      <c r="CJ102" s="1">
        <f t="shared" si="49"/>
        <v>41.105555555555554</v>
      </c>
      <c r="CK102" s="1">
        <f t="shared" si="49"/>
        <v>41.613888888888887</v>
      </c>
      <c r="CL102" s="1">
        <f t="shared" si="49"/>
        <v>42.12222222222222</v>
      </c>
      <c r="CM102" s="1">
        <f t="shared" si="49"/>
        <v>42.62777777777778</v>
      </c>
      <c r="CN102" s="1">
        <f t="shared" si="49"/>
        <v>43.136111111111113</v>
      </c>
      <c r="CO102" s="1">
        <f t="shared" si="49"/>
        <v>43.641666666666666</v>
      </c>
      <c r="CP102" s="1">
        <f t="shared" si="49"/>
        <v>44.15</v>
      </c>
      <c r="CQ102" s="1">
        <f t="shared" si="49"/>
        <v>44.655555555555559</v>
      </c>
      <c r="CR102" s="1">
        <f t="shared" si="49"/>
        <v>45.163888888888891</v>
      </c>
      <c r="CS102" s="1">
        <f t="shared" si="50"/>
        <v>45.672222222222224</v>
      </c>
      <c r="CT102" s="1">
        <f t="shared" si="50"/>
        <v>46.180555555555557</v>
      </c>
      <c r="CU102" s="1">
        <f t="shared" si="50"/>
        <v>46.68611111111111</v>
      </c>
      <c r="CV102" s="1">
        <f t="shared" si="50"/>
        <v>47.194444444444443</v>
      </c>
      <c r="CW102" s="1">
        <f t="shared" si="50"/>
        <v>47.7</v>
      </c>
      <c r="CX102" s="1">
        <f t="shared" si="50"/>
        <v>48.208333333333336</v>
      </c>
      <c r="CY102" s="1">
        <f t="shared" si="50"/>
        <v>48.713888888888889</v>
      </c>
      <c r="CZ102" s="1">
        <f t="shared" si="50"/>
        <v>49.222222222222221</v>
      </c>
      <c r="DA102" s="1">
        <f t="shared" si="50"/>
        <v>49.730555555555554</v>
      </c>
      <c r="DB102" s="1">
        <f t="shared" si="50"/>
        <v>50.238888888888887</v>
      </c>
      <c r="DC102" s="1">
        <f t="shared" si="50"/>
        <v>50.238888888888887</v>
      </c>
    </row>
    <row r="103" spans="1:107" x14ac:dyDescent="0.25">
      <c r="A103">
        <f t="shared" si="38"/>
        <v>5</v>
      </c>
      <c r="B103" s="2">
        <f>yields_BRUTE!B103</f>
        <v>42152</v>
      </c>
      <c r="C103" s="1">
        <f t="shared" si="55"/>
        <v>-0.24444444444444444</v>
      </c>
      <c r="D103" s="1">
        <f t="shared" si="55"/>
        <v>-0.20555555555555555</v>
      </c>
      <c r="E103" s="1">
        <f t="shared" si="55"/>
        <v>1.1111111111111112E-2</v>
      </c>
      <c r="F103" s="1">
        <f t="shared" si="55"/>
        <v>0.26666666666666666</v>
      </c>
      <c r="G103" s="1">
        <f t="shared" si="55"/>
        <v>0.30555555555555558</v>
      </c>
      <c r="H103" s="1">
        <f t="shared" si="55"/>
        <v>0.51944444444444449</v>
      </c>
      <c r="I103" s="1">
        <f t="shared" si="55"/>
        <v>0.51944444444444449</v>
      </c>
      <c r="J103" s="1">
        <f t="shared" si="55"/>
        <v>0.77222222222222225</v>
      </c>
      <c r="K103" s="1">
        <f t="shared" si="55"/>
        <v>0.81111111111111112</v>
      </c>
      <c r="L103" s="1">
        <f t="shared" si="55"/>
        <v>1.0277777777777777</v>
      </c>
      <c r="M103" s="1">
        <f t="shared" si="55"/>
        <v>1.2833333333333334</v>
      </c>
      <c r="N103" s="1">
        <f t="shared" si="55"/>
        <v>1.2833333333333334</v>
      </c>
      <c r="O103" s="1">
        <f t="shared" si="55"/>
        <v>1.3222222222222222</v>
      </c>
      <c r="P103" s="1">
        <f t="shared" si="55"/>
        <v>1.5361111111111112</v>
      </c>
      <c r="Q103" s="1">
        <f t="shared" si="55"/>
        <v>1.825</v>
      </c>
      <c r="R103" s="1">
        <f t="shared" si="52"/>
        <v>2.0416666666666665</v>
      </c>
      <c r="S103" s="1">
        <f t="shared" si="52"/>
        <v>2.3361111111111112</v>
      </c>
      <c r="T103" s="1">
        <f t="shared" si="52"/>
        <v>2.5499999999999998</v>
      </c>
      <c r="U103" s="1">
        <f t="shared" si="52"/>
        <v>2.838888888888889</v>
      </c>
      <c r="V103" s="1">
        <f t="shared" si="52"/>
        <v>3.0555555555555554</v>
      </c>
      <c r="W103" s="1">
        <f t="shared" si="52"/>
        <v>3.35</v>
      </c>
      <c r="X103" s="1">
        <f t="shared" si="52"/>
        <v>3.5638888888888891</v>
      </c>
      <c r="Y103" s="1">
        <f t="shared" si="52"/>
        <v>3.8527777777777779</v>
      </c>
      <c r="Z103" s="1">
        <f t="shared" si="52"/>
        <v>4.0694444444444446</v>
      </c>
      <c r="AA103" s="1">
        <f t="shared" si="52"/>
        <v>4.3638888888888889</v>
      </c>
      <c r="AB103" s="1">
        <f t="shared" si="52"/>
        <v>4.5777777777777775</v>
      </c>
      <c r="AC103" s="1">
        <f t="shared" si="52"/>
        <v>4.8694444444444445</v>
      </c>
      <c r="AD103" s="1">
        <f t="shared" si="52"/>
        <v>5.0861111111111112</v>
      </c>
      <c r="AE103" s="1">
        <f t="shared" si="52"/>
        <v>5.0861111111111112</v>
      </c>
      <c r="AF103" s="3">
        <f t="shared" si="52"/>
        <v>5.3805555555555555</v>
      </c>
      <c r="AG103" s="1">
        <f t="shared" si="52"/>
        <v>5.5944444444444441</v>
      </c>
      <c r="AH103" s="1">
        <f t="shared" si="53"/>
        <v>5.8833333333333337</v>
      </c>
      <c r="AI103" s="1">
        <f t="shared" si="51"/>
        <v>5.8833333333333337</v>
      </c>
      <c r="AJ103" s="1">
        <f t="shared" si="51"/>
        <v>6.1</v>
      </c>
      <c r="AK103" s="1">
        <f t="shared" si="51"/>
        <v>6.1</v>
      </c>
      <c r="AL103" s="1">
        <f t="shared" si="51"/>
        <v>6.6083333333333334</v>
      </c>
      <c r="AM103" s="1">
        <f t="shared" si="51"/>
        <v>7.1138888888888889</v>
      </c>
      <c r="AN103" s="1">
        <f t="shared" si="51"/>
        <v>7.1138888888888889</v>
      </c>
      <c r="AO103" s="1">
        <f t="shared" si="51"/>
        <v>7.6222222222222218</v>
      </c>
      <c r="AP103" s="1">
        <f t="shared" si="51"/>
        <v>8.1277777777777782</v>
      </c>
      <c r="AQ103" s="1">
        <f t="shared" si="51"/>
        <v>8.1277777777777782</v>
      </c>
      <c r="AR103" s="1">
        <f t="shared" si="51"/>
        <v>8.6361111111111111</v>
      </c>
      <c r="AS103" s="1">
        <f t="shared" si="51"/>
        <v>9.1444444444444439</v>
      </c>
      <c r="AT103" s="1">
        <f t="shared" si="51"/>
        <v>9.6527777777777786</v>
      </c>
      <c r="AU103" s="1">
        <f t="shared" si="51"/>
        <v>10.158333333333333</v>
      </c>
      <c r="AV103" s="1">
        <f t="shared" si="51"/>
        <v>10.158333333333333</v>
      </c>
      <c r="AW103" s="1">
        <f t="shared" si="51"/>
        <v>14.725</v>
      </c>
      <c r="AX103" s="1">
        <f t="shared" si="51"/>
        <v>15.230555555555556</v>
      </c>
      <c r="AY103" s="1">
        <f t="shared" si="54"/>
        <v>15.738888888888889</v>
      </c>
      <c r="AZ103" s="1">
        <f t="shared" si="54"/>
        <v>16.244444444444444</v>
      </c>
      <c r="BA103" s="1">
        <f t="shared" si="54"/>
        <v>16.752777777777776</v>
      </c>
      <c r="BB103" s="1">
        <f t="shared" si="54"/>
        <v>17.261111111111113</v>
      </c>
      <c r="BC103" s="1">
        <f t="shared" si="54"/>
        <v>17.769444444444446</v>
      </c>
      <c r="BD103" s="1">
        <f t="shared" si="54"/>
        <v>18.274999999999999</v>
      </c>
      <c r="BE103" s="1">
        <f t="shared" si="54"/>
        <v>18.274999999999999</v>
      </c>
      <c r="BF103" s="1">
        <f t="shared" si="54"/>
        <v>26.9</v>
      </c>
      <c r="BG103" s="1">
        <f t="shared" si="54"/>
        <v>27.405555555555555</v>
      </c>
      <c r="BH103" s="1">
        <f t="shared" si="54"/>
        <v>27.913888888888888</v>
      </c>
      <c r="BI103" s="1">
        <f t="shared" si="54"/>
        <v>28.419444444444444</v>
      </c>
      <c r="BJ103" s="1">
        <f t="shared" si="54"/>
        <v>28.927777777777777</v>
      </c>
      <c r="BK103" s="1">
        <f t="shared" si="54"/>
        <v>29.43611111111111</v>
      </c>
      <c r="BL103" s="1">
        <f t="shared" si="54"/>
        <v>29.944444444444443</v>
      </c>
      <c r="BM103" s="1">
        <f t="shared" si="48"/>
        <v>30.45</v>
      </c>
      <c r="BN103" s="1">
        <f t="shared" si="48"/>
        <v>30.958333333333332</v>
      </c>
      <c r="BO103" s="1">
        <f t="shared" si="48"/>
        <v>30.958333333333332</v>
      </c>
      <c r="BP103" s="1">
        <f t="shared" si="48"/>
        <v>31.463888888888889</v>
      </c>
      <c r="BQ103" s="1">
        <f t="shared" si="48"/>
        <v>31.972222222222221</v>
      </c>
      <c r="BR103" s="1">
        <f t="shared" si="48"/>
        <v>32.477777777777774</v>
      </c>
      <c r="BS103" s="1">
        <f t="shared" si="48"/>
        <v>32.986111111111114</v>
      </c>
      <c r="BT103" s="1">
        <f t="shared" si="48"/>
        <v>33.494444444444447</v>
      </c>
      <c r="BU103" s="1">
        <f t="shared" si="48"/>
        <v>34.00277777777778</v>
      </c>
      <c r="BV103" s="1">
        <f t="shared" si="48"/>
        <v>34.00277777777778</v>
      </c>
      <c r="BW103" s="1">
        <f t="shared" si="48"/>
        <v>34.508333333333333</v>
      </c>
      <c r="BX103" s="1">
        <f t="shared" si="48"/>
        <v>35.016666666666666</v>
      </c>
      <c r="BY103" s="1">
        <f t="shared" si="48"/>
        <v>35.522222222222226</v>
      </c>
      <c r="BZ103" s="1">
        <f t="shared" si="48"/>
        <v>36.030555555555559</v>
      </c>
      <c r="CA103" s="1">
        <f t="shared" si="48"/>
        <v>36.536111111111111</v>
      </c>
      <c r="CB103" s="1">
        <f t="shared" si="48"/>
        <v>37.044444444444444</v>
      </c>
      <c r="CC103" s="1">
        <f t="shared" si="49"/>
        <v>37.552777777777777</v>
      </c>
      <c r="CD103" s="1">
        <f t="shared" si="49"/>
        <v>38.06111111111111</v>
      </c>
      <c r="CE103" s="1">
        <f t="shared" si="49"/>
        <v>38.56666666666667</v>
      </c>
      <c r="CF103" s="1">
        <f t="shared" si="49"/>
        <v>39.075000000000003</v>
      </c>
      <c r="CG103" s="1">
        <f t="shared" si="49"/>
        <v>39.580555555555556</v>
      </c>
      <c r="CH103" s="1">
        <f t="shared" si="49"/>
        <v>40.088888888888889</v>
      </c>
      <c r="CI103" s="1">
        <f t="shared" si="49"/>
        <v>40.594444444444441</v>
      </c>
      <c r="CJ103" s="1">
        <f t="shared" si="49"/>
        <v>41.102777777777774</v>
      </c>
      <c r="CK103" s="1">
        <f t="shared" si="49"/>
        <v>41.611111111111114</v>
      </c>
      <c r="CL103" s="1">
        <f t="shared" si="49"/>
        <v>42.119444444444447</v>
      </c>
      <c r="CM103" s="1">
        <f t="shared" si="49"/>
        <v>42.625</v>
      </c>
      <c r="CN103" s="1">
        <f t="shared" si="49"/>
        <v>43.133333333333333</v>
      </c>
      <c r="CO103" s="1">
        <f t="shared" si="49"/>
        <v>43.638888888888886</v>
      </c>
      <c r="CP103" s="1">
        <f t="shared" si="49"/>
        <v>44.147222222222226</v>
      </c>
      <c r="CQ103" s="1">
        <f t="shared" si="49"/>
        <v>44.652777777777779</v>
      </c>
      <c r="CR103" s="1">
        <f t="shared" si="49"/>
        <v>45.161111111111111</v>
      </c>
      <c r="CS103" s="1">
        <f t="shared" si="50"/>
        <v>45.669444444444444</v>
      </c>
      <c r="CT103" s="1">
        <f t="shared" si="50"/>
        <v>46.177777777777777</v>
      </c>
      <c r="CU103" s="1">
        <f t="shared" si="50"/>
        <v>46.68333333333333</v>
      </c>
      <c r="CV103" s="1">
        <f t="shared" si="50"/>
        <v>47.19166666666667</v>
      </c>
      <c r="CW103" s="1">
        <f t="shared" si="50"/>
        <v>47.697222222222223</v>
      </c>
      <c r="CX103" s="1">
        <f t="shared" si="50"/>
        <v>48.205555555555556</v>
      </c>
      <c r="CY103" s="1">
        <f t="shared" si="50"/>
        <v>48.711111111111109</v>
      </c>
      <c r="CZ103" s="1">
        <f t="shared" si="50"/>
        <v>49.219444444444441</v>
      </c>
      <c r="DA103" s="1">
        <f t="shared" si="50"/>
        <v>49.727777777777774</v>
      </c>
      <c r="DB103" s="1">
        <f t="shared" si="50"/>
        <v>50.236111111111114</v>
      </c>
      <c r="DC103" s="1">
        <f t="shared" si="50"/>
        <v>50.236111111111114</v>
      </c>
    </row>
    <row r="104" spans="1:107" x14ac:dyDescent="0.25">
      <c r="A104">
        <f t="shared" si="38"/>
        <v>6</v>
      </c>
      <c r="B104" s="2">
        <f>yields_BRUTE!B104</f>
        <v>42153</v>
      </c>
      <c r="C104" s="1">
        <f t="shared" si="55"/>
        <v>-0.24722222222222223</v>
      </c>
      <c r="D104" s="1">
        <f t="shared" si="55"/>
        <v>-0.20833333333333334</v>
      </c>
      <c r="E104" s="1">
        <f t="shared" si="55"/>
        <v>8.3333333333333332E-3</v>
      </c>
      <c r="F104" s="1">
        <f t="shared" si="55"/>
        <v>0.2638888888888889</v>
      </c>
      <c r="G104" s="1">
        <f t="shared" si="55"/>
        <v>0.30277777777777776</v>
      </c>
      <c r="H104" s="1">
        <f t="shared" si="55"/>
        <v>0.51666666666666672</v>
      </c>
      <c r="I104" s="1">
        <f t="shared" si="55"/>
        <v>0.51666666666666672</v>
      </c>
      <c r="J104" s="1">
        <f t="shared" si="55"/>
        <v>0.76944444444444449</v>
      </c>
      <c r="K104" s="1">
        <f t="shared" si="55"/>
        <v>0.80833333333333335</v>
      </c>
      <c r="L104" s="1">
        <f t="shared" si="55"/>
        <v>1.0249999999999999</v>
      </c>
      <c r="M104" s="1">
        <f t="shared" si="55"/>
        <v>1.2805555555555554</v>
      </c>
      <c r="N104" s="1">
        <f t="shared" si="55"/>
        <v>1.2805555555555554</v>
      </c>
      <c r="O104" s="1">
        <f t="shared" si="55"/>
        <v>1.3194444444444444</v>
      </c>
      <c r="P104" s="1">
        <f t="shared" si="55"/>
        <v>1.5333333333333334</v>
      </c>
      <c r="Q104" s="1">
        <f t="shared" si="55"/>
        <v>1.8222222222222222</v>
      </c>
      <c r="R104" s="1">
        <f t="shared" si="52"/>
        <v>2.0388888888888888</v>
      </c>
      <c r="S104" s="1">
        <f t="shared" si="52"/>
        <v>2.3333333333333335</v>
      </c>
      <c r="T104" s="1">
        <f t="shared" si="52"/>
        <v>2.5472222222222221</v>
      </c>
      <c r="U104" s="1">
        <f t="shared" si="52"/>
        <v>2.8361111111111112</v>
      </c>
      <c r="V104" s="1">
        <f t="shared" si="52"/>
        <v>3.0527777777777776</v>
      </c>
      <c r="W104" s="1">
        <f t="shared" si="52"/>
        <v>3.3472222222222223</v>
      </c>
      <c r="X104" s="1">
        <f t="shared" si="52"/>
        <v>3.5611111111111109</v>
      </c>
      <c r="Y104" s="1">
        <f t="shared" si="52"/>
        <v>3.85</v>
      </c>
      <c r="Z104" s="1">
        <f t="shared" si="52"/>
        <v>4.0666666666666664</v>
      </c>
      <c r="AA104" s="1">
        <f t="shared" si="52"/>
        <v>4.3611111111111107</v>
      </c>
      <c r="AB104" s="1">
        <f t="shared" si="52"/>
        <v>4.5750000000000002</v>
      </c>
      <c r="AC104" s="1">
        <f t="shared" si="52"/>
        <v>4.8666666666666663</v>
      </c>
      <c r="AD104" s="1">
        <f t="shared" si="52"/>
        <v>5.083333333333333</v>
      </c>
      <c r="AE104" s="1">
        <f t="shared" si="52"/>
        <v>5.083333333333333</v>
      </c>
      <c r="AF104" s="3">
        <f t="shared" si="52"/>
        <v>5.3777777777777782</v>
      </c>
      <c r="AG104" s="1">
        <f t="shared" si="52"/>
        <v>5.5916666666666668</v>
      </c>
      <c r="AH104" s="1">
        <f t="shared" si="53"/>
        <v>5.8805555555555555</v>
      </c>
      <c r="AI104" s="1">
        <f t="shared" si="51"/>
        <v>5.8805555555555555</v>
      </c>
      <c r="AJ104" s="1">
        <f t="shared" si="51"/>
        <v>6.0972222222222223</v>
      </c>
      <c r="AK104" s="1">
        <f t="shared" si="51"/>
        <v>6.0972222222222223</v>
      </c>
      <c r="AL104" s="1">
        <f t="shared" si="51"/>
        <v>6.6055555555555552</v>
      </c>
      <c r="AM104" s="1">
        <f t="shared" si="51"/>
        <v>7.1111111111111107</v>
      </c>
      <c r="AN104" s="1">
        <f t="shared" si="51"/>
        <v>7.1111111111111107</v>
      </c>
      <c r="AO104" s="1">
        <f t="shared" si="51"/>
        <v>7.6194444444444445</v>
      </c>
      <c r="AP104" s="1">
        <f t="shared" si="51"/>
        <v>8.125</v>
      </c>
      <c r="AQ104" s="1">
        <f t="shared" si="51"/>
        <v>8.125</v>
      </c>
      <c r="AR104" s="1">
        <f t="shared" si="51"/>
        <v>8.6333333333333329</v>
      </c>
      <c r="AS104" s="1">
        <f t="shared" si="51"/>
        <v>9.1416666666666675</v>
      </c>
      <c r="AT104" s="1">
        <f t="shared" si="51"/>
        <v>9.65</v>
      </c>
      <c r="AU104" s="1">
        <f t="shared" si="51"/>
        <v>10.155555555555555</v>
      </c>
      <c r="AV104" s="1">
        <f t="shared" si="51"/>
        <v>10.155555555555555</v>
      </c>
      <c r="AW104" s="1">
        <f t="shared" si="51"/>
        <v>14.722222222222221</v>
      </c>
      <c r="AX104" s="1">
        <f t="shared" si="51"/>
        <v>15.227777777777778</v>
      </c>
      <c r="AY104" s="1">
        <f t="shared" si="54"/>
        <v>15.736111111111111</v>
      </c>
      <c r="AZ104" s="1">
        <f t="shared" si="54"/>
        <v>16.241666666666667</v>
      </c>
      <c r="BA104" s="1">
        <f t="shared" si="54"/>
        <v>16.75</v>
      </c>
      <c r="BB104" s="1">
        <f t="shared" si="54"/>
        <v>17.258333333333333</v>
      </c>
      <c r="BC104" s="1">
        <f t="shared" si="54"/>
        <v>17.766666666666666</v>
      </c>
      <c r="BD104" s="1">
        <f t="shared" si="54"/>
        <v>18.272222222222222</v>
      </c>
      <c r="BE104" s="1">
        <f t="shared" si="54"/>
        <v>18.272222222222222</v>
      </c>
      <c r="BF104" s="1">
        <f t="shared" si="54"/>
        <v>26.897222222222222</v>
      </c>
      <c r="BG104" s="1">
        <f t="shared" si="54"/>
        <v>27.402777777777779</v>
      </c>
      <c r="BH104" s="1">
        <f t="shared" si="54"/>
        <v>27.911111111111111</v>
      </c>
      <c r="BI104" s="1">
        <f t="shared" si="54"/>
        <v>28.416666666666668</v>
      </c>
      <c r="BJ104" s="1">
        <f t="shared" si="54"/>
        <v>28.925000000000001</v>
      </c>
      <c r="BK104" s="1">
        <f t="shared" si="54"/>
        <v>29.433333333333334</v>
      </c>
      <c r="BL104" s="1">
        <f t="shared" si="54"/>
        <v>29.941666666666666</v>
      </c>
      <c r="BM104" s="1">
        <f t="shared" si="48"/>
        <v>30.447222222222223</v>
      </c>
      <c r="BN104" s="1">
        <f t="shared" si="48"/>
        <v>30.955555555555556</v>
      </c>
      <c r="BO104" s="1">
        <f t="shared" si="48"/>
        <v>30.955555555555556</v>
      </c>
      <c r="BP104" s="1">
        <f t="shared" si="48"/>
        <v>31.461111111111112</v>
      </c>
      <c r="BQ104" s="1">
        <f t="shared" si="48"/>
        <v>31.969444444444445</v>
      </c>
      <c r="BR104" s="1">
        <f t="shared" si="48"/>
        <v>32.475000000000001</v>
      </c>
      <c r="BS104" s="1">
        <f t="shared" si="48"/>
        <v>32.983333333333334</v>
      </c>
      <c r="BT104" s="1">
        <f t="shared" si="48"/>
        <v>33.491666666666667</v>
      </c>
      <c r="BU104" s="1">
        <f t="shared" si="48"/>
        <v>34</v>
      </c>
      <c r="BV104" s="1">
        <f t="shared" si="48"/>
        <v>34</v>
      </c>
      <c r="BW104" s="1">
        <f t="shared" si="48"/>
        <v>34.505555555555553</v>
      </c>
      <c r="BX104" s="1">
        <f t="shared" si="48"/>
        <v>35.013888888888886</v>
      </c>
      <c r="BY104" s="1">
        <f t="shared" si="48"/>
        <v>35.519444444444446</v>
      </c>
      <c r="BZ104" s="1">
        <f t="shared" si="48"/>
        <v>36.027777777777779</v>
      </c>
      <c r="CA104" s="1">
        <f t="shared" si="48"/>
        <v>36.533333333333331</v>
      </c>
      <c r="CB104" s="1">
        <f t="shared" si="48"/>
        <v>37.041666666666664</v>
      </c>
      <c r="CC104" s="1">
        <f t="shared" si="49"/>
        <v>37.549999999999997</v>
      </c>
      <c r="CD104" s="1">
        <f t="shared" si="49"/>
        <v>38.05833333333333</v>
      </c>
      <c r="CE104" s="1">
        <f t="shared" si="49"/>
        <v>38.56388888888889</v>
      </c>
      <c r="CF104" s="1">
        <f t="shared" si="49"/>
        <v>39.072222222222223</v>
      </c>
      <c r="CG104" s="1">
        <f t="shared" si="49"/>
        <v>39.577777777777776</v>
      </c>
      <c r="CH104" s="1">
        <f t="shared" si="49"/>
        <v>40.086111111111109</v>
      </c>
      <c r="CI104" s="1">
        <f t="shared" si="49"/>
        <v>40.591666666666669</v>
      </c>
      <c r="CJ104" s="1">
        <f t="shared" si="49"/>
        <v>41.1</v>
      </c>
      <c r="CK104" s="1">
        <f t="shared" si="49"/>
        <v>41.608333333333334</v>
      </c>
      <c r="CL104" s="1">
        <f t="shared" si="49"/>
        <v>42.116666666666667</v>
      </c>
      <c r="CM104" s="1">
        <f t="shared" si="49"/>
        <v>42.62222222222222</v>
      </c>
      <c r="CN104" s="1">
        <f t="shared" si="49"/>
        <v>43.130555555555553</v>
      </c>
      <c r="CO104" s="1">
        <f t="shared" si="49"/>
        <v>43.636111111111113</v>
      </c>
      <c r="CP104" s="1">
        <f t="shared" si="49"/>
        <v>44.144444444444446</v>
      </c>
      <c r="CQ104" s="1">
        <f t="shared" si="49"/>
        <v>44.65</v>
      </c>
      <c r="CR104" s="1">
        <f t="shared" si="49"/>
        <v>45.158333333333331</v>
      </c>
      <c r="CS104" s="1">
        <f t="shared" si="50"/>
        <v>45.666666666666664</v>
      </c>
      <c r="CT104" s="1">
        <f t="shared" si="50"/>
        <v>46.174999999999997</v>
      </c>
      <c r="CU104" s="1">
        <f t="shared" si="50"/>
        <v>46.680555555555557</v>
      </c>
      <c r="CV104" s="1">
        <f t="shared" si="50"/>
        <v>47.18888888888889</v>
      </c>
      <c r="CW104" s="1">
        <f t="shared" si="50"/>
        <v>47.694444444444443</v>
      </c>
      <c r="CX104" s="1">
        <f t="shared" si="50"/>
        <v>48.202777777777776</v>
      </c>
      <c r="CY104" s="1">
        <f t="shared" si="50"/>
        <v>48.708333333333336</v>
      </c>
      <c r="CZ104" s="1">
        <f t="shared" si="50"/>
        <v>49.216666666666669</v>
      </c>
      <c r="DA104" s="1">
        <f t="shared" si="50"/>
        <v>49.725000000000001</v>
      </c>
      <c r="DB104" s="1">
        <f t="shared" si="50"/>
        <v>50.233333333333334</v>
      </c>
      <c r="DC104" s="1">
        <f t="shared" si="50"/>
        <v>50.233333333333334</v>
      </c>
    </row>
    <row r="105" spans="1:107" x14ac:dyDescent="0.25">
      <c r="A105">
        <f t="shared" si="38"/>
        <v>2</v>
      </c>
      <c r="B105" s="2">
        <f>yields_BRUTE!B105</f>
        <v>42156</v>
      </c>
      <c r="C105" s="1">
        <f t="shared" si="55"/>
        <v>-0.25555555555555554</v>
      </c>
      <c r="D105" s="1">
        <f t="shared" si="55"/>
        <v>-0.21666666666666667</v>
      </c>
      <c r="E105" s="1">
        <f t="shared" si="55"/>
        <v>0</v>
      </c>
      <c r="F105" s="1">
        <f t="shared" si="55"/>
        <v>0.25555555555555554</v>
      </c>
      <c r="G105" s="1">
        <f t="shared" si="55"/>
        <v>0.29444444444444445</v>
      </c>
      <c r="H105" s="1">
        <f t="shared" si="55"/>
        <v>0.5083333333333333</v>
      </c>
      <c r="I105" s="1">
        <f t="shared" si="55"/>
        <v>0.5083333333333333</v>
      </c>
      <c r="J105" s="1">
        <f t="shared" si="55"/>
        <v>0.76111111111111107</v>
      </c>
      <c r="K105" s="1">
        <f t="shared" si="55"/>
        <v>0.8</v>
      </c>
      <c r="L105" s="1">
        <f t="shared" si="55"/>
        <v>1.0166666666666666</v>
      </c>
      <c r="M105" s="1">
        <f t="shared" si="55"/>
        <v>1.2722222222222221</v>
      </c>
      <c r="N105" s="1">
        <f t="shared" si="55"/>
        <v>1.2722222222222221</v>
      </c>
      <c r="O105" s="1">
        <f t="shared" si="55"/>
        <v>1.3111111111111111</v>
      </c>
      <c r="P105" s="1">
        <f t="shared" si="55"/>
        <v>1.5249999999999999</v>
      </c>
      <c r="Q105" s="1">
        <f t="shared" si="55"/>
        <v>1.8138888888888889</v>
      </c>
      <c r="R105" s="1">
        <f t="shared" si="52"/>
        <v>2.0305555555555554</v>
      </c>
      <c r="S105" s="1">
        <f t="shared" si="52"/>
        <v>2.3250000000000002</v>
      </c>
      <c r="T105" s="1">
        <f t="shared" si="52"/>
        <v>2.5388888888888888</v>
      </c>
      <c r="U105" s="1">
        <f t="shared" si="52"/>
        <v>2.8277777777777779</v>
      </c>
      <c r="V105" s="1">
        <f t="shared" si="52"/>
        <v>3.0444444444444443</v>
      </c>
      <c r="W105" s="1">
        <f t="shared" si="52"/>
        <v>3.338888888888889</v>
      </c>
      <c r="X105" s="1">
        <f t="shared" si="52"/>
        <v>3.5527777777777776</v>
      </c>
      <c r="Y105" s="1">
        <f t="shared" si="52"/>
        <v>3.8416666666666668</v>
      </c>
      <c r="Z105" s="1">
        <f t="shared" si="52"/>
        <v>4.0583333333333336</v>
      </c>
      <c r="AA105" s="1">
        <f t="shared" si="52"/>
        <v>4.3527777777777779</v>
      </c>
      <c r="AB105" s="1">
        <f t="shared" si="52"/>
        <v>4.5666666666666664</v>
      </c>
      <c r="AC105" s="1">
        <f t="shared" si="52"/>
        <v>4.8583333333333334</v>
      </c>
      <c r="AD105" s="1">
        <f t="shared" si="52"/>
        <v>5.0750000000000002</v>
      </c>
      <c r="AE105" s="1">
        <f t="shared" si="52"/>
        <v>5.0750000000000002</v>
      </c>
      <c r="AF105" s="3">
        <f t="shared" si="52"/>
        <v>5.3694444444444445</v>
      </c>
      <c r="AG105" s="1">
        <f t="shared" si="52"/>
        <v>5.583333333333333</v>
      </c>
      <c r="AH105" s="1">
        <f t="shared" si="53"/>
        <v>5.8722222222222218</v>
      </c>
      <c r="AI105" s="1">
        <f t="shared" si="51"/>
        <v>5.8722222222222218</v>
      </c>
      <c r="AJ105" s="1">
        <f t="shared" si="51"/>
        <v>6.0888888888888886</v>
      </c>
      <c r="AK105" s="1">
        <f t="shared" si="51"/>
        <v>6.0888888888888886</v>
      </c>
      <c r="AL105" s="1">
        <f t="shared" si="51"/>
        <v>6.5972222222222223</v>
      </c>
      <c r="AM105" s="1">
        <f t="shared" si="51"/>
        <v>7.1027777777777779</v>
      </c>
      <c r="AN105" s="1">
        <f t="shared" si="51"/>
        <v>7.1027777777777779</v>
      </c>
      <c r="AO105" s="1">
        <f t="shared" si="51"/>
        <v>7.6111111111111107</v>
      </c>
      <c r="AP105" s="1">
        <f t="shared" si="51"/>
        <v>8.1166666666666671</v>
      </c>
      <c r="AQ105" s="1">
        <f t="shared" si="51"/>
        <v>8.1166666666666671</v>
      </c>
      <c r="AR105" s="1">
        <f t="shared" si="51"/>
        <v>8.625</v>
      </c>
      <c r="AS105" s="1">
        <f t="shared" si="51"/>
        <v>9.1333333333333329</v>
      </c>
      <c r="AT105" s="1">
        <f t="shared" si="51"/>
        <v>9.6416666666666675</v>
      </c>
      <c r="AU105" s="1">
        <f t="shared" si="51"/>
        <v>10.147222222222222</v>
      </c>
      <c r="AV105" s="1">
        <f t="shared" si="51"/>
        <v>10.147222222222222</v>
      </c>
      <c r="AW105" s="1">
        <f t="shared" si="51"/>
        <v>14.713888888888889</v>
      </c>
      <c r="AX105" s="1">
        <f t="shared" si="51"/>
        <v>15.219444444444445</v>
      </c>
      <c r="AY105" s="1">
        <f t="shared" si="54"/>
        <v>15.727777777777778</v>
      </c>
      <c r="AZ105" s="1">
        <f t="shared" si="54"/>
        <v>16.233333333333334</v>
      </c>
      <c r="BA105" s="1">
        <f t="shared" si="54"/>
        <v>16.741666666666667</v>
      </c>
      <c r="BB105" s="1">
        <f t="shared" si="54"/>
        <v>17.25</v>
      </c>
      <c r="BC105" s="1">
        <f t="shared" si="54"/>
        <v>17.758333333333333</v>
      </c>
      <c r="BD105" s="1">
        <f t="shared" si="54"/>
        <v>18.263888888888889</v>
      </c>
      <c r="BE105" s="1">
        <f t="shared" si="54"/>
        <v>18.263888888888889</v>
      </c>
      <c r="BF105" s="1">
        <f t="shared" si="54"/>
        <v>26.888888888888889</v>
      </c>
      <c r="BG105" s="1">
        <f t="shared" si="54"/>
        <v>27.394444444444446</v>
      </c>
      <c r="BH105" s="1">
        <f t="shared" si="54"/>
        <v>27.902777777777779</v>
      </c>
      <c r="BI105" s="1">
        <f t="shared" si="54"/>
        <v>28.408333333333335</v>
      </c>
      <c r="BJ105" s="1">
        <f t="shared" si="54"/>
        <v>28.916666666666668</v>
      </c>
      <c r="BK105" s="1">
        <f t="shared" si="54"/>
        <v>29.425000000000001</v>
      </c>
      <c r="BL105" s="1">
        <f t="shared" si="54"/>
        <v>29.933333333333334</v>
      </c>
      <c r="BM105" s="1">
        <f t="shared" si="48"/>
        <v>30.43888888888889</v>
      </c>
      <c r="BN105" s="1">
        <f t="shared" si="48"/>
        <v>30.947222222222223</v>
      </c>
      <c r="BO105" s="1">
        <f t="shared" si="48"/>
        <v>30.947222222222223</v>
      </c>
      <c r="BP105" s="1">
        <f t="shared" si="48"/>
        <v>31.452777777777779</v>
      </c>
      <c r="BQ105" s="1">
        <f t="shared" si="48"/>
        <v>31.961111111111112</v>
      </c>
      <c r="BR105" s="1">
        <f t="shared" si="48"/>
        <v>32.466666666666669</v>
      </c>
      <c r="BS105" s="1">
        <f t="shared" si="48"/>
        <v>32.975000000000001</v>
      </c>
      <c r="BT105" s="1">
        <f t="shared" si="48"/>
        <v>33.483333333333334</v>
      </c>
      <c r="BU105" s="1">
        <f t="shared" si="48"/>
        <v>33.991666666666667</v>
      </c>
      <c r="BV105" s="1">
        <f t="shared" si="48"/>
        <v>33.991666666666667</v>
      </c>
      <c r="BW105" s="1">
        <f t="shared" si="48"/>
        <v>34.49722222222222</v>
      </c>
      <c r="BX105" s="1">
        <f t="shared" si="48"/>
        <v>35.005555555555553</v>
      </c>
      <c r="BY105" s="1">
        <f t="shared" si="48"/>
        <v>35.511111111111113</v>
      </c>
      <c r="BZ105" s="1">
        <f t="shared" si="48"/>
        <v>36.019444444444446</v>
      </c>
      <c r="CA105" s="1">
        <f t="shared" si="48"/>
        <v>36.524999999999999</v>
      </c>
      <c r="CB105" s="1">
        <f t="shared" si="48"/>
        <v>37.033333333333331</v>
      </c>
      <c r="CC105" s="1">
        <f t="shared" si="49"/>
        <v>37.541666666666664</v>
      </c>
      <c r="CD105" s="1">
        <f t="shared" si="49"/>
        <v>38.049999999999997</v>
      </c>
      <c r="CE105" s="1">
        <f t="shared" si="49"/>
        <v>38.555555555555557</v>
      </c>
      <c r="CF105" s="1">
        <f t="shared" si="49"/>
        <v>39.06388888888889</v>
      </c>
      <c r="CG105" s="1">
        <f t="shared" si="49"/>
        <v>39.569444444444443</v>
      </c>
      <c r="CH105" s="1">
        <f t="shared" si="49"/>
        <v>40.077777777777776</v>
      </c>
      <c r="CI105" s="1">
        <f t="shared" si="49"/>
        <v>40.583333333333336</v>
      </c>
      <c r="CJ105" s="1">
        <f t="shared" si="49"/>
        <v>41.091666666666669</v>
      </c>
      <c r="CK105" s="1">
        <f t="shared" si="49"/>
        <v>41.6</v>
      </c>
      <c r="CL105" s="1">
        <f t="shared" si="49"/>
        <v>42.108333333333334</v>
      </c>
      <c r="CM105" s="1">
        <f t="shared" si="49"/>
        <v>42.613888888888887</v>
      </c>
      <c r="CN105" s="1">
        <f t="shared" si="49"/>
        <v>43.12222222222222</v>
      </c>
      <c r="CO105" s="1">
        <f t="shared" si="49"/>
        <v>43.62777777777778</v>
      </c>
      <c r="CP105" s="1">
        <f t="shared" si="49"/>
        <v>44.136111111111113</v>
      </c>
      <c r="CQ105" s="1">
        <f t="shared" si="49"/>
        <v>44.641666666666666</v>
      </c>
      <c r="CR105" s="1">
        <f t="shared" si="49"/>
        <v>45.15</v>
      </c>
      <c r="CS105" s="1">
        <f t="shared" si="50"/>
        <v>45.658333333333331</v>
      </c>
      <c r="CT105" s="1">
        <f t="shared" si="50"/>
        <v>46.166666666666664</v>
      </c>
      <c r="CU105" s="1">
        <f t="shared" si="50"/>
        <v>46.672222222222224</v>
      </c>
      <c r="CV105" s="1">
        <f t="shared" si="50"/>
        <v>47.180555555555557</v>
      </c>
      <c r="CW105" s="1">
        <f t="shared" si="50"/>
        <v>47.68611111111111</v>
      </c>
      <c r="CX105" s="1">
        <f t="shared" si="50"/>
        <v>48.194444444444443</v>
      </c>
      <c r="CY105" s="1">
        <f t="shared" si="50"/>
        <v>48.7</v>
      </c>
      <c r="CZ105" s="1">
        <f t="shared" si="50"/>
        <v>49.208333333333336</v>
      </c>
      <c r="DA105" s="1">
        <f t="shared" si="50"/>
        <v>49.716666666666669</v>
      </c>
      <c r="DB105" s="1">
        <f t="shared" si="50"/>
        <v>50.225000000000001</v>
      </c>
      <c r="DC105" s="1">
        <f t="shared" si="50"/>
        <v>50.225000000000001</v>
      </c>
    </row>
    <row r="106" spans="1:107" x14ac:dyDescent="0.25">
      <c r="A106">
        <f t="shared" si="38"/>
        <v>3</v>
      </c>
      <c r="B106" s="2">
        <f>yields_BRUTE!B106</f>
        <v>42157</v>
      </c>
      <c r="C106" s="1">
        <f t="shared" si="55"/>
        <v>-0.25833333333333336</v>
      </c>
      <c r="D106" s="1">
        <f t="shared" si="55"/>
        <v>-0.21944444444444444</v>
      </c>
      <c r="E106" s="1">
        <f t="shared" si="55"/>
        <v>-2.7777777777777779E-3</v>
      </c>
      <c r="F106" s="1">
        <f t="shared" si="55"/>
        <v>0.25277777777777777</v>
      </c>
      <c r="G106" s="1">
        <f t="shared" si="55"/>
        <v>0.29166666666666669</v>
      </c>
      <c r="H106" s="1">
        <f t="shared" si="55"/>
        <v>0.50555555555555554</v>
      </c>
      <c r="I106" s="1">
        <f t="shared" si="55"/>
        <v>0.50555555555555554</v>
      </c>
      <c r="J106" s="1">
        <f t="shared" si="55"/>
        <v>0.7583333333333333</v>
      </c>
      <c r="K106" s="1">
        <f t="shared" si="55"/>
        <v>0.79722222222222228</v>
      </c>
      <c r="L106" s="1">
        <f t="shared" si="55"/>
        <v>1.0138888888888888</v>
      </c>
      <c r="M106" s="1">
        <f t="shared" si="55"/>
        <v>1.2694444444444444</v>
      </c>
      <c r="N106" s="1">
        <f t="shared" si="55"/>
        <v>1.2694444444444444</v>
      </c>
      <c r="O106" s="1">
        <f t="shared" si="55"/>
        <v>1.3083333333333333</v>
      </c>
      <c r="P106" s="1">
        <f t="shared" si="55"/>
        <v>1.5222222222222221</v>
      </c>
      <c r="Q106" s="1">
        <f t="shared" si="55"/>
        <v>1.8111111111111111</v>
      </c>
      <c r="R106" s="1">
        <f t="shared" si="52"/>
        <v>2.0277777777777777</v>
      </c>
      <c r="S106" s="1">
        <f t="shared" si="52"/>
        <v>2.3222222222222224</v>
      </c>
      <c r="T106" s="1">
        <f t="shared" si="52"/>
        <v>2.536111111111111</v>
      </c>
      <c r="U106" s="1">
        <f t="shared" si="52"/>
        <v>2.8250000000000002</v>
      </c>
      <c r="V106" s="1">
        <f t="shared" si="52"/>
        <v>3.0416666666666665</v>
      </c>
      <c r="W106" s="1">
        <f t="shared" si="52"/>
        <v>3.3361111111111112</v>
      </c>
      <c r="X106" s="1">
        <f t="shared" si="52"/>
        <v>3.55</v>
      </c>
      <c r="Y106" s="1">
        <f t="shared" si="52"/>
        <v>3.838888888888889</v>
      </c>
      <c r="Z106" s="1">
        <f t="shared" si="52"/>
        <v>4.0555555555555554</v>
      </c>
      <c r="AA106" s="1">
        <f t="shared" si="52"/>
        <v>4.3499999999999996</v>
      </c>
      <c r="AB106" s="1">
        <f t="shared" si="52"/>
        <v>4.5638888888888891</v>
      </c>
      <c r="AC106" s="1">
        <f t="shared" si="52"/>
        <v>4.8555555555555552</v>
      </c>
      <c r="AD106" s="1">
        <f t="shared" si="52"/>
        <v>5.072222222222222</v>
      </c>
      <c r="AE106" s="1">
        <f t="shared" si="52"/>
        <v>5.072222222222222</v>
      </c>
      <c r="AF106" s="3">
        <f t="shared" si="52"/>
        <v>5.3666666666666663</v>
      </c>
      <c r="AG106" s="1">
        <f t="shared" si="52"/>
        <v>5.5805555555555557</v>
      </c>
      <c r="AH106" s="1">
        <f t="shared" si="53"/>
        <v>5.8694444444444445</v>
      </c>
      <c r="AI106" s="1">
        <f t="shared" si="51"/>
        <v>5.8694444444444445</v>
      </c>
      <c r="AJ106" s="1">
        <f t="shared" si="51"/>
        <v>6.0861111111111112</v>
      </c>
      <c r="AK106" s="1">
        <f t="shared" si="51"/>
        <v>6.0861111111111112</v>
      </c>
      <c r="AL106" s="1">
        <f t="shared" si="51"/>
        <v>6.5944444444444441</v>
      </c>
      <c r="AM106" s="1">
        <f t="shared" si="51"/>
        <v>7.1</v>
      </c>
      <c r="AN106" s="1">
        <f t="shared" si="51"/>
        <v>7.1</v>
      </c>
      <c r="AO106" s="1">
        <f t="shared" si="51"/>
        <v>7.6083333333333334</v>
      </c>
      <c r="AP106" s="1">
        <f t="shared" si="51"/>
        <v>8.1138888888888889</v>
      </c>
      <c r="AQ106" s="1">
        <f t="shared" si="51"/>
        <v>8.1138888888888889</v>
      </c>
      <c r="AR106" s="1">
        <f t="shared" si="51"/>
        <v>8.6222222222222218</v>
      </c>
      <c r="AS106" s="1">
        <f t="shared" si="51"/>
        <v>9.1305555555555564</v>
      </c>
      <c r="AT106" s="1">
        <f t="shared" si="51"/>
        <v>9.6388888888888893</v>
      </c>
      <c r="AU106" s="1">
        <f t="shared" si="51"/>
        <v>10.144444444444444</v>
      </c>
      <c r="AV106" s="1">
        <f t="shared" si="51"/>
        <v>10.144444444444444</v>
      </c>
      <c r="AW106" s="1">
        <f t="shared" si="51"/>
        <v>14.71111111111111</v>
      </c>
      <c r="AX106" s="1">
        <f t="shared" si="51"/>
        <v>15.216666666666667</v>
      </c>
      <c r="AY106" s="1">
        <f t="shared" si="54"/>
        <v>15.725</v>
      </c>
      <c r="AZ106" s="1">
        <f t="shared" si="54"/>
        <v>16.230555555555554</v>
      </c>
      <c r="BA106" s="1">
        <f t="shared" si="54"/>
        <v>16.738888888888887</v>
      </c>
      <c r="BB106" s="1">
        <f t="shared" si="54"/>
        <v>17.247222222222224</v>
      </c>
      <c r="BC106" s="1">
        <f t="shared" si="54"/>
        <v>17.755555555555556</v>
      </c>
      <c r="BD106" s="1">
        <f t="shared" si="54"/>
        <v>18.261111111111113</v>
      </c>
      <c r="BE106" s="1">
        <f t="shared" si="54"/>
        <v>18.261111111111113</v>
      </c>
      <c r="BF106" s="1">
        <f t="shared" si="54"/>
        <v>26.886111111111113</v>
      </c>
      <c r="BG106" s="1">
        <f t="shared" si="54"/>
        <v>27.391666666666666</v>
      </c>
      <c r="BH106" s="1">
        <f t="shared" si="54"/>
        <v>27.9</v>
      </c>
      <c r="BI106" s="1">
        <f t="shared" si="54"/>
        <v>28.405555555555555</v>
      </c>
      <c r="BJ106" s="1">
        <f t="shared" si="54"/>
        <v>28.913888888888888</v>
      </c>
      <c r="BK106" s="1">
        <f t="shared" si="54"/>
        <v>29.422222222222221</v>
      </c>
      <c r="BL106" s="1">
        <f t="shared" si="54"/>
        <v>29.930555555555557</v>
      </c>
      <c r="BM106" s="1">
        <f t="shared" si="48"/>
        <v>30.43611111111111</v>
      </c>
      <c r="BN106" s="1">
        <f t="shared" si="48"/>
        <v>30.944444444444443</v>
      </c>
      <c r="BO106" s="1">
        <f t="shared" si="48"/>
        <v>30.944444444444443</v>
      </c>
      <c r="BP106" s="1">
        <f t="shared" si="48"/>
        <v>31.45</v>
      </c>
      <c r="BQ106" s="1">
        <f t="shared" si="48"/>
        <v>31.958333333333332</v>
      </c>
      <c r="BR106" s="1">
        <f t="shared" si="48"/>
        <v>32.463888888888889</v>
      </c>
      <c r="BS106" s="1">
        <f t="shared" si="48"/>
        <v>32.972222222222221</v>
      </c>
      <c r="BT106" s="1">
        <f t="shared" si="48"/>
        <v>33.480555555555554</v>
      </c>
      <c r="BU106" s="1">
        <f t="shared" si="48"/>
        <v>33.988888888888887</v>
      </c>
      <c r="BV106" s="1">
        <f t="shared" si="48"/>
        <v>33.988888888888887</v>
      </c>
      <c r="BW106" s="1">
        <f t="shared" si="48"/>
        <v>34.494444444444447</v>
      </c>
      <c r="BX106" s="1">
        <f t="shared" si="48"/>
        <v>35.00277777777778</v>
      </c>
      <c r="BY106" s="1">
        <f t="shared" si="48"/>
        <v>35.508333333333333</v>
      </c>
      <c r="BZ106" s="1">
        <f t="shared" si="48"/>
        <v>36.016666666666666</v>
      </c>
      <c r="CA106" s="1">
        <f t="shared" si="48"/>
        <v>36.522222222222226</v>
      </c>
      <c r="CB106" s="1">
        <f t="shared" si="48"/>
        <v>37.030555555555559</v>
      </c>
      <c r="CC106" s="1">
        <f t="shared" si="49"/>
        <v>37.538888888888891</v>
      </c>
      <c r="CD106" s="1">
        <f t="shared" si="49"/>
        <v>38.047222222222224</v>
      </c>
      <c r="CE106" s="1">
        <f t="shared" si="49"/>
        <v>38.552777777777777</v>
      </c>
      <c r="CF106" s="1">
        <f t="shared" si="49"/>
        <v>39.06111111111111</v>
      </c>
      <c r="CG106" s="1">
        <f t="shared" si="49"/>
        <v>39.56666666666667</v>
      </c>
      <c r="CH106" s="1">
        <f t="shared" si="49"/>
        <v>40.075000000000003</v>
      </c>
      <c r="CI106" s="1">
        <f t="shared" si="49"/>
        <v>40.580555555555556</v>
      </c>
      <c r="CJ106" s="1">
        <f t="shared" si="49"/>
        <v>41.088888888888889</v>
      </c>
      <c r="CK106" s="1">
        <f t="shared" si="49"/>
        <v>41.597222222222221</v>
      </c>
      <c r="CL106" s="1">
        <f t="shared" si="49"/>
        <v>42.105555555555554</v>
      </c>
      <c r="CM106" s="1">
        <f t="shared" si="49"/>
        <v>42.611111111111114</v>
      </c>
      <c r="CN106" s="1">
        <f t="shared" si="49"/>
        <v>43.119444444444447</v>
      </c>
      <c r="CO106" s="1">
        <f t="shared" si="49"/>
        <v>43.625</v>
      </c>
      <c r="CP106" s="1">
        <f t="shared" si="49"/>
        <v>44.133333333333333</v>
      </c>
      <c r="CQ106" s="1">
        <f t="shared" si="49"/>
        <v>44.638888888888886</v>
      </c>
      <c r="CR106" s="1">
        <f t="shared" si="49"/>
        <v>45.147222222222226</v>
      </c>
      <c r="CS106" s="1">
        <f t="shared" si="50"/>
        <v>45.655555555555559</v>
      </c>
      <c r="CT106" s="1">
        <f t="shared" si="50"/>
        <v>46.163888888888891</v>
      </c>
      <c r="CU106" s="1">
        <f t="shared" si="50"/>
        <v>46.669444444444444</v>
      </c>
      <c r="CV106" s="1">
        <f t="shared" si="50"/>
        <v>47.177777777777777</v>
      </c>
      <c r="CW106" s="1">
        <f t="shared" si="50"/>
        <v>47.68333333333333</v>
      </c>
      <c r="CX106" s="1">
        <f t="shared" si="50"/>
        <v>48.19166666666667</v>
      </c>
      <c r="CY106" s="1">
        <f t="shared" si="50"/>
        <v>48.697222222222223</v>
      </c>
      <c r="CZ106" s="1">
        <f t="shared" si="50"/>
        <v>49.205555555555556</v>
      </c>
      <c r="DA106" s="1">
        <f t="shared" si="50"/>
        <v>49.713888888888889</v>
      </c>
      <c r="DB106" s="1">
        <f t="shared" si="50"/>
        <v>50.222222222222221</v>
      </c>
      <c r="DC106" s="1">
        <f t="shared" si="50"/>
        <v>50.222222222222221</v>
      </c>
    </row>
    <row r="107" spans="1:107" x14ac:dyDescent="0.25">
      <c r="A107">
        <f t="shared" si="38"/>
        <v>4</v>
      </c>
      <c r="B107" s="2">
        <f>yields_BRUTE!B107</f>
        <v>42158</v>
      </c>
      <c r="C107" s="1">
        <f t="shared" si="55"/>
        <v>-0.26111111111111113</v>
      </c>
      <c r="D107" s="1">
        <f t="shared" si="55"/>
        <v>-0.22222222222222221</v>
      </c>
      <c r="E107" s="1">
        <f t="shared" si="55"/>
        <v>-5.5555555555555558E-3</v>
      </c>
      <c r="F107" s="1">
        <f t="shared" si="55"/>
        <v>0.25</v>
      </c>
      <c r="G107" s="1">
        <f t="shared" si="55"/>
        <v>0.28888888888888886</v>
      </c>
      <c r="H107" s="1">
        <f t="shared" si="55"/>
        <v>0.50277777777777777</v>
      </c>
      <c r="I107" s="1">
        <f t="shared" si="55"/>
        <v>0.50277777777777777</v>
      </c>
      <c r="J107" s="1">
        <f t="shared" si="55"/>
        <v>0.75555555555555554</v>
      </c>
      <c r="K107" s="1">
        <f t="shared" si="55"/>
        <v>0.7944444444444444</v>
      </c>
      <c r="L107" s="1">
        <f t="shared" si="55"/>
        <v>1.0111111111111111</v>
      </c>
      <c r="M107" s="1">
        <f t="shared" si="55"/>
        <v>1.2666666666666666</v>
      </c>
      <c r="N107" s="1">
        <f t="shared" si="55"/>
        <v>1.2666666666666666</v>
      </c>
      <c r="O107" s="1">
        <f t="shared" si="55"/>
        <v>1.3055555555555556</v>
      </c>
      <c r="P107" s="1">
        <f t="shared" si="55"/>
        <v>1.5194444444444444</v>
      </c>
      <c r="Q107" s="1">
        <f t="shared" si="55"/>
        <v>1.8083333333333333</v>
      </c>
      <c r="R107" s="1">
        <f t="shared" si="52"/>
        <v>2.0249999999999999</v>
      </c>
      <c r="S107" s="1">
        <f t="shared" si="52"/>
        <v>2.3194444444444446</v>
      </c>
      <c r="T107" s="1">
        <f t="shared" si="52"/>
        <v>2.5333333333333332</v>
      </c>
      <c r="U107" s="1">
        <f t="shared" si="52"/>
        <v>2.8222222222222224</v>
      </c>
      <c r="V107" s="1">
        <f t="shared" si="52"/>
        <v>3.0388888888888888</v>
      </c>
      <c r="W107" s="1">
        <f t="shared" si="52"/>
        <v>3.3333333333333335</v>
      </c>
      <c r="X107" s="1">
        <f t="shared" si="52"/>
        <v>3.5472222222222221</v>
      </c>
      <c r="Y107" s="1">
        <f t="shared" si="52"/>
        <v>3.8361111111111112</v>
      </c>
      <c r="Z107" s="1">
        <f t="shared" si="52"/>
        <v>4.052777777777778</v>
      </c>
      <c r="AA107" s="1">
        <f t="shared" si="52"/>
        <v>4.3472222222222223</v>
      </c>
      <c r="AB107" s="1">
        <f t="shared" si="52"/>
        <v>4.5611111111111109</v>
      </c>
      <c r="AC107" s="1">
        <f t="shared" si="52"/>
        <v>4.8527777777777779</v>
      </c>
      <c r="AD107" s="1">
        <f t="shared" si="52"/>
        <v>5.0694444444444446</v>
      </c>
      <c r="AE107" s="1">
        <f t="shared" si="52"/>
        <v>5.0694444444444446</v>
      </c>
      <c r="AF107" s="3">
        <f t="shared" si="52"/>
        <v>5.3638888888888889</v>
      </c>
      <c r="AG107" s="1">
        <f t="shared" si="52"/>
        <v>5.5777777777777775</v>
      </c>
      <c r="AH107" s="1">
        <f t="shared" si="53"/>
        <v>5.8666666666666663</v>
      </c>
      <c r="AI107" s="1">
        <f t="shared" si="51"/>
        <v>5.8666666666666663</v>
      </c>
      <c r="AJ107" s="1">
        <f t="shared" si="51"/>
        <v>6.083333333333333</v>
      </c>
      <c r="AK107" s="1">
        <f t="shared" si="51"/>
        <v>6.083333333333333</v>
      </c>
      <c r="AL107" s="1">
        <f t="shared" si="51"/>
        <v>6.5916666666666668</v>
      </c>
      <c r="AM107" s="1">
        <f t="shared" si="51"/>
        <v>7.0972222222222223</v>
      </c>
      <c r="AN107" s="1">
        <f t="shared" si="51"/>
        <v>7.0972222222222223</v>
      </c>
      <c r="AO107" s="1">
        <f t="shared" si="51"/>
        <v>7.6055555555555552</v>
      </c>
      <c r="AP107" s="1">
        <f t="shared" si="51"/>
        <v>8.1111111111111107</v>
      </c>
      <c r="AQ107" s="1">
        <f t="shared" si="51"/>
        <v>8.1111111111111107</v>
      </c>
      <c r="AR107" s="1">
        <f t="shared" si="51"/>
        <v>8.6194444444444436</v>
      </c>
      <c r="AS107" s="1">
        <f t="shared" si="51"/>
        <v>9.1277777777777782</v>
      </c>
      <c r="AT107" s="1">
        <f t="shared" si="51"/>
        <v>9.6361111111111111</v>
      </c>
      <c r="AU107" s="1">
        <f t="shared" si="51"/>
        <v>10.141666666666667</v>
      </c>
      <c r="AV107" s="1">
        <f t="shared" si="51"/>
        <v>10.141666666666667</v>
      </c>
      <c r="AW107" s="1">
        <f t="shared" si="51"/>
        <v>14.708333333333334</v>
      </c>
      <c r="AX107" s="1">
        <f t="shared" si="51"/>
        <v>15.213888888888889</v>
      </c>
      <c r="AY107" s="1">
        <f t="shared" si="54"/>
        <v>15.722222222222221</v>
      </c>
      <c r="AZ107" s="1">
        <f t="shared" si="54"/>
        <v>16.227777777777778</v>
      </c>
      <c r="BA107" s="1">
        <f t="shared" si="54"/>
        <v>16.736111111111111</v>
      </c>
      <c r="BB107" s="1">
        <f t="shared" si="54"/>
        <v>17.244444444444444</v>
      </c>
      <c r="BC107" s="1">
        <f t="shared" si="54"/>
        <v>17.752777777777776</v>
      </c>
      <c r="BD107" s="1">
        <f t="shared" si="54"/>
        <v>18.258333333333333</v>
      </c>
      <c r="BE107" s="1">
        <f t="shared" si="54"/>
        <v>18.258333333333333</v>
      </c>
      <c r="BF107" s="1">
        <f t="shared" si="54"/>
        <v>26.883333333333333</v>
      </c>
      <c r="BG107" s="1">
        <f t="shared" si="54"/>
        <v>27.388888888888889</v>
      </c>
      <c r="BH107" s="1">
        <f t="shared" si="54"/>
        <v>27.897222222222222</v>
      </c>
      <c r="BI107" s="1">
        <f t="shared" si="54"/>
        <v>28.402777777777779</v>
      </c>
      <c r="BJ107" s="1">
        <f t="shared" si="54"/>
        <v>28.911111111111111</v>
      </c>
      <c r="BK107" s="1">
        <f t="shared" si="54"/>
        <v>29.419444444444444</v>
      </c>
      <c r="BL107" s="1">
        <f t="shared" si="54"/>
        <v>29.927777777777777</v>
      </c>
      <c r="BM107" s="1">
        <f t="shared" si="48"/>
        <v>30.433333333333334</v>
      </c>
      <c r="BN107" s="1">
        <f t="shared" si="48"/>
        <v>30.941666666666666</v>
      </c>
      <c r="BO107" s="1">
        <f t="shared" si="48"/>
        <v>30.941666666666666</v>
      </c>
      <c r="BP107" s="1">
        <f t="shared" si="48"/>
        <v>31.447222222222223</v>
      </c>
      <c r="BQ107" s="1">
        <f t="shared" si="48"/>
        <v>31.955555555555556</v>
      </c>
      <c r="BR107" s="1">
        <f t="shared" si="48"/>
        <v>32.461111111111109</v>
      </c>
      <c r="BS107" s="1">
        <f t="shared" si="48"/>
        <v>32.969444444444441</v>
      </c>
      <c r="BT107" s="1">
        <f t="shared" si="48"/>
        <v>33.477777777777774</v>
      </c>
      <c r="BU107" s="1">
        <f t="shared" si="48"/>
        <v>33.986111111111114</v>
      </c>
      <c r="BV107" s="1">
        <f t="shared" si="48"/>
        <v>33.986111111111114</v>
      </c>
      <c r="BW107" s="1">
        <f t="shared" si="48"/>
        <v>34.491666666666667</v>
      </c>
      <c r="BX107" s="1">
        <f t="shared" si="48"/>
        <v>35</v>
      </c>
      <c r="BY107" s="1">
        <f t="shared" si="48"/>
        <v>35.505555555555553</v>
      </c>
      <c r="BZ107" s="1">
        <f t="shared" si="48"/>
        <v>36.013888888888886</v>
      </c>
      <c r="CA107" s="1">
        <f t="shared" si="48"/>
        <v>36.519444444444446</v>
      </c>
      <c r="CB107" s="1">
        <f t="shared" si="48"/>
        <v>37.027777777777779</v>
      </c>
      <c r="CC107" s="1">
        <f t="shared" si="49"/>
        <v>37.536111111111111</v>
      </c>
      <c r="CD107" s="1">
        <f t="shared" si="49"/>
        <v>38.044444444444444</v>
      </c>
      <c r="CE107" s="1">
        <f t="shared" si="49"/>
        <v>38.549999999999997</v>
      </c>
      <c r="CF107" s="1">
        <f t="shared" si="49"/>
        <v>39.05833333333333</v>
      </c>
      <c r="CG107" s="1">
        <f t="shared" si="49"/>
        <v>39.56388888888889</v>
      </c>
      <c r="CH107" s="1">
        <f t="shared" si="49"/>
        <v>40.072222222222223</v>
      </c>
      <c r="CI107" s="1">
        <f t="shared" si="49"/>
        <v>40.577777777777776</v>
      </c>
      <c r="CJ107" s="1">
        <f t="shared" si="49"/>
        <v>41.086111111111109</v>
      </c>
      <c r="CK107" s="1">
        <f t="shared" si="49"/>
        <v>41.594444444444441</v>
      </c>
      <c r="CL107" s="1">
        <f t="shared" si="49"/>
        <v>42.102777777777774</v>
      </c>
      <c r="CM107" s="1">
        <f t="shared" si="49"/>
        <v>42.608333333333334</v>
      </c>
      <c r="CN107" s="1">
        <f t="shared" si="49"/>
        <v>43.116666666666667</v>
      </c>
      <c r="CO107" s="1">
        <f t="shared" si="49"/>
        <v>43.62222222222222</v>
      </c>
      <c r="CP107" s="1">
        <f t="shared" si="49"/>
        <v>44.130555555555553</v>
      </c>
      <c r="CQ107" s="1">
        <f t="shared" si="49"/>
        <v>44.636111111111113</v>
      </c>
      <c r="CR107" s="1">
        <f t="shared" si="49"/>
        <v>45.144444444444446</v>
      </c>
      <c r="CS107" s="1">
        <f t="shared" si="50"/>
        <v>45.652777777777779</v>
      </c>
      <c r="CT107" s="1">
        <f t="shared" si="50"/>
        <v>46.161111111111111</v>
      </c>
      <c r="CU107" s="1">
        <f t="shared" si="50"/>
        <v>46.666666666666664</v>
      </c>
      <c r="CV107" s="1">
        <f t="shared" si="50"/>
        <v>47.174999999999997</v>
      </c>
      <c r="CW107" s="1">
        <f t="shared" si="50"/>
        <v>47.680555555555557</v>
      </c>
      <c r="CX107" s="1">
        <f t="shared" si="50"/>
        <v>48.18888888888889</v>
      </c>
      <c r="CY107" s="1">
        <f t="shared" si="50"/>
        <v>48.694444444444443</v>
      </c>
      <c r="CZ107" s="1">
        <f t="shared" si="50"/>
        <v>49.202777777777776</v>
      </c>
      <c r="DA107" s="1">
        <f t="shared" si="50"/>
        <v>49.711111111111109</v>
      </c>
      <c r="DB107" s="1">
        <f t="shared" si="50"/>
        <v>50.219444444444441</v>
      </c>
      <c r="DC107" s="1">
        <f t="shared" si="50"/>
        <v>50.219444444444441</v>
      </c>
    </row>
    <row r="108" spans="1:107" x14ac:dyDescent="0.25">
      <c r="A108">
        <f t="shared" si="38"/>
        <v>5</v>
      </c>
      <c r="B108" s="2">
        <f>yields_BRUTE!B108</f>
        <v>42159</v>
      </c>
      <c r="C108" s="1">
        <f t="shared" si="55"/>
        <v>-0.2638888888888889</v>
      </c>
      <c r="D108" s="1">
        <f t="shared" si="55"/>
        <v>-0.22500000000000001</v>
      </c>
      <c r="E108" s="1">
        <f t="shared" si="55"/>
        <v>-8.3333333333333332E-3</v>
      </c>
      <c r="F108" s="1">
        <f t="shared" si="55"/>
        <v>0.24722222222222223</v>
      </c>
      <c r="G108" s="1">
        <f t="shared" si="55"/>
        <v>0.28611111111111109</v>
      </c>
      <c r="H108" s="1">
        <f t="shared" si="55"/>
        <v>0.5</v>
      </c>
      <c r="I108" s="1">
        <f t="shared" si="55"/>
        <v>0.5</v>
      </c>
      <c r="J108" s="1">
        <f t="shared" si="55"/>
        <v>0.75277777777777777</v>
      </c>
      <c r="K108" s="1">
        <f t="shared" si="55"/>
        <v>0.79166666666666663</v>
      </c>
      <c r="L108" s="1">
        <f t="shared" si="55"/>
        <v>1.0083333333333333</v>
      </c>
      <c r="M108" s="1">
        <f t="shared" si="55"/>
        <v>1.2638888888888888</v>
      </c>
      <c r="N108" s="1">
        <f t="shared" si="55"/>
        <v>1.2638888888888888</v>
      </c>
      <c r="O108" s="1">
        <f t="shared" si="55"/>
        <v>1.3027777777777778</v>
      </c>
      <c r="P108" s="1">
        <f t="shared" si="55"/>
        <v>1.5166666666666666</v>
      </c>
      <c r="Q108" s="1">
        <f t="shared" si="55"/>
        <v>1.8055555555555556</v>
      </c>
      <c r="R108" s="1">
        <f t="shared" si="52"/>
        <v>2.0222222222222221</v>
      </c>
      <c r="S108" s="1">
        <f t="shared" si="52"/>
        <v>2.3166666666666669</v>
      </c>
      <c r="T108" s="1">
        <f t="shared" si="52"/>
        <v>2.5305555555555554</v>
      </c>
      <c r="U108" s="1">
        <f t="shared" si="52"/>
        <v>2.8194444444444446</v>
      </c>
      <c r="V108" s="1">
        <f t="shared" si="52"/>
        <v>3.036111111111111</v>
      </c>
      <c r="W108" s="1">
        <f t="shared" si="52"/>
        <v>3.3305555555555557</v>
      </c>
      <c r="X108" s="1">
        <f t="shared" si="52"/>
        <v>3.5444444444444443</v>
      </c>
      <c r="Y108" s="1">
        <f t="shared" si="52"/>
        <v>3.8333333333333335</v>
      </c>
      <c r="Z108" s="1">
        <f t="shared" si="52"/>
        <v>4.05</v>
      </c>
      <c r="AA108" s="1">
        <f t="shared" si="52"/>
        <v>4.3444444444444441</v>
      </c>
      <c r="AB108" s="1">
        <f t="shared" si="52"/>
        <v>4.5583333333333336</v>
      </c>
      <c r="AC108" s="1">
        <f t="shared" si="52"/>
        <v>4.8499999999999996</v>
      </c>
      <c r="AD108" s="1">
        <f t="shared" si="52"/>
        <v>5.0666666666666664</v>
      </c>
      <c r="AE108" s="1">
        <f t="shared" si="52"/>
        <v>5.0666666666666664</v>
      </c>
      <c r="AF108" s="3">
        <f t="shared" si="52"/>
        <v>5.3611111111111107</v>
      </c>
      <c r="AG108" s="1">
        <f t="shared" si="52"/>
        <v>5.5750000000000002</v>
      </c>
      <c r="AH108" s="1">
        <f t="shared" si="53"/>
        <v>5.8638888888888889</v>
      </c>
      <c r="AI108" s="1">
        <f t="shared" si="51"/>
        <v>5.8638888888888889</v>
      </c>
      <c r="AJ108" s="1">
        <f t="shared" si="51"/>
        <v>6.0805555555555557</v>
      </c>
      <c r="AK108" s="1">
        <f t="shared" si="51"/>
        <v>6.0805555555555557</v>
      </c>
      <c r="AL108" s="1">
        <f t="shared" si="51"/>
        <v>6.5888888888888886</v>
      </c>
      <c r="AM108" s="1">
        <f t="shared" si="51"/>
        <v>7.0944444444444441</v>
      </c>
      <c r="AN108" s="1">
        <f t="shared" si="51"/>
        <v>7.0944444444444441</v>
      </c>
      <c r="AO108" s="1">
        <f t="shared" si="51"/>
        <v>7.6027777777777779</v>
      </c>
      <c r="AP108" s="1">
        <f t="shared" si="51"/>
        <v>8.1083333333333325</v>
      </c>
      <c r="AQ108" s="1">
        <f t="shared" si="51"/>
        <v>8.1083333333333325</v>
      </c>
      <c r="AR108" s="1">
        <f t="shared" si="51"/>
        <v>8.6166666666666671</v>
      </c>
      <c r="AS108" s="1">
        <f t="shared" si="51"/>
        <v>9.125</v>
      </c>
      <c r="AT108" s="1">
        <f t="shared" si="51"/>
        <v>9.6333333333333329</v>
      </c>
      <c r="AU108" s="1">
        <f t="shared" si="51"/>
        <v>10.138888888888889</v>
      </c>
      <c r="AV108" s="1">
        <f t="shared" si="51"/>
        <v>10.138888888888889</v>
      </c>
      <c r="AW108" s="1">
        <f t="shared" si="51"/>
        <v>14.705555555555556</v>
      </c>
      <c r="AX108" s="1">
        <f t="shared" si="51"/>
        <v>15.21111111111111</v>
      </c>
      <c r="AY108" s="1">
        <f t="shared" si="54"/>
        <v>15.719444444444445</v>
      </c>
      <c r="AZ108" s="1">
        <f t="shared" si="54"/>
        <v>16.225000000000001</v>
      </c>
      <c r="BA108" s="1">
        <f t="shared" si="54"/>
        <v>16.733333333333334</v>
      </c>
      <c r="BB108" s="1">
        <f t="shared" si="54"/>
        <v>17.241666666666667</v>
      </c>
      <c r="BC108" s="1">
        <f t="shared" si="54"/>
        <v>17.75</v>
      </c>
      <c r="BD108" s="1">
        <f t="shared" si="54"/>
        <v>18.255555555555556</v>
      </c>
      <c r="BE108" s="1">
        <f t="shared" si="54"/>
        <v>18.255555555555556</v>
      </c>
      <c r="BF108" s="1">
        <f t="shared" si="54"/>
        <v>26.880555555555556</v>
      </c>
      <c r="BG108" s="1">
        <f t="shared" si="54"/>
        <v>27.386111111111113</v>
      </c>
      <c r="BH108" s="1">
        <f t="shared" si="54"/>
        <v>27.894444444444446</v>
      </c>
      <c r="BI108" s="1">
        <f t="shared" si="54"/>
        <v>28.4</v>
      </c>
      <c r="BJ108" s="1">
        <f t="shared" si="54"/>
        <v>28.908333333333335</v>
      </c>
      <c r="BK108" s="1">
        <f t="shared" si="54"/>
        <v>29.416666666666668</v>
      </c>
      <c r="BL108" s="1">
        <f t="shared" si="54"/>
        <v>29.925000000000001</v>
      </c>
      <c r="BM108" s="1">
        <f t="shared" si="48"/>
        <v>30.430555555555557</v>
      </c>
      <c r="BN108" s="1">
        <f t="shared" si="48"/>
        <v>30.93888888888889</v>
      </c>
      <c r="BO108" s="1">
        <f t="shared" si="48"/>
        <v>30.93888888888889</v>
      </c>
      <c r="BP108" s="1">
        <f t="shared" si="48"/>
        <v>31.444444444444443</v>
      </c>
      <c r="BQ108" s="1">
        <f t="shared" si="48"/>
        <v>31.952777777777779</v>
      </c>
      <c r="BR108" s="1">
        <f t="shared" si="48"/>
        <v>32.458333333333336</v>
      </c>
      <c r="BS108" s="1">
        <f t="shared" si="48"/>
        <v>32.966666666666669</v>
      </c>
      <c r="BT108" s="1">
        <f t="shared" si="48"/>
        <v>33.475000000000001</v>
      </c>
      <c r="BU108" s="1">
        <f t="shared" si="48"/>
        <v>33.983333333333334</v>
      </c>
      <c r="BV108" s="1">
        <f t="shared" si="48"/>
        <v>33.983333333333334</v>
      </c>
      <c r="BW108" s="1">
        <f t="shared" si="48"/>
        <v>34.488888888888887</v>
      </c>
      <c r="BX108" s="1">
        <f t="shared" si="48"/>
        <v>34.99722222222222</v>
      </c>
      <c r="BY108" s="1">
        <f t="shared" si="48"/>
        <v>35.50277777777778</v>
      </c>
      <c r="BZ108" s="1">
        <f t="shared" si="48"/>
        <v>36.011111111111113</v>
      </c>
      <c r="CA108" s="1">
        <f t="shared" si="48"/>
        <v>36.516666666666666</v>
      </c>
      <c r="CB108" s="1">
        <f t="shared" si="48"/>
        <v>37.024999999999999</v>
      </c>
      <c r="CC108" s="1">
        <f t="shared" si="49"/>
        <v>37.533333333333331</v>
      </c>
      <c r="CD108" s="1">
        <f t="shared" si="49"/>
        <v>38.041666666666664</v>
      </c>
      <c r="CE108" s="1">
        <f t="shared" si="49"/>
        <v>38.547222222222224</v>
      </c>
      <c r="CF108" s="1">
        <f t="shared" si="49"/>
        <v>39.055555555555557</v>
      </c>
      <c r="CG108" s="1">
        <f t="shared" si="49"/>
        <v>39.56111111111111</v>
      </c>
      <c r="CH108" s="1">
        <f t="shared" si="49"/>
        <v>40.069444444444443</v>
      </c>
      <c r="CI108" s="1">
        <f t="shared" si="49"/>
        <v>40.575000000000003</v>
      </c>
      <c r="CJ108" s="1">
        <f t="shared" si="49"/>
        <v>41.083333333333336</v>
      </c>
      <c r="CK108" s="1">
        <f t="shared" si="49"/>
        <v>41.591666666666669</v>
      </c>
      <c r="CL108" s="1">
        <f t="shared" si="49"/>
        <v>42.1</v>
      </c>
      <c r="CM108" s="1">
        <f t="shared" si="49"/>
        <v>42.605555555555554</v>
      </c>
      <c r="CN108" s="1">
        <f t="shared" si="49"/>
        <v>43.113888888888887</v>
      </c>
      <c r="CO108" s="1">
        <f t="shared" si="49"/>
        <v>43.619444444444447</v>
      </c>
      <c r="CP108" s="1">
        <f t="shared" si="49"/>
        <v>44.12777777777778</v>
      </c>
      <c r="CQ108" s="1">
        <f t="shared" si="49"/>
        <v>44.633333333333333</v>
      </c>
      <c r="CR108" s="1">
        <f t="shared" si="49"/>
        <v>45.141666666666666</v>
      </c>
      <c r="CS108" s="1">
        <f t="shared" si="50"/>
        <v>45.65</v>
      </c>
      <c r="CT108" s="1">
        <f t="shared" si="50"/>
        <v>46.158333333333331</v>
      </c>
      <c r="CU108" s="1">
        <f t="shared" si="50"/>
        <v>46.663888888888891</v>
      </c>
      <c r="CV108" s="1">
        <f t="shared" si="50"/>
        <v>47.172222222222224</v>
      </c>
      <c r="CW108" s="1">
        <f t="shared" si="50"/>
        <v>47.677777777777777</v>
      </c>
      <c r="CX108" s="1">
        <f t="shared" si="50"/>
        <v>48.18611111111111</v>
      </c>
      <c r="CY108" s="1">
        <f t="shared" si="50"/>
        <v>48.69166666666667</v>
      </c>
      <c r="CZ108" s="1">
        <f t="shared" si="50"/>
        <v>49.2</v>
      </c>
      <c r="DA108" s="1">
        <f t="shared" si="50"/>
        <v>49.708333333333336</v>
      </c>
      <c r="DB108" s="1">
        <f t="shared" si="50"/>
        <v>50.216666666666669</v>
      </c>
      <c r="DC108" s="1">
        <f t="shared" si="50"/>
        <v>50.216666666666669</v>
      </c>
    </row>
    <row r="109" spans="1:107" x14ac:dyDescent="0.25">
      <c r="A109">
        <f t="shared" si="38"/>
        <v>6</v>
      </c>
      <c r="B109" s="2">
        <f>yields_BRUTE!B109</f>
        <v>42160</v>
      </c>
      <c r="C109" s="1">
        <f t="shared" si="55"/>
        <v>-0.26666666666666666</v>
      </c>
      <c r="D109" s="1">
        <f t="shared" si="55"/>
        <v>-0.22777777777777777</v>
      </c>
      <c r="E109" s="1">
        <f t="shared" si="55"/>
        <v>-1.1111111111111112E-2</v>
      </c>
      <c r="F109" s="1">
        <f t="shared" si="55"/>
        <v>0.24444444444444444</v>
      </c>
      <c r="G109" s="1">
        <f t="shared" si="55"/>
        <v>0.28333333333333333</v>
      </c>
      <c r="H109" s="1">
        <f t="shared" si="55"/>
        <v>0.49722222222222223</v>
      </c>
      <c r="I109" s="1">
        <f t="shared" si="55"/>
        <v>0.49722222222222223</v>
      </c>
      <c r="J109" s="1">
        <f t="shared" si="55"/>
        <v>0.75</v>
      </c>
      <c r="K109" s="1">
        <f t="shared" si="55"/>
        <v>0.78888888888888886</v>
      </c>
      <c r="L109" s="1">
        <f t="shared" si="55"/>
        <v>1.0055555555555555</v>
      </c>
      <c r="M109" s="1">
        <f t="shared" si="55"/>
        <v>1.2611111111111111</v>
      </c>
      <c r="N109" s="1">
        <f t="shared" si="55"/>
        <v>1.2611111111111111</v>
      </c>
      <c r="O109" s="1">
        <f t="shared" si="55"/>
        <v>1.3</v>
      </c>
      <c r="P109" s="1">
        <f t="shared" si="55"/>
        <v>1.5138888888888888</v>
      </c>
      <c r="Q109" s="1">
        <f t="shared" si="55"/>
        <v>1.8027777777777778</v>
      </c>
      <c r="R109" s="1">
        <f t="shared" si="52"/>
        <v>2.0194444444444444</v>
      </c>
      <c r="S109" s="1">
        <f t="shared" si="52"/>
        <v>2.3138888888888891</v>
      </c>
      <c r="T109" s="1">
        <f t="shared" si="52"/>
        <v>2.5277777777777777</v>
      </c>
      <c r="U109" s="1">
        <f t="shared" si="52"/>
        <v>2.8166666666666669</v>
      </c>
      <c r="V109" s="1">
        <f t="shared" si="52"/>
        <v>3.0333333333333332</v>
      </c>
      <c r="W109" s="1">
        <f t="shared" si="52"/>
        <v>3.3277777777777779</v>
      </c>
      <c r="X109" s="1">
        <f t="shared" si="52"/>
        <v>3.5416666666666665</v>
      </c>
      <c r="Y109" s="1">
        <f t="shared" si="52"/>
        <v>3.8305555555555557</v>
      </c>
      <c r="Z109" s="1">
        <f t="shared" si="52"/>
        <v>4.0472222222222225</v>
      </c>
      <c r="AA109" s="1">
        <f t="shared" si="52"/>
        <v>4.3416666666666668</v>
      </c>
      <c r="AB109" s="1">
        <f t="shared" si="52"/>
        <v>4.5555555555555554</v>
      </c>
      <c r="AC109" s="1">
        <f t="shared" si="52"/>
        <v>4.8472222222222223</v>
      </c>
      <c r="AD109" s="1">
        <f t="shared" si="52"/>
        <v>5.0638888888888891</v>
      </c>
      <c r="AE109" s="1">
        <f t="shared" si="52"/>
        <v>5.0638888888888891</v>
      </c>
      <c r="AF109" s="3">
        <f t="shared" si="52"/>
        <v>5.3583333333333334</v>
      </c>
      <c r="AG109" s="1">
        <f t="shared" si="52"/>
        <v>5.572222222222222</v>
      </c>
      <c r="AH109" s="1">
        <f t="shared" si="53"/>
        <v>5.8611111111111107</v>
      </c>
      <c r="AI109" s="1">
        <f t="shared" si="51"/>
        <v>5.8611111111111107</v>
      </c>
      <c r="AJ109" s="1">
        <f t="shared" si="51"/>
        <v>6.0777777777777775</v>
      </c>
      <c r="AK109" s="1">
        <f t="shared" si="51"/>
        <v>6.0777777777777775</v>
      </c>
      <c r="AL109" s="1">
        <f t="shared" si="51"/>
        <v>6.5861111111111112</v>
      </c>
      <c r="AM109" s="1">
        <f t="shared" si="51"/>
        <v>7.0916666666666668</v>
      </c>
      <c r="AN109" s="1">
        <f t="shared" si="51"/>
        <v>7.0916666666666668</v>
      </c>
      <c r="AO109" s="1">
        <f t="shared" si="51"/>
        <v>7.6</v>
      </c>
      <c r="AP109" s="1">
        <f t="shared" si="51"/>
        <v>8.1055555555555561</v>
      </c>
      <c r="AQ109" s="1">
        <f t="shared" si="51"/>
        <v>8.1055555555555561</v>
      </c>
      <c r="AR109" s="1">
        <f t="shared" si="51"/>
        <v>8.6138888888888889</v>
      </c>
      <c r="AS109" s="1">
        <f t="shared" si="51"/>
        <v>9.1222222222222218</v>
      </c>
      <c r="AT109" s="1">
        <f t="shared" si="51"/>
        <v>9.6305555555555564</v>
      </c>
      <c r="AU109" s="1">
        <f t="shared" si="51"/>
        <v>10.136111111111111</v>
      </c>
      <c r="AV109" s="1">
        <f t="shared" si="51"/>
        <v>10.136111111111111</v>
      </c>
      <c r="AW109" s="1">
        <f t="shared" si="51"/>
        <v>14.702777777777778</v>
      </c>
      <c r="AX109" s="1">
        <f t="shared" si="51"/>
        <v>15.208333333333334</v>
      </c>
      <c r="AY109" s="1">
        <f t="shared" si="54"/>
        <v>15.716666666666667</v>
      </c>
      <c r="AZ109" s="1">
        <f t="shared" si="54"/>
        <v>16.222222222222221</v>
      </c>
      <c r="BA109" s="1">
        <f t="shared" si="54"/>
        <v>16.730555555555554</v>
      </c>
      <c r="BB109" s="1">
        <f t="shared" si="54"/>
        <v>17.238888888888887</v>
      </c>
      <c r="BC109" s="1">
        <f t="shared" si="54"/>
        <v>17.747222222222224</v>
      </c>
      <c r="BD109" s="1">
        <f t="shared" si="54"/>
        <v>18.252777777777776</v>
      </c>
      <c r="BE109" s="1">
        <f t="shared" si="54"/>
        <v>18.252777777777776</v>
      </c>
      <c r="BF109" s="1">
        <f t="shared" si="54"/>
        <v>26.877777777777776</v>
      </c>
      <c r="BG109" s="1">
        <f t="shared" si="54"/>
        <v>27.383333333333333</v>
      </c>
      <c r="BH109" s="1">
        <f t="shared" si="54"/>
        <v>27.891666666666666</v>
      </c>
      <c r="BI109" s="1">
        <f t="shared" si="54"/>
        <v>28.397222222222222</v>
      </c>
      <c r="BJ109" s="1">
        <f t="shared" si="54"/>
        <v>28.905555555555555</v>
      </c>
      <c r="BK109" s="1">
        <f t="shared" si="54"/>
        <v>29.413888888888888</v>
      </c>
      <c r="BL109" s="1">
        <f t="shared" si="54"/>
        <v>29.922222222222221</v>
      </c>
      <c r="BM109" s="1">
        <f t="shared" si="48"/>
        <v>30.427777777777777</v>
      </c>
      <c r="BN109" s="1">
        <f t="shared" si="48"/>
        <v>30.93611111111111</v>
      </c>
      <c r="BO109" s="1">
        <f t="shared" si="48"/>
        <v>30.93611111111111</v>
      </c>
      <c r="BP109" s="1">
        <f t="shared" si="48"/>
        <v>31.441666666666666</v>
      </c>
      <c r="BQ109" s="1">
        <f t="shared" si="48"/>
        <v>31.95</v>
      </c>
      <c r="BR109" s="1">
        <f t="shared" si="48"/>
        <v>32.455555555555556</v>
      </c>
      <c r="BS109" s="1">
        <f t="shared" si="48"/>
        <v>32.963888888888889</v>
      </c>
      <c r="BT109" s="1">
        <f t="shared" si="48"/>
        <v>33.472222222222221</v>
      </c>
      <c r="BU109" s="1">
        <f t="shared" si="48"/>
        <v>33.980555555555554</v>
      </c>
      <c r="BV109" s="1">
        <f t="shared" si="48"/>
        <v>33.980555555555554</v>
      </c>
      <c r="BW109" s="1">
        <f t="shared" si="48"/>
        <v>34.486111111111114</v>
      </c>
      <c r="BX109" s="1">
        <f t="shared" si="48"/>
        <v>34.994444444444447</v>
      </c>
      <c r="BY109" s="1">
        <f t="shared" si="48"/>
        <v>35.5</v>
      </c>
      <c r="BZ109" s="1">
        <f t="shared" si="48"/>
        <v>36.008333333333333</v>
      </c>
      <c r="CA109" s="1">
        <f t="shared" si="48"/>
        <v>36.513888888888886</v>
      </c>
      <c r="CB109" s="1">
        <f t="shared" si="48"/>
        <v>37.022222222222226</v>
      </c>
      <c r="CC109" s="1">
        <f t="shared" si="49"/>
        <v>37.530555555555559</v>
      </c>
      <c r="CD109" s="1">
        <f t="shared" si="49"/>
        <v>38.038888888888891</v>
      </c>
      <c r="CE109" s="1">
        <f t="shared" si="49"/>
        <v>38.544444444444444</v>
      </c>
      <c r="CF109" s="1">
        <f t="shared" si="49"/>
        <v>39.052777777777777</v>
      </c>
      <c r="CG109" s="1">
        <f t="shared" si="49"/>
        <v>39.55833333333333</v>
      </c>
      <c r="CH109" s="1">
        <f t="shared" si="49"/>
        <v>40.06666666666667</v>
      </c>
      <c r="CI109" s="1">
        <f t="shared" si="49"/>
        <v>40.572222222222223</v>
      </c>
      <c r="CJ109" s="1">
        <f t="shared" si="49"/>
        <v>41.080555555555556</v>
      </c>
      <c r="CK109" s="1">
        <f t="shared" si="49"/>
        <v>41.588888888888889</v>
      </c>
      <c r="CL109" s="1">
        <f t="shared" si="49"/>
        <v>42.097222222222221</v>
      </c>
      <c r="CM109" s="1">
        <f t="shared" si="49"/>
        <v>42.602777777777774</v>
      </c>
      <c r="CN109" s="1">
        <f t="shared" si="49"/>
        <v>43.111111111111114</v>
      </c>
      <c r="CO109" s="1">
        <f t="shared" si="49"/>
        <v>43.616666666666667</v>
      </c>
      <c r="CP109" s="1">
        <f t="shared" si="49"/>
        <v>44.125</v>
      </c>
      <c r="CQ109" s="1">
        <f t="shared" si="49"/>
        <v>44.630555555555553</v>
      </c>
      <c r="CR109" s="1">
        <f t="shared" si="49"/>
        <v>45.138888888888886</v>
      </c>
      <c r="CS109" s="1">
        <f t="shared" si="50"/>
        <v>45.647222222222226</v>
      </c>
      <c r="CT109" s="1">
        <f t="shared" si="50"/>
        <v>46.155555555555559</v>
      </c>
      <c r="CU109" s="1">
        <f t="shared" si="50"/>
        <v>46.661111111111111</v>
      </c>
      <c r="CV109" s="1">
        <f t="shared" si="50"/>
        <v>47.169444444444444</v>
      </c>
      <c r="CW109" s="1">
        <f t="shared" si="50"/>
        <v>47.674999999999997</v>
      </c>
      <c r="CX109" s="1">
        <f t="shared" si="50"/>
        <v>48.18333333333333</v>
      </c>
      <c r="CY109" s="1">
        <f t="shared" si="50"/>
        <v>48.68888888888889</v>
      </c>
      <c r="CZ109" s="1">
        <f t="shared" si="50"/>
        <v>49.197222222222223</v>
      </c>
      <c r="DA109" s="1">
        <f t="shared" si="50"/>
        <v>49.705555555555556</v>
      </c>
      <c r="DB109" s="1">
        <f t="shared" si="50"/>
        <v>50.213888888888889</v>
      </c>
      <c r="DC109" s="1">
        <f t="shared" si="50"/>
        <v>50.213888888888889</v>
      </c>
    </row>
    <row r="110" spans="1:107" x14ac:dyDescent="0.25">
      <c r="A110">
        <f t="shared" si="38"/>
        <v>2</v>
      </c>
      <c r="B110" s="2">
        <f>yields_BRUTE!B110</f>
        <v>42163</v>
      </c>
      <c r="C110" s="1">
        <f t="shared" si="55"/>
        <v>-0.27500000000000002</v>
      </c>
      <c r="D110" s="1">
        <f t="shared" si="55"/>
        <v>-0.2361111111111111</v>
      </c>
      <c r="E110" s="1">
        <f t="shared" si="55"/>
        <v>-1.9444444444444445E-2</v>
      </c>
      <c r="F110" s="1">
        <f t="shared" si="55"/>
        <v>0.2361111111111111</v>
      </c>
      <c r="G110" s="1">
        <f t="shared" si="55"/>
        <v>0.27500000000000002</v>
      </c>
      <c r="H110" s="1">
        <f t="shared" si="55"/>
        <v>0.48888888888888887</v>
      </c>
      <c r="I110" s="1">
        <f t="shared" si="55"/>
        <v>0.48888888888888887</v>
      </c>
      <c r="J110" s="1">
        <f t="shared" si="55"/>
        <v>0.7416666666666667</v>
      </c>
      <c r="K110" s="1">
        <f t="shared" si="55"/>
        <v>0.78055555555555556</v>
      </c>
      <c r="L110" s="1">
        <f t="shared" si="55"/>
        <v>0.99722222222222223</v>
      </c>
      <c r="M110" s="1">
        <f t="shared" si="55"/>
        <v>1.2527777777777778</v>
      </c>
      <c r="N110" s="1">
        <f t="shared" si="55"/>
        <v>1.2527777777777778</v>
      </c>
      <c r="O110" s="1">
        <f t="shared" si="55"/>
        <v>1.2916666666666667</v>
      </c>
      <c r="P110" s="1">
        <f t="shared" si="55"/>
        <v>1.5055555555555555</v>
      </c>
      <c r="Q110" s="1">
        <f t="shared" si="55"/>
        <v>1.7944444444444445</v>
      </c>
      <c r="R110" s="1">
        <f t="shared" si="52"/>
        <v>2.0111111111111111</v>
      </c>
      <c r="S110" s="1">
        <f t="shared" si="52"/>
        <v>2.3055555555555554</v>
      </c>
      <c r="T110" s="1">
        <f t="shared" si="52"/>
        <v>2.5194444444444444</v>
      </c>
      <c r="U110" s="1">
        <f t="shared" si="52"/>
        <v>2.8083333333333331</v>
      </c>
      <c r="V110" s="1">
        <f t="shared" si="52"/>
        <v>3.0249999999999999</v>
      </c>
      <c r="W110" s="1">
        <f t="shared" si="52"/>
        <v>3.3194444444444446</v>
      </c>
      <c r="X110" s="1">
        <f t="shared" si="52"/>
        <v>3.5333333333333332</v>
      </c>
      <c r="Y110" s="1">
        <f t="shared" si="52"/>
        <v>3.8222222222222224</v>
      </c>
      <c r="Z110" s="1">
        <f t="shared" si="52"/>
        <v>4.0388888888888888</v>
      </c>
      <c r="AA110" s="1">
        <f t="shared" si="52"/>
        <v>4.333333333333333</v>
      </c>
      <c r="AB110" s="1">
        <f t="shared" si="52"/>
        <v>4.5472222222222225</v>
      </c>
      <c r="AC110" s="1">
        <f t="shared" si="52"/>
        <v>4.8388888888888886</v>
      </c>
      <c r="AD110" s="1">
        <f t="shared" si="52"/>
        <v>5.0555555555555554</v>
      </c>
      <c r="AE110" s="1">
        <f t="shared" si="52"/>
        <v>5.0555555555555554</v>
      </c>
      <c r="AF110" s="3">
        <f t="shared" si="52"/>
        <v>5.35</v>
      </c>
      <c r="AG110" s="1">
        <f t="shared" si="52"/>
        <v>5.5638888888888891</v>
      </c>
      <c r="AH110" s="1">
        <f t="shared" si="53"/>
        <v>5.8527777777777779</v>
      </c>
      <c r="AI110" s="1">
        <f t="shared" si="51"/>
        <v>5.8527777777777779</v>
      </c>
      <c r="AJ110" s="1">
        <f t="shared" si="51"/>
        <v>6.0694444444444446</v>
      </c>
      <c r="AK110" s="1">
        <f t="shared" si="51"/>
        <v>6.0694444444444446</v>
      </c>
      <c r="AL110" s="1">
        <f t="shared" si="51"/>
        <v>6.5777777777777775</v>
      </c>
      <c r="AM110" s="1">
        <f t="shared" si="51"/>
        <v>7.083333333333333</v>
      </c>
      <c r="AN110" s="1">
        <f t="shared" si="51"/>
        <v>7.083333333333333</v>
      </c>
      <c r="AO110" s="1">
        <f t="shared" si="51"/>
        <v>7.5916666666666668</v>
      </c>
      <c r="AP110" s="1">
        <f t="shared" si="51"/>
        <v>8.0972222222222214</v>
      </c>
      <c r="AQ110" s="1">
        <f t="shared" si="51"/>
        <v>8.0972222222222214</v>
      </c>
      <c r="AR110" s="1">
        <f t="shared" si="51"/>
        <v>8.6055555555555561</v>
      </c>
      <c r="AS110" s="1">
        <f t="shared" si="51"/>
        <v>9.1138888888888889</v>
      </c>
      <c r="AT110" s="1">
        <f t="shared" si="51"/>
        <v>9.6222222222222218</v>
      </c>
      <c r="AU110" s="1">
        <f t="shared" si="51"/>
        <v>10.127777777777778</v>
      </c>
      <c r="AV110" s="1">
        <f t="shared" si="51"/>
        <v>10.127777777777778</v>
      </c>
      <c r="AW110" s="1">
        <f t="shared" si="51"/>
        <v>14.694444444444445</v>
      </c>
      <c r="AX110" s="1">
        <f t="shared" si="51"/>
        <v>15.2</v>
      </c>
      <c r="AY110" s="1">
        <f t="shared" si="54"/>
        <v>15.708333333333334</v>
      </c>
      <c r="AZ110" s="1">
        <f t="shared" si="54"/>
        <v>16.213888888888889</v>
      </c>
      <c r="BA110" s="1">
        <f t="shared" si="54"/>
        <v>16.722222222222221</v>
      </c>
      <c r="BB110" s="1">
        <f t="shared" si="54"/>
        <v>17.230555555555554</v>
      </c>
      <c r="BC110" s="1">
        <f t="shared" si="54"/>
        <v>17.738888888888887</v>
      </c>
      <c r="BD110" s="1">
        <f t="shared" si="54"/>
        <v>18.244444444444444</v>
      </c>
      <c r="BE110" s="1">
        <f t="shared" si="54"/>
        <v>18.244444444444444</v>
      </c>
      <c r="BF110" s="1">
        <f t="shared" si="54"/>
        <v>26.869444444444444</v>
      </c>
      <c r="BG110" s="1">
        <f t="shared" si="54"/>
        <v>27.375</v>
      </c>
      <c r="BH110" s="1">
        <f t="shared" si="54"/>
        <v>27.883333333333333</v>
      </c>
      <c r="BI110" s="1">
        <f t="shared" si="54"/>
        <v>28.388888888888889</v>
      </c>
      <c r="BJ110" s="1">
        <f t="shared" si="54"/>
        <v>28.897222222222222</v>
      </c>
      <c r="BK110" s="1">
        <f t="shared" si="54"/>
        <v>29.405555555555555</v>
      </c>
      <c r="BL110" s="1">
        <f t="shared" si="54"/>
        <v>29.913888888888888</v>
      </c>
      <c r="BM110" s="1">
        <f t="shared" si="48"/>
        <v>30.419444444444444</v>
      </c>
      <c r="BN110" s="1">
        <f t="shared" si="48"/>
        <v>30.927777777777777</v>
      </c>
      <c r="BO110" s="1">
        <f t="shared" si="48"/>
        <v>30.927777777777777</v>
      </c>
      <c r="BP110" s="1">
        <f t="shared" si="48"/>
        <v>31.433333333333334</v>
      </c>
      <c r="BQ110" s="1">
        <f t="shared" si="48"/>
        <v>31.941666666666666</v>
      </c>
      <c r="BR110" s="1">
        <f t="shared" si="48"/>
        <v>32.447222222222223</v>
      </c>
      <c r="BS110" s="1">
        <f t="shared" si="48"/>
        <v>32.955555555555556</v>
      </c>
      <c r="BT110" s="1">
        <f t="shared" si="48"/>
        <v>33.463888888888889</v>
      </c>
      <c r="BU110" s="1">
        <f t="shared" si="48"/>
        <v>33.972222222222221</v>
      </c>
      <c r="BV110" s="1">
        <f t="shared" si="48"/>
        <v>33.972222222222221</v>
      </c>
      <c r="BW110" s="1">
        <f t="shared" si="48"/>
        <v>34.477777777777774</v>
      </c>
      <c r="BX110" s="1">
        <f t="shared" si="48"/>
        <v>34.986111111111114</v>
      </c>
      <c r="BY110" s="1">
        <f t="shared" si="48"/>
        <v>35.491666666666667</v>
      </c>
      <c r="BZ110" s="1">
        <f t="shared" si="48"/>
        <v>36</v>
      </c>
      <c r="CA110" s="1">
        <f t="shared" si="48"/>
        <v>36.505555555555553</v>
      </c>
      <c r="CB110" s="1">
        <f t="shared" ref="CB110:CQ125" si="56">(CB$1-$B110)/360</f>
        <v>37.013888888888886</v>
      </c>
      <c r="CC110" s="1">
        <f t="shared" si="49"/>
        <v>37.522222222222226</v>
      </c>
      <c r="CD110" s="1">
        <f t="shared" si="49"/>
        <v>38.030555555555559</v>
      </c>
      <c r="CE110" s="1">
        <f t="shared" si="49"/>
        <v>38.536111111111111</v>
      </c>
      <c r="CF110" s="1">
        <f t="shared" si="49"/>
        <v>39.044444444444444</v>
      </c>
      <c r="CG110" s="1">
        <f t="shared" si="49"/>
        <v>39.549999999999997</v>
      </c>
      <c r="CH110" s="1">
        <f t="shared" si="49"/>
        <v>40.05833333333333</v>
      </c>
      <c r="CI110" s="1">
        <f t="shared" si="49"/>
        <v>40.56388888888889</v>
      </c>
      <c r="CJ110" s="1">
        <f t="shared" si="49"/>
        <v>41.072222222222223</v>
      </c>
      <c r="CK110" s="1">
        <f t="shared" si="49"/>
        <v>41.580555555555556</v>
      </c>
      <c r="CL110" s="1">
        <f t="shared" si="49"/>
        <v>42.088888888888889</v>
      </c>
      <c r="CM110" s="1">
        <f t="shared" si="49"/>
        <v>42.594444444444441</v>
      </c>
      <c r="CN110" s="1">
        <f t="shared" si="49"/>
        <v>43.102777777777774</v>
      </c>
      <c r="CO110" s="1">
        <f t="shared" si="49"/>
        <v>43.608333333333334</v>
      </c>
      <c r="CP110" s="1">
        <f t="shared" si="49"/>
        <v>44.116666666666667</v>
      </c>
      <c r="CQ110" s="1">
        <f t="shared" si="49"/>
        <v>44.62222222222222</v>
      </c>
      <c r="CR110" s="1">
        <f t="shared" ref="CR110:DC125" si="57">(CR$1-$B110)/360</f>
        <v>45.130555555555553</v>
      </c>
      <c r="CS110" s="1">
        <f t="shared" si="50"/>
        <v>45.638888888888886</v>
      </c>
      <c r="CT110" s="1">
        <f t="shared" si="50"/>
        <v>46.147222222222226</v>
      </c>
      <c r="CU110" s="1">
        <f t="shared" si="50"/>
        <v>46.652777777777779</v>
      </c>
      <c r="CV110" s="1">
        <f t="shared" si="50"/>
        <v>47.161111111111111</v>
      </c>
      <c r="CW110" s="1">
        <f t="shared" si="50"/>
        <v>47.666666666666664</v>
      </c>
      <c r="CX110" s="1">
        <f t="shared" si="50"/>
        <v>48.174999999999997</v>
      </c>
      <c r="CY110" s="1">
        <f t="shared" si="50"/>
        <v>48.680555555555557</v>
      </c>
      <c r="CZ110" s="1">
        <f t="shared" si="50"/>
        <v>49.18888888888889</v>
      </c>
      <c r="DA110" s="1">
        <f t="shared" si="50"/>
        <v>49.697222222222223</v>
      </c>
      <c r="DB110" s="1">
        <f t="shared" si="50"/>
        <v>50.205555555555556</v>
      </c>
      <c r="DC110" s="1">
        <f t="shared" si="50"/>
        <v>50.205555555555556</v>
      </c>
    </row>
    <row r="111" spans="1:107" x14ac:dyDescent="0.25">
      <c r="A111">
        <f t="shared" si="38"/>
        <v>3</v>
      </c>
      <c r="B111" s="2">
        <f>yields_BRUTE!B111</f>
        <v>42164</v>
      </c>
      <c r="C111" s="1">
        <f t="shared" si="55"/>
        <v>-0.27777777777777779</v>
      </c>
      <c r="D111" s="1">
        <f t="shared" si="55"/>
        <v>-0.2388888888888889</v>
      </c>
      <c r="E111" s="1">
        <f t="shared" si="55"/>
        <v>-2.2222222222222223E-2</v>
      </c>
      <c r="F111" s="1">
        <f t="shared" si="55"/>
        <v>0.23333333333333334</v>
      </c>
      <c r="G111" s="1">
        <f t="shared" si="55"/>
        <v>0.2722222222222222</v>
      </c>
      <c r="H111" s="1">
        <f t="shared" si="55"/>
        <v>0.4861111111111111</v>
      </c>
      <c r="I111" s="1">
        <f t="shared" si="55"/>
        <v>0.4861111111111111</v>
      </c>
      <c r="J111" s="1">
        <f t="shared" si="55"/>
        <v>0.73888888888888893</v>
      </c>
      <c r="K111" s="1">
        <f t="shared" si="55"/>
        <v>0.77777777777777779</v>
      </c>
      <c r="L111" s="1">
        <f t="shared" si="55"/>
        <v>0.99444444444444446</v>
      </c>
      <c r="M111" s="1">
        <f t="shared" si="55"/>
        <v>1.25</v>
      </c>
      <c r="N111" s="1">
        <f t="shared" si="55"/>
        <v>1.25</v>
      </c>
      <c r="O111" s="1">
        <f t="shared" si="55"/>
        <v>1.288888888888889</v>
      </c>
      <c r="P111" s="1">
        <f t="shared" si="55"/>
        <v>1.5027777777777778</v>
      </c>
      <c r="Q111" s="1">
        <f t="shared" si="55"/>
        <v>1.7916666666666667</v>
      </c>
      <c r="R111" s="1">
        <f t="shared" si="52"/>
        <v>2.0083333333333333</v>
      </c>
      <c r="S111" s="1">
        <f t="shared" si="52"/>
        <v>2.3027777777777776</v>
      </c>
      <c r="T111" s="1">
        <f t="shared" si="52"/>
        <v>2.5166666666666666</v>
      </c>
      <c r="U111" s="1">
        <f t="shared" si="52"/>
        <v>2.8055555555555554</v>
      </c>
      <c r="V111" s="1">
        <f t="shared" si="52"/>
        <v>3.0222222222222221</v>
      </c>
      <c r="W111" s="1">
        <f t="shared" si="52"/>
        <v>3.3166666666666669</v>
      </c>
      <c r="X111" s="1">
        <f t="shared" si="52"/>
        <v>3.5305555555555554</v>
      </c>
      <c r="Y111" s="1">
        <f t="shared" si="52"/>
        <v>3.8194444444444446</v>
      </c>
      <c r="Z111" s="1">
        <f t="shared" si="52"/>
        <v>4.0361111111111114</v>
      </c>
      <c r="AA111" s="1">
        <f t="shared" si="52"/>
        <v>4.3305555555555557</v>
      </c>
      <c r="AB111" s="1">
        <f t="shared" si="52"/>
        <v>4.5444444444444443</v>
      </c>
      <c r="AC111" s="1">
        <f t="shared" si="52"/>
        <v>4.8361111111111112</v>
      </c>
      <c r="AD111" s="1">
        <f t="shared" si="52"/>
        <v>5.052777777777778</v>
      </c>
      <c r="AE111" s="1">
        <f t="shared" si="52"/>
        <v>5.052777777777778</v>
      </c>
      <c r="AF111" s="3">
        <f t="shared" si="52"/>
        <v>5.3472222222222223</v>
      </c>
      <c r="AG111" s="1">
        <f t="shared" si="52"/>
        <v>5.5611111111111109</v>
      </c>
      <c r="AH111" s="1">
        <f t="shared" si="53"/>
        <v>5.85</v>
      </c>
      <c r="AI111" s="1">
        <f t="shared" si="51"/>
        <v>5.85</v>
      </c>
      <c r="AJ111" s="1">
        <f t="shared" si="51"/>
        <v>6.0666666666666664</v>
      </c>
      <c r="AK111" s="1">
        <f t="shared" si="51"/>
        <v>6.0666666666666664</v>
      </c>
      <c r="AL111" s="1">
        <f t="shared" si="51"/>
        <v>6.5750000000000002</v>
      </c>
      <c r="AM111" s="1">
        <f t="shared" si="51"/>
        <v>7.0805555555555557</v>
      </c>
      <c r="AN111" s="1">
        <f t="shared" si="51"/>
        <v>7.0805555555555557</v>
      </c>
      <c r="AO111" s="1">
        <f t="shared" si="51"/>
        <v>7.5888888888888886</v>
      </c>
      <c r="AP111" s="1">
        <f t="shared" si="51"/>
        <v>8.094444444444445</v>
      </c>
      <c r="AQ111" s="1">
        <f t="shared" si="51"/>
        <v>8.094444444444445</v>
      </c>
      <c r="AR111" s="1">
        <f t="shared" si="51"/>
        <v>8.6027777777777779</v>
      </c>
      <c r="AS111" s="1">
        <f t="shared" si="51"/>
        <v>9.1111111111111107</v>
      </c>
      <c r="AT111" s="1">
        <f t="shared" si="51"/>
        <v>9.6194444444444436</v>
      </c>
      <c r="AU111" s="1">
        <f t="shared" si="51"/>
        <v>10.125</v>
      </c>
      <c r="AV111" s="1">
        <f t="shared" si="51"/>
        <v>10.125</v>
      </c>
      <c r="AW111" s="1">
        <f t="shared" si="51"/>
        <v>14.691666666666666</v>
      </c>
      <c r="AX111" s="1">
        <f t="shared" si="51"/>
        <v>15.197222222222223</v>
      </c>
      <c r="AY111" s="1">
        <f t="shared" si="54"/>
        <v>15.705555555555556</v>
      </c>
      <c r="AZ111" s="1">
        <f t="shared" si="54"/>
        <v>16.211111111111112</v>
      </c>
      <c r="BA111" s="1">
        <f t="shared" si="54"/>
        <v>16.719444444444445</v>
      </c>
      <c r="BB111" s="1">
        <f t="shared" si="54"/>
        <v>17.227777777777778</v>
      </c>
      <c r="BC111" s="1">
        <f t="shared" si="54"/>
        <v>17.736111111111111</v>
      </c>
      <c r="BD111" s="1">
        <f t="shared" si="54"/>
        <v>18.241666666666667</v>
      </c>
      <c r="BE111" s="1">
        <f t="shared" si="54"/>
        <v>18.241666666666667</v>
      </c>
      <c r="BF111" s="1">
        <f t="shared" si="54"/>
        <v>26.866666666666667</v>
      </c>
      <c r="BG111" s="1">
        <f t="shared" si="54"/>
        <v>27.372222222222224</v>
      </c>
      <c r="BH111" s="1">
        <f t="shared" si="54"/>
        <v>27.880555555555556</v>
      </c>
      <c r="BI111" s="1">
        <f t="shared" si="54"/>
        <v>28.386111111111113</v>
      </c>
      <c r="BJ111" s="1">
        <f t="shared" si="54"/>
        <v>28.894444444444446</v>
      </c>
      <c r="BK111" s="1">
        <f t="shared" si="54"/>
        <v>29.402777777777779</v>
      </c>
      <c r="BL111" s="1">
        <f t="shared" si="54"/>
        <v>29.911111111111111</v>
      </c>
      <c r="BM111" s="1">
        <f t="shared" si="54"/>
        <v>30.416666666666668</v>
      </c>
      <c r="BN111" s="1">
        <f t="shared" si="54"/>
        <v>30.925000000000001</v>
      </c>
      <c r="BO111" s="1">
        <f t="shared" ref="BO111:CD126" si="58">(BO$1-$B111)/360</f>
        <v>30.925000000000001</v>
      </c>
      <c r="BP111" s="1">
        <f t="shared" si="58"/>
        <v>31.430555555555557</v>
      </c>
      <c r="BQ111" s="1">
        <f t="shared" si="58"/>
        <v>31.93888888888889</v>
      </c>
      <c r="BR111" s="1">
        <f t="shared" si="58"/>
        <v>32.444444444444443</v>
      </c>
      <c r="BS111" s="1">
        <f t="shared" si="58"/>
        <v>32.952777777777776</v>
      </c>
      <c r="BT111" s="1">
        <f t="shared" si="58"/>
        <v>33.461111111111109</v>
      </c>
      <c r="BU111" s="1">
        <f t="shared" si="58"/>
        <v>33.969444444444441</v>
      </c>
      <c r="BV111" s="1">
        <f t="shared" si="58"/>
        <v>33.969444444444441</v>
      </c>
      <c r="BW111" s="1">
        <f t="shared" si="58"/>
        <v>34.475000000000001</v>
      </c>
      <c r="BX111" s="1">
        <f t="shared" si="58"/>
        <v>34.983333333333334</v>
      </c>
      <c r="BY111" s="1">
        <f t="shared" si="58"/>
        <v>35.488888888888887</v>
      </c>
      <c r="BZ111" s="1">
        <f t="shared" si="58"/>
        <v>35.99722222222222</v>
      </c>
      <c r="CA111" s="1">
        <f t="shared" si="58"/>
        <v>36.50277777777778</v>
      </c>
      <c r="CB111" s="1">
        <f t="shared" si="56"/>
        <v>37.011111111111113</v>
      </c>
      <c r="CC111" s="1">
        <f t="shared" si="56"/>
        <v>37.519444444444446</v>
      </c>
      <c r="CD111" s="1">
        <f t="shared" si="56"/>
        <v>38.027777777777779</v>
      </c>
      <c r="CE111" s="1">
        <f t="shared" si="56"/>
        <v>38.533333333333331</v>
      </c>
      <c r="CF111" s="1">
        <f t="shared" si="56"/>
        <v>39.041666666666664</v>
      </c>
      <c r="CG111" s="1">
        <f t="shared" si="56"/>
        <v>39.547222222222224</v>
      </c>
      <c r="CH111" s="1">
        <f t="shared" si="56"/>
        <v>40.055555555555557</v>
      </c>
      <c r="CI111" s="1">
        <f t="shared" si="56"/>
        <v>40.56111111111111</v>
      </c>
      <c r="CJ111" s="1">
        <f t="shared" si="56"/>
        <v>41.069444444444443</v>
      </c>
      <c r="CK111" s="1">
        <f t="shared" si="56"/>
        <v>41.577777777777776</v>
      </c>
      <c r="CL111" s="1">
        <f t="shared" si="56"/>
        <v>42.086111111111109</v>
      </c>
      <c r="CM111" s="1">
        <f t="shared" si="56"/>
        <v>42.591666666666669</v>
      </c>
      <c r="CN111" s="1">
        <f t="shared" si="56"/>
        <v>43.1</v>
      </c>
      <c r="CO111" s="1">
        <f t="shared" si="56"/>
        <v>43.605555555555554</v>
      </c>
      <c r="CP111" s="1">
        <f t="shared" si="56"/>
        <v>44.113888888888887</v>
      </c>
      <c r="CQ111" s="1">
        <f t="shared" si="56"/>
        <v>44.619444444444447</v>
      </c>
      <c r="CR111" s="1">
        <f t="shared" si="57"/>
        <v>45.12777777777778</v>
      </c>
      <c r="CS111" s="1">
        <f t="shared" si="57"/>
        <v>45.636111111111113</v>
      </c>
      <c r="CT111" s="1">
        <f t="shared" si="57"/>
        <v>46.144444444444446</v>
      </c>
      <c r="CU111" s="1">
        <f t="shared" si="57"/>
        <v>46.65</v>
      </c>
      <c r="CV111" s="1">
        <f t="shared" si="57"/>
        <v>47.158333333333331</v>
      </c>
      <c r="CW111" s="1">
        <f t="shared" si="57"/>
        <v>47.663888888888891</v>
      </c>
      <c r="CX111" s="1">
        <f t="shared" si="57"/>
        <v>48.172222222222224</v>
      </c>
      <c r="CY111" s="1">
        <f t="shared" si="57"/>
        <v>48.677777777777777</v>
      </c>
      <c r="CZ111" s="1">
        <f t="shared" si="57"/>
        <v>49.18611111111111</v>
      </c>
      <c r="DA111" s="1">
        <f t="shared" si="57"/>
        <v>49.694444444444443</v>
      </c>
      <c r="DB111" s="1">
        <f t="shared" si="57"/>
        <v>50.202777777777776</v>
      </c>
      <c r="DC111" s="1">
        <f t="shared" si="57"/>
        <v>50.202777777777776</v>
      </c>
    </row>
    <row r="112" spans="1:107" x14ac:dyDescent="0.25">
      <c r="A112">
        <f t="shared" si="38"/>
        <v>4</v>
      </c>
      <c r="B112" s="2">
        <f>yields_BRUTE!B112</f>
        <v>42165</v>
      </c>
      <c r="C112" s="1">
        <f t="shared" si="55"/>
        <v>-0.28055555555555556</v>
      </c>
      <c r="D112" s="1">
        <f t="shared" si="55"/>
        <v>-0.24166666666666667</v>
      </c>
      <c r="E112" s="1">
        <f t="shared" si="55"/>
        <v>-2.5000000000000001E-2</v>
      </c>
      <c r="F112" s="1">
        <f t="shared" si="55"/>
        <v>0.23055555555555557</v>
      </c>
      <c r="G112" s="1">
        <f t="shared" si="55"/>
        <v>0.26944444444444443</v>
      </c>
      <c r="H112" s="1">
        <f t="shared" si="55"/>
        <v>0.48333333333333334</v>
      </c>
      <c r="I112" s="1">
        <f t="shared" si="55"/>
        <v>0.48333333333333334</v>
      </c>
      <c r="J112" s="1">
        <f t="shared" si="55"/>
        <v>0.73611111111111116</v>
      </c>
      <c r="K112" s="1">
        <f t="shared" si="55"/>
        <v>0.77500000000000002</v>
      </c>
      <c r="L112" s="1">
        <f t="shared" si="55"/>
        <v>0.9916666666666667</v>
      </c>
      <c r="M112" s="1">
        <f t="shared" si="55"/>
        <v>1.2472222222222222</v>
      </c>
      <c r="N112" s="1">
        <f t="shared" si="55"/>
        <v>1.2472222222222222</v>
      </c>
      <c r="O112" s="1">
        <f t="shared" si="55"/>
        <v>1.2861111111111112</v>
      </c>
      <c r="P112" s="1">
        <f t="shared" si="55"/>
        <v>1.5</v>
      </c>
      <c r="Q112" s="1">
        <f t="shared" si="55"/>
        <v>1.788888888888889</v>
      </c>
      <c r="R112" s="1">
        <f t="shared" si="52"/>
        <v>2.0055555555555555</v>
      </c>
      <c r="S112" s="1">
        <f t="shared" si="52"/>
        <v>2.2999999999999998</v>
      </c>
      <c r="T112" s="1">
        <f t="shared" si="52"/>
        <v>2.5138888888888888</v>
      </c>
      <c r="U112" s="1">
        <f t="shared" si="52"/>
        <v>2.8027777777777776</v>
      </c>
      <c r="V112" s="1">
        <f t="shared" si="52"/>
        <v>3.0194444444444444</v>
      </c>
      <c r="W112" s="1">
        <f t="shared" si="52"/>
        <v>3.3138888888888891</v>
      </c>
      <c r="X112" s="1">
        <f t="shared" si="52"/>
        <v>3.5277777777777777</v>
      </c>
      <c r="Y112" s="1">
        <f t="shared" si="52"/>
        <v>3.8166666666666669</v>
      </c>
      <c r="Z112" s="1">
        <f t="shared" si="52"/>
        <v>4.0333333333333332</v>
      </c>
      <c r="AA112" s="1">
        <f t="shared" si="52"/>
        <v>4.3277777777777775</v>
      </c>
      <c r="AB112" s="1">
        <f t="shared" si="52"/>
        <v>4.541666666666667</v>
      </c>
      <c r="AC112" s="1">
        <f t="shared" si="52"/>
        <v>4.833333333333333</v>
      </c>
      <c r="AD112" s="1">
        <f t="shared" si="52"/>
        <v>5.05</v>
      </c>
      <c r="AE112" s="1">
        <f t="shared" si="52"/>
        <v>5.05</v>
      </c>
      <c r="AF112" s="3">
        <f t="shared" si="52"/>
        <v>5.3444444444444441</v>
      </c>
      <c r="AG112" s="1">
        <f t="shared" si="52"/>
        <v>5.5583333333333336</v>
      </c>
      <c r="AH112" s="1">
        <f t="shared" si="53"/>
        <v>5.8472222222222223</v>
      </c>
      <c r="AI112" s="1">
        <f t="shared" si="51"/>
        <v>5.8472222222222223</v>
      </c>
      <c r="AJ112" s="1">
        <f t="shared" si="51"/>
        <v>6.0638888888888891</v>
      </c>
      <c r="AK112" s="1">
        <f t="shared" si="51"/>
        <v>6.0638888888888891</v>
      </c>
      <c r="AL112" s="1">
        <f t="shared" si="51"/>
        <v>6.572222222222222</v>
      </c>
      <c r="AM112" s="1">
        <f t="shared" si="51"/>
        <v>7.0777777777777775</v>
      </c>
      <c r="AN112" s="1">
        <f t="shared" si="51"/>
        <v>7.0777777777777775</v>
      </c>
      <c r="AO112" s="1">
        <f t="shared" si="51"/>
        <v>7.5861111111111112</v>
      </c>
      <c r="AP112" s="1">
        <f t="shared" si="51"/>
        <v>8.0916666666666668</v>
      </c>
      <c r="AQ112" s="1">
        <f t="shared" si="51"/>
        <v>8.0916666666666668</v>
      </c>
      <c r="AR112" s="1">
        <f t="shared" si="51"/>
        <v>8.6</v>
      </c>
      <c r="AS112" s="1">
        <f t="shared" si="51"/>
        <v>9.1083333333333325</v>
      </c>
      <c r="AT112" s="1">
        <f t="shared" si="51"/>
        <v>9.6166666666666671</v>
      </c>
      <c r="AU112" s="1">
        <f t="shared" si="51"/>
        <v>10.122222222222222</v>
      </c>
      <c r="AV112" s="1">
        <f t="shared" si="51"/>
        <v>10.122222222222222</v>
      </c>
      <c r="AW112" s="1">
        <f t="shared" si="51"/>
        <v>14.688888888888888</v>
      </c>
      <c r="AX112" s="1">
        <f t="shared" si="51"/>
        <v>15.194444444444445</v>
      </c>
      <c r="AY112" s="1">
        <f t="shared" si="54"/>
        <v>15.702777777777778</v>
      </c>
      <c r="AZ112" s="1">
        <f t="shared" si="54"/>
        <v>16.208333333333332</v>
      </c>
      <c r="BA112" s="1">
        <f t="shared" si="54"/>
        <v>16.716666666666665</v>
      </c>
      <c r="BB112" s="1">
        <f t="shared" si="54"/>
        <v>17.225000000000001</v>
      </c>
      <c r="BC112" s="1">
        <f t="shared" si="54"/>
        <v>17.733333333333334</v>
      </c>
      <c r="BD112" s="1">
        <f t="shared" si="54"/>
        <v>18.238888888888887</v>
      </c>
      <c r="BE112" s="1">
        <f t="shared" si="54"/>
        <v>18.238888888888887</v>
      </c>
      <c r="BF112" s="1">
        <f t="shared" si="54"/>
        <v>26.863888888888887</v>
      </c>
      <c r="BG112" s="1">
        <f t="shared" si="54"/>
        <v>27.369444444444444</v>
      </c>
      <c r="BH112" s="1">
        <f t="shared" si="54"/>
        <v>27.877777777777776</v>
      </c>
      <c r="BI112" s="1">
        <f t="shared" si="54"/>
        <v>28.383333333333333</v>
      </c>
      <c r="BJ112" s="1">
        <f t="shared" si="54"/>
        <v>28.891666666666666</v>
      </c>
      <c r="BK112" s="1">
        <f t="shared" si="54"/>
        <v>29.4</v>
      </c>
      <c r="BL112" s="1">
        <f t="shared" si="54"/>
        <v>29.908333333333335</v>
      </c>
      <c r="BM112" s="1">
        <f t="shared" si="54"/>
        <v>30.413888888888888</v>
      </c>
      <c r="BN112" s="1">
        <f t="shared" si="54"/>
        <v>30.922222222222221</v>
      </c>
      <c r="BO112" s="1">
        <f t="shared" si="58"/>
        <v>30.922222222222221</v>
      </c>
      <c r="BP112" s="1">
        <f t="shared" si="58"/>
        <v>31.427777777777777</v>
      </c>
      <c r="BQ112" s="1">
        <f t="shared" si="58"/>
        <v>31.93611111111111</v>
      </c>
      <c r="BR112" s="1">
        <f t="shared" si="58"/>
        <v>32.44166666666667</v>
      </c>
      <c r="BS112" s="1">
        <f t="shared" si="58"/>
        <v>32.950000000000003</v>
      </c>
      <c r="BT112" s="1">
        <f t="shared" si="58"/>
        <v>33.458333333333336</v>
      </c>
      <c r="BU112" s="1">
        <f t="shared" si="58"/>
        <v>33.966666666666669</v>
      </c>
      <c r="BV112" s="1">
        <f t="shared" si="58"/>
        <v>33.966666666666669</v>
      </c>
      <c r="BW112" s="1">
        <f t="shared" si="58"/>
        <v>34.472222222222221</v>
      </c>
      <c r="BX112" s="1">
        <f t="shared" si="58"/>
        <v>34.980555555555554</v>
      </c>
      <c r="BY112" s="1">
        <f t="shared" si="58"/>
        <v>35.486111111111114</v>
      </c>
      <c r="BZ112" s="1">
        <f t="shared" si="58"/>
        <v>35.994444444444447</v>
      </c>
      <c r="CA112" s="1">
        <f t="shared" si="58"/>
        <v>36.5</v>
      </c>
      <c r="CB112" s="1">
        <f t="shared" si="56"/>
        <v>37.008333333333333</v>
      </c>
      <c r="CC112" s="1">
        <f t="shared" si="56"/>
        <v>37.516666666666666</v>
      </c>
      <c r="CD112" s="1">
        <f t="shared" si="56"/>
        <v>38.024999999999999</v>
      </c>
      <c r="CE112" s="1">
        <f t="shared" si="56"/>
        <v>38.530555555555559</v>
      </c>
      <c r="CF112" s="1">
        <f t="shared" si="56"/>
        <v>39.038888888888891</v>
      </c>
      <c r="CG112" s="1">
        <f t="shared" si="56"/>
        <v>39.544444444444444</v>
      </c>
      <c r="CH112" s="1">
        <f t="shared" si="56"/>
        <v>40.052777777777777</v>
      </c>
      <c r="CI112" s="1">
        <f t="shared" si="56"/>
        <v>40.55833333333333</v>
      </c>
      <c r="CJ112" s="1">
        <f t="shared" si="56"/>
        <v>41.06666666666667</v>
      </c>
      <c r="CK112" s="1">
        <f t="shared" si="56"/>
        <v>41.575000000000003</v>
      </c>
      <c r="CL112" s="1">
        <f t="shared" si="56"/>
        <v>42.083333333333336</v>
      </c>
      <c r="CM112" s="1">
        <f t="shared" si="56"/>
        <v>42.588888888888889</v>
      </c>
      <c r="CN112" s="1">
        <f t="shared" si="56"/>
        <v>43.097222222222221</v>
      </c>
      <c r="CO112" s="1">
        <f t="shared" si="56"/>
        <v>43.602777777777774</v>
      </c>
      <c r="CP112" s="1">
        <f t="shared" si="56"/>
        <v>44.111111111111114</v>
      </c>
      <c r="CQ112" s="1">
        <f t="shared" si="56"/>
        <v>44.616666666666667</v>
      </c>
      <c r="CR112" s="1">
        <f t="shared" si="57"/>
        <v>45.125</v>
      </c>
      <c r="CS112" s="1">
        <f t="shared" si="57"/>
        <v>45.633333333333333</v>
      </c>
      <c r="CT112" s="1">
        <f t="shared" si="57"/>
        <v>46.141666666666666</v>
      </c>
      <c r="CU112" s="1">
        <f t="shared" si="57"/>
        <v>46.647222222222226</v>
      </c>
      <c r="CV112" s="1">
        <f t="shared" si="57"/>
        <v>47.155555555555559</v>
      </c>
      <c r="CW112" s="1">
        <f t="shared" si="57"/>
        <v>47.661111111111111</v>
      </c>
      <c r="CX112" s="1">
        <f t="shared" si="57"/>
        <v>48.169444444444444</v>
      </c>
      <c r="CY112" s="1">
        <f t="shared" si="57"/>
        <v>48.674999999999997</v>
      </c>
      <c r="CZ112" s="1">
        <f t="shared" si="57"/>
        <v>49.18333333333333</v>
      </c>
      <c r="DA112" s="1">
        <f t="shared" si="57"/>
        <v>49.69166666666667</v>
      </c>
      <c r="DB112" s="1">
        <f t="shared" si="57"/>
        <v>50.2</v>
      </c>
      <c r="DC112" s="1">
        <f t="shared" si="57"/>
        <v>50.2</v>
      </c>
    </row>
    <row r="113" spans="1:107" x14ac:dyDescent="0.25">
      <c r="A113">
        <f t="shared" si="38"/>
        <v>5</v>
      </c>
      <c r="B113" s="2">
        <f>yields_BRUTE!B113</f>
        <v>42166</v>
      </c>
      <c r="C113" s="1">
        <f t="shared" si="55"/>
        <v>-0.28333333333333333</v>
      </c>
      <c r="D113" s="1">
        <f t="shared" si="55"/>
        <v>-0.24444444444444444</v>
      </c>
      <c r="E113" s="1">
        <f t="shared" si="55"/>
        <v>-2.7777777777777776E-2</v>
      </c>
      <c r="F113" s="1">
        <f t="shared" si="55"/>
        <v>0.22777777777777777</v>
      </c>
      <c r="G113" s="1">
        <f t="shared" si="55"/>
        <v>0.26666666666666666</v>
      </c>
      <c r="H113" s="1">
        <f t="shared" si="55"/>
        <v>0.48055555555555557</v>
      </c>
      <c r="I113" s="1">
        <f t="shared" si="55"/>
        <v>0.48055555555555557</v>
      </c>
      <c r="J113" s="1">
        <f t="shared" si="55"/>
        <v>0.73333333333333328</v>
      </c>
      <c r="K113" s="1">
        <f t="shared" si="55"/>
        <v>0.77222222222222225</v>
      </c>
      <c r="L113" s="1">
        <f t="shared" si="55"/>
        <v>0.98888888888888893</v>
      </c>
      <c r="M113" s="1">
        <f t="shared" si="55"/>
        <v>1.2444444444444445</v>
      </c>
      <c r="N113" s="1">
        <f t="shared" si="55"/>
        <v>1.2444444444444445</v>
      </c>
      <c r="O113" s="1">
        <f t="shared" si="55"/>
        <v>1.2833333333333334</v>
      </c>
      <c r="P113" s="1">
        <f t="shared" si="55"/>
        <v>1.4972222222222222</v>
      </c>
      <c r="Q113" s="1">
        <f t="shared" si="55"/>
        <v>1.7861111111111112</v>
      </c>
      <c r="R113" s="1">
        <f t="shared" si="52"/>
        <v>2.0027777777777778</v>
      </c>
      <c r="S113" s="1">
        <f t="shared" si="52"/>
        <v>2.2972222222222221</v>
      </c>
      <c r="T113" s="1">
        <f t="shared" si="52"/>
        <v>2.5111111111111111</v>
      </c>
      <c r="U113" s="1">
        <f t="shared" si="52"/>
        <v>2.8</v>
      </c>
      <c r="V113" s="1">
        <f t="shared" si="52"/>
        <v>3.0166666666666666</v>
      </c>
      <c r="W113" s="1">
        <f t="shared" si="52"/>
        <v>3.3111111111111109</v>
      </c>
      <c r="X113" s="1">
        <f t="shared" si="52"/>
        <v>3.5249999999999999</v>
      </c>
      <c r="Y113" s="1">
        <f t="shared" si="52"/>
        <v>3.8138888888888891</v>
      </c>
      <c r="Z113" s="1">
        <f t="shared" si="52"/>
        <v>4.0305555555555559</v>
      </c>
      <c r="AA113" s="1">
        <f t="shared" si="52"/>
        <v>4.3250000000000002</v>
      </c>
      <c r="AB113" s="1">
        <f t="shared" si="52"/>
        <v>4.5388888888888888</v>
      </c>
      <c r="AC113" s="1">
        <f t="shared" si="52"/>
        <v>4.8305555555555557</v>
      </c>
      <c r="AD113" s="1">
        <f t="shared" si="52"/>
        <v>5.0472222222222225</v>
      </c>
      <c r="AE113" s="1">
        <f t="shared" si="52"/>
        <v>5.0472222222222225</v>
      </c>
      <c r="AF113" s="3">
        <f t="shared" si="52"/>
        <v>5.3416666666666668</v>
      </c>
      <c r="AG113" s="1">
        <f t="shared" ref="AG113:AV128" si="59">(AG$1-$B113)/360</f>
        <v>5.5555555555555554</v>
      </c>
      <c r="AH113" s="1">
        <f t="shared" si="53"/>
        <v>5.8444444444444441</v>
      </c>
      <c r="AI113" s="1">
        <f t="shared" si="53"/>
        <v>5.8444444444444441</v>
      </c>
      <c r="AJ113" s="1">
        <f t="shared" si="53"/>
        <v>6.0611111111111109</v>
      </c>
      <c r="AK113" s="1">
        <f t="shared" si="53"/>
        <v>6.0611111111111109</v>
      </c>
      <c r="AL113" s="1">
        <f t="shared" si="53"/>
        <v>6.5694444444444446</v>
      </c>
      <c r="AM113" s="1">
        <f t="shared" si="53"/>
        <v>7.0750000000000002</v>
      </c>
      <c r="AN113" s="1">
        <f t="shared" si="53"/>
        <v>7.0750000000000002</v>
      </c>
      <c r="AO113" s="1">
        <f t="shared" si="53"/>
        <v>7.583333333333333</v>
      </c>
      <c r="AP113" s="1">
        <f t="shared" si="53"/>
        <v>8.0888888888888886</v>
      </c>
      <c r="AQ113" s="1">
        <f t="shared" si="53"/>
        <v>8.0888888888888886</v>
      </c>
      <c r="AR113" s="1">
        <f t="shared" si="53"/>
        <v>8.5972222222222214</v>
      </c>
      <c r="AS113" s="1">
        <f t="shared" si="53"/>
        <v>9.1055555555555561</v>
      </c>
      <c r="AT113" s="1">
        <f t="shared" si="53"/>
        <v>9.6138888888888889</v>
      </c>
      <c r="AU113" s="1">
        <f t="shared" si="53"/>
        <v>10.119444444444444</v>
      </c>
      <c r="AV113" s="1">
        <f t="shared" si="53"/>
        <v>10.119444444444444</v>
      </c>
      <c r="AW113" s="1">
        <f t="shared" si="53"/>
        <v>14.686111111111112</v>
      </c>
      <c r="AX113" s="1">
        <f t="shared" ref="AX113:BM128" si="60">(AX$1-$B113)/360</f>
        <v>15.191666666666666</v>
      </c>
      <c r="AY113" s="1">
        <f t="shared" si="54"/>
        <v>15.7</v>
      </c>
      <c r="AZ113" s="1">
        <f t="shared" si="54"/>
        <v>16.205555555555556</v>
      </c>
      <c r="BA113" s="1">
        <f t="shared" si="54"/>
        <v>16.713888888888889</v>
      </c>
      <c r="BB113" s="1">
        <f t="shared" si="54"/>
        <v>17.222222222222221</v>
      </c>
      <c r="BC113" s="1">
        <f t="shared" si="54"/>
        <v>17.730555555555554</v>
      </c>
      <c r="BD113" s="1">
        <f t="shared" si="54"/>
        <v>18.236111111111111</v>
      </c>
      <c r="BE113" s="1">
        <f t="shared" si="54"/>
        <v>18.236111111111111</v>
      </c>
      <c r="BF113" s="1">
        <f t="shared" si="54"/>
        <v>26.861111111111111</v>
      </c>
      <c r="BG113" s="1">
        <f t="shared" si="54"/>
        <v>27.366666666666667</v>
      </c>
      <c r="BH113" s="1">
        <f t="shared" si="54"/>
        <v>27.875</v>
      </c>
      <c r="BI113" s="1">
        <f t="shared" si="54"/>
        <v>28.380555555555556</v>
      </c>
      <c r="BJ113" s="1">
        <f t="shared" si="54"/>
        <v>28.888888888888889</v>
      </c>
      <c r="BK113" s="1">
        <f t="shared" si="54"/>
        <v>29.397222222222222</v>
      </c>
      <c r="BL113" s="1">
        <f t="shared" si="54"/>
        <v>29.905555555555555</v>
      </c>
      <c r="BM113" s="1">
        <f t="shared" si="54"/>
        <v>30.411111111111111</v>
      </c>
      <c r="BN113" s="1">
        <f t="shared" si="54"/>
        <v>30.919444444444444</v>
      </c>
      <c r="BO113" s="1">
        <f t="shared" si="58"/>
        <v>30.919444444444444</v>
      </c>
      <c r="BP113" s="1">
        <f t="shared" si="58"/>
        <v>31.425000000000001</v>
      </c>
      <c r="BQ113" s="1">
        <f t="shared" si="58"/>
        <v>31.933333333333334</v>
      </c>
      <c r="BR113" s="1">
        <f t="shared" si="58"/>
        <v>32.43888888888889</v>
      </c>
      <c r="BS113" s="1">
        <f t="shared" si="58"/>
        <v>32.947222222222223</v>
      </c>
      <c r="BT113" s="1">
        <f t="shared" si="58"/>
        <v>33.455555555555556</v>
      </c>
      <c r="BU113" s="1">
        <f t="shared" si="58"/>
        <v>33.963888888888889</v>
      </c>
      <c r="BV113" s="1">
        <f t="shared" si="58"/>
        <v>33.963888888888889</v>
      </c>
      <c r="BW113" s="1">
        <f t="shared" si="58"/>
        <v>34.469444444444441</v>
      </c>
      <c r="BX113" s="1">
        <f t="shared" si="58"/>
        <v>34.977777777777774</v>
      </c>
      <c r="BY113" s="1">
        <f t="shared" si="58"/>
        <v>35.483333333333334</v>
      </c>
      <c r="BZ113" s="1">
        <f t="shared" si="58"/>
        <v>35.991666666666667</v>
      </c>
      <c r="CA113" s="1">
        <f t="shared" si="58"/>
        <v>36.49722222222222</v>
      </c>
      <c r="CB113" s="1">
        <f t="shared" si="56"/>
        <v>37.005555555555553</v>
      </c>
      <c r="CC113" s="1">
        <f t="shared" si="56"/>
        <v>37.513888888888886</v>
      </c>
      <c r="CD113" s="1">
        <f t="shared" si="56"/>
        <v>38.022222222222226</v>
      </c>
      <c r="CE113" s="1">
        <f t="shared" si="56"/>
        <v>38.527777777777779</v>
      </c>
      <c r="CF113" s="1">
        <f t="shared" si="56"/>
        <v>39.036111111111111</v>
      </c>
      <c r="CG113" s="1">
        <f t="shared" si="56"/>
        <v>39.541666666666664</v>
      </c>
      <c r="CH113" s="1">
        <f t="shared" si="56"/>
        <v>40.049999999999997</v>
      </c>
      <c r="CI113" s="1">
        <f t="shared" si="56"/>
        <v>40.555555555555557</v>
      </c>
      <c r="CJ113" s="1">
        <f t="shared" si="56"/>
        <v>41.06388888888889</v>
      </c>
      <c r="CK113" s="1">
        <f t="shared" si="56"/>
        <v>41.572222222222223</v>
      </c>
      <c r="CL113" s="1">
        <f t="shared" si="56"/>
        <v>42.080555555555556</v>
      </c>
      <c r="CM113" s="1">
        <f t="shared" si="56"/>
        <v>42.586111111111109</v>
      </c>
      <c r="CN113" s="1">
        <f t="shared" si="56"/>
        <v>43.094444444444441</v>
      </c>
      <c r="CO113" s="1">
        <f t="shared" si="56"/>
        <v>43.6</v>
      </c>
      <c r="CP113" s="1">
        <f t="shared" si="56"/>
        <v>44.108333333333334</v>
      </c>
      <c r="CQ113" s="1">
        <f t="shared" si="56"/>
        <v>44.613888888888887</v>
      </c>
      <c r="CR113" s="1">
        <f t="shared" si="57"/>
        <v>45.12222222222222</v>
      </c>
      <c r="CS113" s="1">
        <f t="shared" si="57"/>
        <v>45.630555555555553</v>
      </c>
      <c r="CT113" s="1">
        <f t="shared" si="57"/>
        <v>46.138888888888886</v>
      </c>
      <c r="CU113" s="1">
        <f t="shared" si="57"/>
        <v>46.644444444444446</v>
      </c>
      <c r="CV113" s="1">
        <f t="shared" si="57"/>
        <v>47.152777777777779</v>
      </c>
      <c r="CW113" s="1">
        <f t="shared" si="57"/>
        <v>47.658333333333331</v>
      </c>
      <c r="CX113" s="1">
        <f t="shared" si="57"/>
        <v>48.166666666666664</v>
      </c>
      <c r="CY113" s="1">
        <f t="shared" si="57"/>
        <v>48.672222222222224</v>
      </c>
      <c r="CZ113" s="1">
        <f t="shared" si="57"/>
        <v>49.180555555555557</v>
      </c>
      <c r="DA113" s="1">
        <f t="shared" si="57"/>
        <v>49.68888888888889</v>
      </c>
      <c r="DB113" s="1">
        <f t="shared" si="57"/>
        <v>50.197222222222223</v>
      </c>
      <c r="DC113" s="1">
        <f t="shared" si="57"/>
        <v>50.197222222222223</v>
      </c>
    </row>
    <row r="114" spans="1:107" x14ac:dyDescent="0.25">
      <c r="A114">
        <f t="shared" si="38"/>
        <v>6</v>
      </c>
      <c r="B114" s="2">
        <f>yields_BRUTE!B114</f>
        <v>42167</v>
      </c>
      <c r="C114" s="1">
        <f t="shared" si="55"/>
        <v>-0.28611111111111109</v>
      </c>
      <c r="D114" s="1">
        <f t="shared" si="55"/>
        <v>-0.24722222222222223</v>
      </c>
      <c r="E114" s="1">
        <f t="shared" si="55"/>
        <v>-3.0555555555555555E-2</v>
      </c>
      <c r="F114" s="1">
        <f t="shared" si="55"/>
        <v>0.22500000000000001</v>
      </c>
      <c r="G114" s="1">
        <f t="shared" si="55"/>
        <v>0.2638888888888889</v>
      </c>
      <c r="H114" s="1">
        <f t="shared" si="55"/>
        <v>0.4777777777777778</v>
      </c>
      <c r="I114" s="1">
        <f t="shared" si="55"/>
        <v>0.4777777777777778</v>
      </c>
      <c r="J114" s="1">
        <f t="shared" si="55"/>
        <v>0.73055555555555551</v>
      </c>
      <c r="K114" s="1">
        <f t="shared" si="55"/>
        <v>0.76944444444444449</v>
      </c>
      <c r="L114" s="1">
        <f t="shared" si="55"/>
        <v>0.98611111111111116</v>
      </c>
      <c r="M114" s="1">
        <f t="shared" si="55"/>
        <v>1.2416666666666667</v>
      </c>
      <c r="N114" s="1">
        <f t="shared" si="55"/>
        <v>1.2416666666666667</v>
      </c>
      <c r="O114" s="1">
        <f t="shared" si="55"/>
        <v>1.2805555555555554</v>
      </c>
      <c r="P114" s="1">
        <f t="shared" si="55"/>
        <v>1.4944444444444445</v>
      </c>
      <c r="Q114" s="1">
        <f t="shared" si="55"/>
        <v>1.7833333333333334</v>
      </c>
      <c r="R114" s="1">
        <f t="shared" si="55"/>
        <v>2</v>
      </c>
      <c r="S114" s="1">
        <f t="shared" ref="S114:AH129" si="61">(S$1-$B114)/360</f>
        <v>2.2944444444444443</v>
      </c>
      <c r="T114" s="1">
        <f t="shared" si="61"/>
        <v>2.5083333333333333</v>
      </c>
      <c r="U114" s="1">
        <f t="shared" si="61"/>
        <v>2.7972222222222221</v>
      </c>
      <c r="V114" s="1">
        <f t="shared" si="61"/>
        <v>3.0138888888888888</v>
      </c>
      <c r="W114" s="1">
        <f t="shared" si="61"/>
        <v>3.3083333333333331</v>
      </c>
      <c r="X114" s="1">
        <f t="shared" si="61"/>
        <v>3.5222222222222221</v>
      </c>
      <c r="Y114" s="1">
        <f t="shared" si="61"/>
        <v>3.8111111111111109</v>
      </c>
      <c r="Z114" s="1">
        <f t="shared" si="61"/>
        <v>4.0277777777777777</v>
      </c>
      <c r="AA114" s="1">
        <f t="shared" si="61"/>
        <v>4.322222222222222</v>
      </c>
      <c r="AB114" s="1">
        <f t="shared" si="61"/>
        <v>4.5361111111111114</v>
      </c>
      <c r="AC114" s="1">
        <f t="shared" si="61"/>
        <v>4.8277777777777775</v>
      </c>
      <c r="AD114" s="1">
        <f t="shared" si="61"/>
        <v>5.0444444444444443</v>
      </c>
      <c r="AE114" s="1">
        <f t="shared" si="61"/>
        <v>5.0444444444444443</v>
      </c>
      <c r="AF114" s="3">
        <f t="shared" si="61"/>
        <v>5.3388888888888886</v>
      </c>
      <c r="AG114" s="1">
        <f t="shared" si="59"/>
        <v>5.552777777777778</v>
      </c>
      <c r="AH114" s="1">
        <f t="shared" si="59"/>
        <v>5.8416666666666668</v>
      </c>
      <c r="AI114" s="1">
        <f t="shared" si="59"/>
        <v>5.8416666666666668</v>
      </c>
      <c r="AJ114" s="1">
        <f t="shared" si="59"/>
        <v>6.0583333333333336</v>
      </c>
      <c r="AK114" s="1">
        <f t="shared" si="59"/>
        <v>6.0583333333333336</v>
      </c>
      <c r="AL114" s="1">
        <f t="shared" si="59"/>
        <v>6.5666666666666664</v>
      </c>
      <c r="AM114" s="1">
        <f t="shared" si="59"/>
        <v>7.072222222222222</v>
      </c>
      <c r="AN114" s="1">
        <f t="shared" si="59"/>
        <v>7.072222222222222</v>
      </c>
      <c r="AO114" s="1">
        <f t="shared" si="59"/>
        <v>7.5805555555555557</v>
      </c>
      <c r="AP114" s="1">
        <f t="shared" si="59"/>
        <v>8.0861111111111104</v>
      </c>
      <c r="AQ114" s="1">
        <f t="shared" si="59"/>
        <v>8.0861111111111104</v>
      </c>
      <c r="AR114" s="1">
        <f t="shared" si="59"/>
        <v>8.594444444444445</v>
      </c>
      <c r="AS114" s="1">
        <f t="shared" si="59"/>
        <v>9.1027777777777779</v>
      </c>
      <c r="AT114" s="1">
        <f t="shared" si="59"/>
        <v>9.6111111111111107</v>
      </c>
      <c r="AU114" s="1">
        <f t="shared" si="59"/>
        <v>10.116666666666667</v>
      </c>
      <c r="AV114" s="1">
        <f t="shared" si="59"/>
        <v>10.116666666666667</v>
      </c>
      <c r="AW114" s="1">
        <f t="shared" ref="AW114:BL129" si="62">(AW$1-$B114)/360</f>
        <v>14.683333333333334</v>
      </c>
      <c r="AX114" s="1">
        <f t="shared" si="60"/>
        <v>15.188888888888888</v>
      </c>
      <c r="AY114" s="1">
        <f t="shared" si="60"/>
        <v>15.697222222222223</v>
      </c>
      <c r="AZ114" s="1">
        <f t="shared" si="60"/>
        <v>16.202777777777779</v>
      </c>
      <c r="BA114" s="1">
        <f t="shared" si="60"/>
        <v>16.711111111111112</v>
      </c>
      <c r="BB114" s="1">
        <f t="shared" si="60"/>
        <v>17.219444444444445</v>
      </c>
      <c r="BC114" s="1">
        <f t="shared" si="60"/>
        <v>17.727777777777778</v>
      </c>
      <c r="BD114" s="1">
        <f t="shared" si="60"/>
        <v>18.233333333333334</v>
      </c>
      <c r="BE114" s="1">
        <f t="shared" si="60"/>
        <v>18.233333333333334</v>
      </c>
      <c r="BF114" s="1">
        <f t="shared" si="60"/>
        <v>26.858333333333334</v>
      </c>
      <c r="BG114" s="1">
        <f t="shared" si="60"/>
        <v>27.363888888888887</v>
      </c>
      <c r="BH114" s="1">
        <f t="shared" si="60"/>
        <v>27.872222222222224</v>
      </c>
      <c r="BI114" s="1">
        <f t="shared" si="60"/>
        <v>28.377777777777776</v>
      </c>
      <c r="BJ114" s="1">
        <f t="shared" si="60"/>
        <v>28.886111111111113</v>
      </c>
      <c r="BK114" s="1">
        <f t="shared" si="60"/>
        <v>29.394444444444446</v>
      </c>
      <c r="BL114" s="1">
        <f t="shared" si="60"/>
        <v>29.902777777777779</v>
      </c>
      <c r="BM114" s="1">
        <f t="shared" si="60"/>
        <v>30.408333333333335</v>
      </c>
      <c r="BN114" s="1">
        <f t="shared" ref="BN114:CC129" si="63">(BN$1-$B114)/360</f>
        <v>30.916666666666668</v>
      </c>
      <c r="BO114" s="1">
        <f t="shared" si="58"/>
        <v>30.916666666666668</v>
      </c>
      <c r="BP114" s="1">
        <f t="shared" si="58"/>
        <v>31.422222222222221</v>
      </c>
      <c r="BQ114" s="1">
        <f t="shared" si="58"/>
        <v>31.930555555555557</v>
      </c>
      <c r="BR114" s="1">
        <f t="shared" si="58"/>
        <v>32.43611111111111</v>
      </c>
      <c r="BS114" s="1">
        <f t="shared" si="58"/>
        <v>32.944444444444443</v>
      </c>
      <c r="BT114" s="1">
        <f t="shared" si="58"/>
        <v>33.452777777777776</v>
      </c>
      <c r="BU114" s="1">
        <f t="shared" si="58"/>
        <v>33.961111111111109</v>
      </c>
      <c r="BV114" s="1">
        <f t="shared" si="58"/>
        <v>33.961111111111109</v>
      </c>
      <c r="BW114" s="1">
        <f t="shared" si="58"/>
        <v>34.466666666666669</v>
      </c>
      <c r="BX114" s="1">
        <f t="shared" si="58"/>
        <v>34.975000000000001</v>
      </c>
      <c r="BY114" s="1">
        <f t="shared" si="58"/>
        <v>35.480555555555554</v>
      </c>
      <c r="BZ114" s="1">
        <f t="shared" si="58"/>
        <v>35.988888888888887</v>
      </c>
      <c r="CA114" s="1">
        <f t="shared" si="58"/>
        <v>36.494444444444447</v>
      </c>
      <c r="CB114" s="1">
        <f t="shared" si="56"/>
        <v>37.00277777777778</v>
      </c>
      <c r="CC114" s="1">
        <f t="shared" si="56"/>
        <v>37.511111111111113</v>
      </c>
      <c r="CD114" s="1">
        <f t="shared" si="56"/>
        <v>38.019444444444446</v>
      </c>
      <c r="CE114" s="1">
        <f t="shared" si="56"/>
        <v>38.524999999999999</v>
      </c>
      <c r="CF114" s="1">
        <f t="shared" si="56"/>
        <v>39.033333333333331</v>
      </c>
      <c r="CG114" s="1">
        <f t="shared" si="56"/>
        <v>39.538888888888891</v>
      </c>
      <c r="CH114" s="1">
        <f t="shared" si="56"/>
        <v>40.047222222222224</v>
      </c>
      <c r="CI114" s="1">
        <f t="shared" si="56"/>
        <v>40.552777777777777</v>
      </c>
      <c r="CJ114" s="1">
        <f t="shared" si="56"/>
        <v>41.06111111111111</v>
      </c>
      <c r="CK114" s="1">
        <f t="shared" si="56"/>
        <v>41.569444444444443</v>
      </c>
      <c r="CL114" s="1">
        <f t="shared" si="56"/>
        <v>42.077777777777776</v>
      </c>
      <c r="CM114" s="1">
        <f t="shared" si="56"/>
        <v>42.583333333333336</v>
      </c>
      <c r="CN114" s="1">
        <f t="shared" si="56"/>
        <v>43.091666666666669</v>
      </c>
      <c r="CO114" s="1">
        <f t="shared" si="56"/>
        <v>43.597222222222221</v>
      </c>
      <c r="CP114" s="1">
        <f t="shared" si="56"/>
        <v>44.105555555555554</v>
      </c>
      <c r="CQ114" s="1">
        <f t="shared" si="56"/>
        <v>44.611111111111114</v>
      </c>
      <c r="CR114" s="1">
        <f t="shared" si="57"/>
        <v>45.119444444444447</v>
      </c>
      <c r="CS114" s="1">
        <f t="shared" si="57"/>
        <v>45.62777777777778</v>
      </c>
      <c r="CT114" s="1">
        <f t="shared" si="57"/>
        <v>46.136111111111113</v>
      </c>
      <c r="CU114" s="1">
        <f t="shared" si="57"/>
        <v>46.641666666666666</v>
      </c>
      <c r="CV114" s="1">
        <f t="shared" si="57"/>
        <v>47.15</v>
      </c>
      <c r="CW114" s="1">
        <f t="shared" si="57"/>
        <v>47.655555555555559</v>
      </c>
      <c r="CX114" s="1">
        <f t="shared" si="57"/>
        <v>48.163888888888891</v>
      </c>
      <c r="CY114" s="1">
        <f t="shared" si="57"/>
        <v>48.669444444444444</v>
      </c>
      <c r="CZ114" s="1">
        <f t="shared" si="57"/>
        <v>49.177777777777777</v>
      </c>
      <c r="DA114" s="1">
        <f t="shared" si="57"/>
        <v>49.68611111111111</v>
      </c>
      <c r="DB114" s="1">
        <f t="shared" si="57"/>
        <v>50.194444444444443</v>
      </c>
      <c r="DC114" s="1">
        <f t="shared" si="57"/>
        <v>50.194444444444443</v>
      </c>
    </row>
    <row r="115" spans="1:107" x14ac:dyDescent="0.25">
      <c r="A115">
        <f t="shared" si="38"/>
        <v>2</v>
      </c>
      <c r="B115" s="2">
        <f>yields_BRUTE!B115</f>
        <v>42170</v>
      </c>
      <c r="C115" s="1">
        <f t="shared" ref="C115:R130" si="64">(C$1-$B115)/360</f>
        <v>-0.29444444444444445</v>
      </c>
      <c r="D115" s="1">
        <f t="shared" si="64"/>
        <v>-0.25555555555555554</v>
      </c>
      <c r="E115" s="1">
        <f t="shared" si="64"/>
        <v>-3.888888888888889E-2</v>
      </c>
      <c r="F115" s="1">
        <f t="shared" si="64"/>
        <v>0.21666666666666667</v>
      </c>
      <c r="G115" s="1">
        <f t="shared" si="64"/>
        <v>0.25555555555555554</v>
      </c>
      <c r="H115" s="1">
        <f t="shared" si="64"/>
        <v>0.46944444444444444</v>
      </c>
      <c r="I115" s="1">
        <f t="shared" si="64"/>
        <v>0.46944444444444444</v>
      </c>
      <c r="J115" s="1">
        <f t="shared" si="64"/>
        <v>0.72222222222222221</v>
      </c>
      <c r="K115" s="1">
        <f t="shared" si="64"/>
        <v>0.76111111111111107</v>
      </c>
      <c r="L115" s="1">
        <f t="shared" si="64"/>
        <v>0.97777777777777775</v>
      </c>
      <c r="M115" s="1">
        <f t="shared" si="64"/>
        <v>1.2333333333333334</v>
      </c>
      <c r="N115" s="1">
        <f t="shared" si="64"/>
        <v>1.2333333333333334</v>
      </c>
      <c r="O115" s="1">
        <f t="shared" si="64"/>
        <v>1.2722222222222221</v>
      </c>
      <c r="P115" s="1">
        <f t="shared" si="64"/>
        <v>1.4861111111111112</v>
      </c>
      <c r="Q115" s="1">
        <f t="shared" si="64"/>
        <v>1.7749999999999999</v>
      </c>
      <c r="R115" s="1">
        <f t="shared" si="64"/>
        <v>1.9916666666666667</v>
      </c>
      <c r="S115" s="1">
        <f t="shared" si="61"/>
        <v>2.286111111111111</v>
      </c>
      <c r="T115" s="1">
        <f t="shared" si="61"/>
        <v>2.5</v>
      </c>
      <c r="U115" s="1">
        <f t="shared" si="61"/>
        <v>2.7888888888888888</v>
      </c>
      <c r="V115" s="1">
        <f t="shared" si="61"/>
        <v>3.0055555555555555</v>
      </c>
      <c r="W115" s="1">
        <f t="shared" si="61"/>
        <v>3.3</v>
      </c>
      <c r="X115" s="1">
        <f t="shared" si="61"/>
        <v>3.5138888888888888</v>
      </c>
      <c r="Y115" s="1">
        <f t="shared" si="61"/>
        <v>3.8027777777777776</v>
      </c>
      <c r="Z115" s="1">
        <f t="shared" si="61"/>
        <v>4.0194444444444448</v>
      </c>
      <c r="AA115" s="1">
        <f t="shared" si="61"/>
        <v>4.3138888888888891</v>
      </c>
      <c r="AB115" s="1">
        <f t="shared" si="61"/>
        <v>4.5277777777777777</v>
      </c>
      <c r="AC115" s="1">
        <f t="shared" si="61"/>
        <v>4.8194444444444446</v>
      </c>
      <c r="AD115" s="1">
        <f t="shared" si="61"/>
        <v>5.0361111111111114</v>
      </c>
      <c r="AE115" s="1">
        <f t="shared" si="61"/>
        <v>5.0361111111111114</v>
      </c>
      <c r="AF115" s="3">
        <f t="shared" si="61"/>
        <v>5.3305555555555557</v>
      </c>
      <c r="AG115" s="1">
        <f t="shared" si="59"/>
        <v>5.5444444444444443</v>
      </c>
      <c r="AH115" s="1">
        <f t="shared" si="59"/>
        <v>5.833333333333333</v>
      </c>
      <c r="AI115" s="1">
        <f t="shared" si="59"/>
        <v>5.833333333333333</v>
      </c>
      <c r="AJ115" s="1">
        <f t="shared" si="59"/>
        <v>6.05</v>
      </c>
      <c r="AK115" s="1">
        <f t="shared" si="59"/>
        <v>6.05</v>
      </c>
      <c r="AL115" s="1">
        <f t="shared" si="59"/>
        <v>6.5583333333333336</v>
      </c>
      <c r="AM115" s="1">
        <f t="shared" si="59"/>
        <v>7.0638888888888891</v>
      </c>
      <c r="AN115" s="1">
        <f t="shared" si="59"/>
        <v>7.0638888888888891</v>
      </c>
      <c r="AO115" s="1">
        <f t="shared" si="59"/>
        <v>7.572222222222222</v>
      </c>
      <c r="AP115" s="1">
        <f t="shared" si="59"/>
        <v>8.0777777777777775</v>
      </c>
      <c r="AQ115" s="1">
        <f t="shared" si="59"/>
        <v>8.0777777777777775</v>
      </c>
      <c r="AR115" s="1">
        <f t="shared" si="59"/>
        <v>8.5861111111111104</v>
      </c>
      <c r="AS115" s="1">
        <f t="shared" si="59"/>
        <v>9.094444444444445</v>
      </c>
      <c r="AT115" s="1">
        <f t="shared" si="59"/>
        <v>9.6027777777777779</v>
      </c>
      <c r="AU115" s="1">
        <f t="shared" si="59"/>
        <v>10.108333333333333</v>
      </c>
      <c r="AV115" s="1">
        <f t="shared" si="59"/>
        <v>10.108333333333333</v>
      </c>
      <c r="AW115" s="1">
        <f t="shared" si="62"/>
        <v>14.675000000000001</v>
      </c>
      <c r="AX115" s="1">
        <f t="shared" si="60"/>
        <v>15.180555555555555</v>
      </c>
      <c r="AY115" s="1">
        <f t="shared" si="60"/>
        <v>15.688888888888888</v>
      </c>
      <c r="AZ115" s="1">
        <f t="shared" si="60"/>
        <v>16.194444444444443</v>
      </c>
      <c r="BA115" s="1">
        <f t="shared" si="60"/>
        <v>16.702777777777779</v>
      </c>
      <c r="BB115" s="1">
        <f t="shared" si="60"/>
        <v>17.211111111111112</v>
      </c>
      <c r="BC115" s="1">
        <f t="shared" si="60"/>
        <v>17.719444444444445</v>
      </c>
      <c r="BD115" s="1">
        <f t="shared" si="60"/>
        <v>18.225000000000001</v>
      </c>
      <c r="BE115" s="1">
        <f t="shared" si="60"/>
        <v>18.225000000000001</v>
      </c>
      <c r="BF115" s="1">
        <f t="shared" si="60"/>
        <v>26.85</v>
      </c>
      <c r="BG115" s="1">
        <f t="shared" si="60"/>
        <v>27.355555555555554</v>
      </c>
      <c r="BH115" s="1">
        <f t="shared" si="60"/>
        <v>27.863888888888887</v>
      </c>
      <c r="BI115" s="1">
        <f t="shared" si="60"/>
        <v>28.369444444444444</v>
      </c>
      <c r="BJ115" s="1">
        <f t="shared" si="60"/>
        <v>28.877777777777776</v>
      </c>
      <c r="BK115" s="1">
        <f t="shared" si="60"/>
        <v>29.386111111111113</v>
      </c>
      <c r="BL115" s="1">
        <f t="shared" si="60"/>
        <v>29.894444444444446</v>
      </c>
      <c r="BM115" s="1">
        <f t="shared" si="60"/>
        <v>30.4</v>
      </c>
      <c r="BN115" s="1">
        <f t="shared" si="63"/>
        <v>30.908333333333335</v>
      </c>
      <c r="BO115" s="1">
        <f t="shared" si="58"/>
        <v>30.908333333333335</v>
      </c>
      <c r="BP115" s="1">
        <f t="shared" si="58"/>
        <v>31.413888888888888</v>
      </c>
      <c r="BQ115" s="1">
        <f t="shared" si="58"/>
        <v>31.922222222222221</v>
      </c>
      <c r="BR115" s="1">
        <f t="shared" si="58"/>
        <v>32.427777777777777</v>
      </c>
      <c r="BS115" s="1">
        <f t="shared" si="58"/>
        <v>32.93611111111111</v>
      </c>
      <c r="BT115" s="1">
        <f t="shared" si="58"/>
        <v>33.444444444444443</v>
      </c>
      <c r="BU115" s="1">
        <f t="shared" si="58"/>
        <v>33.952777777777776</v>
      </c>
      <c r="BV115" s="1">
        <f t="shared" si="58"/>
        <v>33.952777777777776</v>
      </c>
      <c r="BW115" s="1">
        <f t="shared" si="58"/>
        <v>34.458333333333336</v>
      </c>
      <c r="BX115" s="1">
        <f t="shared" si="58"/>
        <v>34.966666666666669</v>
      </c>
      <c r="BY115" s="1">
        <f t="shared" si="58"/>
        <v>35.472222222222221</v>
      </c>
      <c r="BZ115" s="1">
        <f t="shared" si="58"/>
        <v>35.980555555555554</v>
      </c>
      <c r="CA115" s="1">
        <f t="shared" si="58"/>
        <v>36.486111111111114</v>
      </c>
      <c r="CB115" s="1">
        <f t="shared" si="56"/>
        <v>36.994444444444447</v>
      </c>
      <c r="CC115" s="1">
        <f t="shared" si="56"/>
        <v>37.50277777777778</v>
      </c>
      <c r="CD115" s="1">
        <f t="shared" si="56"/>
        <v>38.011111111111113</v>
      </c>
      <c r="CE115" s="1">
        <f t="shared" si="56"/>
        <v>38.516666666666666</v>
      </c>
      <c r="CF115" s="1">
        <f t="shared" si="56"/>
        <v>39.024999999999999</v>
      </c>
      <c r="CG115" s="1">
        <f t="shared" si="56"/>
        <v>39.530555555555559</v>
      </c>
      <c r="CH115" s="1">
        <f t="shared" si="56"/>
        <v>40.038888888888891</v>
      </c>
      <c r="CI115" s="1">
        <f t="shared" si="56"/>
        <v>40.544444444444444</v>
      </c>
      <c r="CJ115" s="1">
        <f t="shared" si="56"/>
        <v>41.052777777777777</v>
      </c>
      <c r="CK115" s="1">
        <f t="shared" si="56"/>
        <v>41.56111111111111</v>
      </c>
      <c r="CL115" s="1">
        <f t="shared" si="56"/>
        <v>42.069444444444443</v>
      </c>
      <c r="CM115" s="1">
        <f t="shared" si="56"/>
        <v>42.575000000000003</v>
      </c>
      <c r="CN115" s="1">
        <f t="shared" si="56"/>
        <v>43.083333333333336</v>
      </c>
      <c r="CO115" s="1">
        <f t="shared" si="56"/>
        <v>43.588888888888889</v>
      </c>
      <c r="CP115" s="1">
        <f t="shared" si="56"/>
        <v>44.097222222222221</v>
      </c>
      <c r="CQ115" s="1">
        <f t="shared" si="56"/>
        <v>44.602777777777774</v>
      </c>
      <c r="CR115" s="1">
        <f t="shared" si="57"/>
        <v>45.111111111111114</v>
      </c>
      <c r="CS115" s="1">
        <f t="shared" si="57"/>
        <v>45.619444444444447</v>
      </c>
      <c r="CT115" s="1">
        <f t="shared" si="57"/>
        <v>46.12777777777778</v>
      </c>
      <c r="CU115" s="1">
        <f t="shared" si="57"/>
        <v>46.633333333333333</v>
      </c>
      <c r="CV115" s="1">
        <f t="shared" si="57"/>
        <v>47.141666666666666</v>
      </c>
      <c r="CW115" s="1">
        <f t="shared" si="57"/>
        <v>47.647222222222226</v>
      </c>
      <c r="CX115" s="1">
        <f t="shared" si="57"/>
        <v>48.155555555555559</v>
      </c>
      <c r="CY115" s="1">
        <f t="shared" si="57"/>
        <v>48.661111111111111</v>
      </c>
      <c r="CZ115" s="1">
        <f t="shared" si="57"/>
        <v>49.169444444444444</v>
      </c>
      <c r="DA115" s="1">
        <f t="shared" si="57"/>
        <v>49.677777777777777</v>
      </c>
      <c r="DB115" s="1">
        <f t="shared" si="57"/>
        <v>50.18611111111111</v>
      </c>
      <c r="DC115" s="1">
        <f t="shared" si="57"/>
        <v>50.18611111111111</v>
      </c>
    </row>
    <row r="116" spans="1:107" x14ac:dyDescent="0.25">
      <c r="A116">
        <f t="shared" si="38"/>
        <v>3</v>
      </c>
      <c r="B116" s="2">
        <f>yields_BRUTE!B116</f>
        <v>42171</v>
      </c>
      <c r="C116" s="1">
        <f t="shared" si="64"/>
        <v>-0.29722222222222222</v>
      </c>
      <c r="D116" s="1">
        <f t="shared" si="64"/>
        <v>-0.25833333333333336</v>
      </c>
      <c r="E116" s="1">
        <f t="shared" si="64"/>
        <v>-4.1666666666666664E-2</v>
      </c>
      <c r="F116" s="1">
        <f t="shared" si="64"/>
        <v>0.21388888888888888</v>
      </c>
      <c r="G116" s="1">
        <f t="shared" si="64"/>
        <v>0.25277777777777777</v>
      </c>
      <c r="H116" s="1">
        <f t="shared" si="64"/>
        <v>0.46666666666666667</v>
      </c>
      <c r="I116" s="1">
        <f t="shared" si="64"/>
        <v>0.46666666666666667</v>
      </c>
      <c r="J116" s="1">
        <f t="shared" si="64"/>
        <v>0.71944444444444444</v>
      </c>
      <c r="K116" s="1">
        <f t="shared" si="64"/>
        <v>0.7583333333333333</v>
      </c>
      <c r="L116" s="1">
        <f t="shared" si="64"/>
        <v>0.97499999999999998</v>
      </c>
      <c r="M116" s="1">
        <f t="shared" si="64"/>
        <v>1.2305555555555556</v>
      </c>
      <c r="N116" s="1">
        <f t="shared" si="64"/>
        <v>1.2305555555555556</v>
      </c>
      <c r="O116" s="1">
        <f t="shared" si="64"/>
        <v>1.2694444444444444</v>
      </c>
      <c r="P116" s="1">
        <f t="shared" si="64"/>
        <v>1.4833333333333334</v>
      </c>
      <c r="Q116" s="1">
        <f t="shared" si="64"/>
        <v>1.7722222222222221</v>
      </c>
      <c r="R116" s="1">
        <f t="shared" si="64"/>
        <v>1.9888888888888889</v>
      </c>
      <c r="S116" s="1">
        <f t="shared" si="61"/>
        <v>2.2833333333333332</v>
      </c>
      <c r="T116" s="1">
        <f t="shared" si="61"/>
        <v>2.4972222222222222</v>
      </c>
      <c r="U116" s="1">
        <f t="shared" si="61"/>
        <v>2.786111111111111</v>
      </c>
      <c r="V116" s="1">
        <f t="shared" si="61"/>
        <v>3.0027777777777778</v>
      </c>
      <c r="W116" s="1">
        <f t="shared" si="61"/>
        <v>3.2972222222222221</v>
      </c>
      <c r="X116" s="1">
        <f t="shared" si="61"/>
        <v>3.5111111111111111</v>
      </c>
      <c r="Y116" s="1">
        <f t="shared" si="61"/>
        <v>3.8</v>
      </c>
      <c r="Z116" s="1">
        <f t="shared" si="61"/>
        <v>4.0166666666666666</v>
      </c>
      <c r="AA116" s="1">
        <f t="shared" si="61"/>
        <v>4.3111111111111109</v>
      </c>
      <c r="AB116" s="1">
        <f t="shared" si="61"/>
        <v>4.5250000000000004</v>
      </c>
      <c r="AC116" s="1">
        <f t="shared" si="61"/>
        <v>4.8166666666666664</v>
      </c>
      <c r="AD116" s="1">
        <f t="shared" si="61"/>
        <v>5.0333333333333332</v>
      </c>
      <c r="AE116" s="1">
        <f t="shared" si="61"/>
        <v>5.0333333333333332</v>
      </c>
      <c r="AF116" s="3">
        <f t="shared" si="61"/>
        <v>5.3277777777777775</v>
      </c>
      <c r="AG116" s="1">
        <f t="shared" si="59"/>
        <v>5.541666666666667</v>
      </c>
      <c r="AH116" s="1">
        <f t="shared" si="59"/>
        <v>5.8305555555555557</v>
      </c>
      <c r="AI116" s="1">
        <f t="shared" si="59"/>
        <v>5.8305555555555557</v>
      </c>
      <c r="AJ116" s="1">
        <f t="shared" si="59"/>
        <v>6.0472222222222225</v>
      </c>
      <c r="AK116" s="1">
        <f t="shared" si="59"/>
        <v>6.0472222222222225</v>
      </c>
      <c r="AL116" s="1">
        <f t="shared" si="59"/>
        <v>6.5555555555555554</v>
      </c>
      <c r="AM116" s="1">
        <f t="shared" si="59"/>
        <v>7.0611111111111109</v>
      </c>
      <c r="AN116" s="1">
        <f t="shared" si="59"/>
        <v>7.0611111111111109</v>
      </c>
      <c r="AO116" s="1">
        <f t="shared" si="59"/>
        <v>7.5694444444444446</v>
      </c>
      <c r="AP116" s="1">
        <f t="shared" si="59"/>
        <v>8.0749999999999993</v>
      </c>
      <c r="AQ116" s="1">
        <f t="shared" si="59"/>
        <v>8.0749999999999993</v>
      </c>
      <c r="AR116" s="1">
        <f t="shared" si="59"/>
        <v>8.5833333333333339</v>
      </c>
      <c r="AS116" s="1">
        <f t="shared" si="59"/>
        <v>9.0916666666666668</v>
      </c>
      <c r="AT116" s="1">
        <f t="shared" si="59"/>
        <v>9.6</v>
      </c>
      <c r="AU116" s="1">
        <f t="shared" si="59"/>
        <v>10.105555555555556</v>
      </c>
      <c r="AV116" s="1">
        <f t="shared" si="59"/>
        <v>10.105555555555556</v>
      </c>
      <c r="AW116" s="1">
        <f t="shared" si="62"/>
        <v>14.672222222222222</v>
      </c>
      <c r="AX116" s="1">
        <f t="shared" si="60"/>
        <v>15.177777777777777</v>
      </c>
      <c r="AY116" s="1">
        <f t="shared" si="60"/>
        <v>15.686111111111112</v>
      </c>
      <c r="AZ116" s="1">
        <f t="shared" si="60"/>
        <v>16.191666666666666</v>
      </c>
      <c r="BA116" s="1">
        <f t="shared" si="60"/>
        <v>16.7</v>
      </c>
      <c r="BB116" s="1">
        <f t="shared" si="60"/>
        <v>17.208333333333332</v>
      </c>
      <c r="BC116" s="1">
        <f t="shared" si="60"/>
        <v>17.716666666666665</v>
      </c>
      <c r="BD116" s="1">
        <f t="shared" si="60"/>
        <v>18.222222222222221</v>
      </c>
      <c r="BE116" s="1">
        <f t="shared" si="60"/>
        <v>18.222222222222221</v>
      </c>
      <c r="BF116" s="1">
        <f t="shared" si="60"/>
        <v>26.847222222222221</v>
      </c>
      <c r="BG116" s="1">
        <f t="shared" si="60"/>
        <v>27.352777777777778</v>
      </c>
      <c r="BH116" s="1">
        <f t="shared" si="60"/>
        <v>27.861111111111111</v>
      </c>
      <c r="BI116" s="1">
        <f t="shared" si="60"/>
        <v>28.366666666666667</v>
      </c>
      <c r="BJ116" s="1">
        <f t="shared" si="60"/>
        <v>28.875</v>
      </c>
      <c r="BK116" s="1">
        <f t="shared" si="60"/>
        <v>29.383333333333333</v>
      </c>
      <c r="BL116" s="1">
        <f t="shared" si="60"/>
        <v>29.891666666666666</v>
      </c>
      <c r="BM116" s="1">
        <f t="shared" si="60"/>
        <v>30.397222222222222</v>
      </c>
      <c r="BN116" s="1">
        <f t="shared" si="63"/>
        <v>30.905555555555555</v>
      </c>
      <c r="BO116" s="1">
        <f t="shared" si="58"/>
        <v>30.905555555555555</v>
      </c>
      <c r="BP116" s="1">
        <f t="shared" si="58"/>
        <v>31.411111111111111</v>
      </c>
      <c r="BQ116" s="1">
        <f t="shared" si="58"/>
        <v>31.919444444444444</v>
      </c>
      <c r="BR116" s="1">
        <f t="shared" si="58"/>
        <v>32.424999999999997</v>
      </c>
      <c r="BS116" s="1">
        <f t="shared" si="58"/>
        <v>32.93333333333333</v>
      </c>
      <c r="BT116" s="1">
        <f t="shared" si="58"/>
        <v>33.44166666666667</v>
      </c>
      <c r="BU116" s="1">
        <f t="shared" si="58"/>
        <v>33.950000000000003</v>
      </c>
      <c r="BV116" s="1">
        <f t="shared" si="58"/>
        <v>33.950000000000003</v>
      </c>
      <c r="BW116" s="1">
        <f t="shared" si="58"/>
        <v>34.455555555555556</v>
      </c>
      <c r="BX116" s="1">
        <f t="shared" si="58"/>
        <v>34.963888888888889</v>
      </c>
      <c r="BY116" s="1">
        <f t="shared" si="58"/>
        <v>35.469444444444441</v>
      </c>
      <c r="BZ116" s="1">
        <f t="shared" si="58"/>
        <v>35.977777777777774</v>
      </c>
      <c r="CA116" s="1">
        <f t="shared" si="58"/>
        <v>36.483333333333334</v>
      </c>
      <c r="CB116" s="1">
        <f t="shared" si="56"/>
        <v>36.991666666666667</v>
      </c>
      <c r="CC116" s="1">
        <f t="shared" si="56"/>
        <v>37.5</v>
      </c>
      <c r="CD116" s="1">
        <f t="shared" si="56"/>
        <v>38.008333333333333</v>
      </c>
      <c r="CE116" s="1">
        <f t="shared" si="56"/>
        <v>38.513888888888886</v>
      </c>
      <c r="CF116" s="1">
        <f t="shared" si="56"/>
        <v>39.022222222222226</v>
      </c>
      <c r="CG116" s="1">
        <f t="shared" si="56"/>
        <v>39.527777777777779</v>
      </c>
      <c r="CH116" s="1">
        <f t="shared" si="56"/>
        <v>40.036111111111111</v>
      </c>
      <c r="CI116" s="1">
        <f t="shared" si="56"/>
        <v>40.541666666666664</v>
      </c>
      <c r="CJ116" s="1">
        <f t="shared" si="56"/>
        <v>41.05</v>
      </c>
      <c r="CK116" s="1">
        <f t="shared" si="56"/>
        <v>41.55833333333333</v>
      </c>
      <c r="CL116" s="1">
        <f t="shared" si="56"/>
        <v>42.06666666666667</v>
      </c>
      <c r="CM116" s="1">
        <f t="shared" si="56"/>
        <v>42.572222222222223</v>
      </c>
      <c r="CN116" s="1">
        <f t="shared" si="56"/>
        <v>43.080555555555556</v>
      </c>
      <c r="CO116" s="1">
        <f t="shared" si="56"/>
        <v>43.586111111111109</v>
      </c>
      <c r="CP116" s="1">
        <f t="shared" si="56"/>
        <v>44.094444444444441</v>
      </c>
      <c r="CQ116" s="1">
        <f t="shared" si="56"/>
        <v>44.6</v>
      </c>
      <c r="CR116" s="1">
        <f t="shared" si="57"/>
        <v>45.108333333333334</v>
      </c>
      <c r="CS116" s="1">
        <f t="shared" si="57"/>
        <v>45.616666666666667</v>
      </c>
      <c r="CT116" s="1">
        <f t="shared" si="57"/>
        <v>46.125</v>
      </c>
      <c r="CU116" s="1">
        <f t="shared" si="57"/>
        <v>46.630555555555553</v>
      </c>
      <c r="CV116" s="1">
        <f t="shared" si="57"/>
        <v>47.138888888888886</v>
      </c>
      <c r="CW116" s="1">
        <f t="shared" si="57"/>
        <v>47.644444444444446</v>
      </c>
      <c r="CX116" s="1">
        <f t="shared" si="57"/>
        <v>48.152777777777779</v>
      </c>
      <c r="CY116" s="1">
        <f t="shared" si="57"/>
        <v>48.658333333333331</v>
      </c>
      <c r="CZ116" s="1">
        <f t="shared" si="57"/>
        <v>49.166666666666664</v>
      </c>
      <c r="DA116" s="1">
        <f t="shared" si="57"/>
        <v>49.674999999999997</v>
      </c>
      <c r="DB116" s="1">
        <f t="shared" si="57"/>
        <v>50.18333333333333</v>
      </c>
      <c r="DC116" s="1">
        <f t="shared" si="57"/>
        <v>50.18333333333333</v>
      </c>
    </row>
    <row r="117" spans="1:107" x14ac:dyDescent="0.25">
      <c r="A117">
        <f t="shared" si="38"/>
        <v>4</v>
      </c>
      <c r="B117" s="2">
        <f>yields_BRUTE!B117</f>
        <v>42172</v>
      </c>
      <c r="C117" s="1">
        <f t="shared" si="64"/>
        <v>-0.3</v>
      </c>
      <c r="D117" s="1">
        <f t="shared" si="64"/>
        <v>-0.26111111111111113</v>
      </c>
      <c r="E117" s="1">
        <f t="shared" si="64"/>
        <v>-4.4444444444444446E-2</v>
      </c>
      <c r="F117" s="1">
        <f t="shared" si="64"/>
        <v>0.21111111111111111</v>
      </c>
      <c r="G117" s="1">
        <f t="shared" si="64"/>
        <v>0.25</v>
      </c>
      <c r="H117" s="1">
        <f t="shared" si="64"/>
        <v>0.46388888888888891</v>
      </c>
      <c r="I117" s="1">
        <f t="shared" si="64"/>
        <v>0.46388888888888891</v>
      </c>
      <c r="J117" s="1">
        <f t="shared" si="64"/>
        <v>0.71666666666666667</v>
      </c>
      <c r="K117" s="1">
        <f t="shared" si="64"/>
        <v>0.75555555555555554</v>
      </c>
      <c r="L117" s="1">
        <f t="shared" si="64"/>
        <v>0.97222222222222221</v>
      </c>
      <c r="M117" s="1">
        <f t="shared" si="64"/>
        <v>1.2277777777777779</v>
      </c>
      <c r="N117" s="1">
        <f t="shared" si="64"/>
        <v>1.2277777777777779</v>
      </c>
      <c r="O117" s="1">
        <f t="shared" si="64"/>
        <v>1.2666666666666666</v>
      </c>
      <c r="P117" s="1">
        <f t="shared" si="64"/>
        <v>1.4805555555555556</v>
      </c>
      <c r="Q117" s="1">
        <f t="shared" si="64"/>
        <v>1.7694444444444444</v>
      </c>
      <c r="R117" s="1">
        <f t="shared" si="64"/>
        <v>1.9861111111111112</v>
      </c>
      <c r="S117" s="1">
        <f t="shared" si="61"/>
        <v>2.2805555555555554</v>
      </c>
      <c r="T117" s="1">
        <f t="shared" si="61"/>
        <v>2.4944444444444445</v>
      </c>
      <c r="U117" s="1">
        <f t="shared" si="61"/>
        <v>2.7833333333333332</v>
      </c>
      <c r="V117" s="1">
        <f t="shared" si="61"/>
        <v>3</v>
      </c>
      <c r="W117" s="1">
        <f t="shared" si="61"/>
        <v>3.2944444444444443</v>
      </c>
      <c r="X117" s="1">
        <f t="shared" si="61"/>
        <v>3.5083333333333333</v>
      </c>
      <c r="Y117" s="1">
        <f t="shared" si="61"/>
        <v>3.7972222222222221</v>
      </c>
      <c r="Z117" s="1">
        <f t="shared" si="61"/>
        <v>4.0138888888888893</v>
      </c>
      <c r="AA117" s="1">
        <f t="shared" si="61"/>
        <v>4.3083333333333336</v>
      </c>
      <c r="AB117" s="1">
        <f t="shared" si="61"/>
        <v>4.5222222222222221</v>
      </c>
      <c r="AC117" s="1">
        <f t="shared" si="61"/>
        <v>4.8138888888888891</v>
      </c>
      <c r="AD117" s="1">
        <f t="shared" si="61"/>
        <v>5.0305555555555559</v>
      </c>
      <c r="AE117" s="1">
        <f t="shared" si="61"/>
        <v>5.0305555555555559</v>
      </c>
      <c r="AF117" s="3">
        <f t="shared" si="61"/>
        <v>5.3250000000000002</v>
      </c>
      <c r="AG117" s="1">
        <f t="shared" si="59"/>
        <v>5.5388888888888888</v>
      </c>
      <c r="AH117" s="1">
        <f t="shared" si="59"/>
        <v>5.8277777777777775</v>
      </c>
      <c r="AI117" s="1">
        <f t="shared" si="59"/>
        <v>5.8277777777777775</v>
      </c>
      <c r="AJ117" s="1">
        <f t="shared" si="59"/>
        <v>6.0444444444444443</v>
      </c>
      <c r="AK117" s="1">
        <f t="shared" si="59"/>
        <v>6.0444444444444443</v>
      </c>
      <c r="AL117" s="1">
        <f t="shared" si="59"/>
        <v>6.552777777777778</v>
      </c>
      <c r="AM117" s="1">
        <f t="shared" si="59"/>
        <v>7.0583333333333336</v>
      </c>
      <c r="AN117" s="1">
        <f t="shared" si="59"/>
        <v>7.0583333333333336</v>
      </c>
      <c r="AO117" s="1">
        <f t="shared" si="59"/>
        <v>7.5666666666666664</v>
      </c>
      <c r="AP117" s="1">
        <f t="shared" si="59"/>
        <v>8.0722222222222229</v>
      </c>
      <c r="AQ117" s="1">
        <f t="shared" si="59"/>
        <v>8.0722222222222229</v>
      </c>
      <c r="AR117" s="1">
        <f t="shared" si="59"/>
        <v>8.5805555555555557</v>
      </c>
      <c r="AS117" s="1">
        <f t="shared" si="59"/>
        <v>9.0888888888888886</v>
      </c>
      <c r="AT117" s="1">
        <f t="shared" si="59"/>
        <v>9.5972222222222214</v>
      </c>
      <c r="AU117" s="1">
        <f t="shared" si="59"/>
        <v>10.102777777777778</v>
      </c>
      <c r="AV117" s="1">
        <f t="shared" si="59"/>
        <v>10.102777777777778</v>
      </c>
      <c r="AW117" s="1">
        <f t="shared" si="62"/>
        <v>14.669444444444444</v>
      </c>
      <c r="AX117" s="1">
        <f t="shared" si="60"/>
        <v>15.175000000000001</v>
      </c>
      <c r="AY117" s="1">
        <f t="shared" si="60"/>
        <v>15.683333333333334</v>
      </c>
      <c r="AZ117" s="1">
        <f t="shared" si="60"/>
        <v>16.18888888888889</v>
      </c>
      <c r="BA117" s="1">
        <f t="shared" si="60"/>
        <v>16.697222222222223</v>
      </c>
      <c r="BB117" s="1">
        <f t="shared" si="60"/>
        <v>17.205555555555556</v>
      </c>
      <c r="BC117" s="1">
        <f t="shared" si="60"/>
        <v>17.713888888888889</v>
      </c>
      <c r="BD117" s="1">
        <f t="shared" si="60"/>
        <v>18.219444444444445</v>
      </c>
      <c r="BE117" s="1">
        <f t="shared" si="60"/>
        <v>18.219444444444445</v>
      </c>
      <c r="BF117" s="1">
        <f t="shared" si="60"/>
        <v>26.844444444444445</v>
      </c>
      <c r="BG117" s="1">
        <f t="shared" si="60"/>
        <v>27.35</v>
      </c>
      <c r="BH117" s="1">
        <f t="shared" si="60"/>
        <v>27.858333333333334</v>
      </c>
      <c r="BI117" s="1">
        <f t="shared" si="60"/>
        <v>28.363888888888887</v>
      </c>
      <c r="BJ117" s="1">
        <f t="shared" si="60"/>
        <v>28.872222222222224</v>
      </c>
      <c r="BK117" s="1">
        <f t="shared" si="60"/>
        <v>29.380555555555556</v>
      </c>
      <c r="BL117" s="1">
        <f t="shared" si="60"/>
        <v>29.888888888888889</v>
      </c>
      <c r="BM117" s="1">
        <f t="shared" si="60"/>
        <v>30.394444444444446</v>
      </c>
      <c r="BN117" s="1">
        <f t="shared" si="63"/>
        <v>30.902777777777779</v>
      </c>
      <c r="BO117" s="1">
        <f t="shared" si="58"/>
        <v>30.902777777777779</v>
      </c>
      <c r="BP117" s="1">
        <f t="shared" si="58"/>
        <v>31.408333333333335</v>
      </c>
      <c r="BQ117" s="1">
        <f t="shared" si="58"/>
        <v>31.916666666666668</v>
      </c>
      <c r="BR117" s="1">
        <f t="shared" si="58"/>
        <v>32.422222222222224</v>
      </c>
      <c r="BS117" s="1">
        <f t="shared" si="58"/>
        <v>32.930555555555557</v>
      </c>
      <c r="BT117" s="1">
        <f t="shared" si="58"/>
        <v>33.43888888888889</v>
      </c>
      <c r="BU117" s="1">
        <f t="shared" si="58"/>
        <v>33.947222222222223</v>
      </c>
      <c r="BV117" s="1">
        <f t="shared" si="58"/>
        <v>33.947222222222223</v>
      </c>
      <c r="BW117" s="1">
        <f t="shared" si="58"/>
        <v>34.452777777777776</v>
      </c>
      <c r="BX117" s="1">
        <f t="shared" si="58"/>
        <v>34.961111111111109</v>
      </c>
      <c r="BY117" s="1">
        <f t="shared" si="58"/>
        <v>35.466666666666669</v>
      </c>
      <c r="BZ117" s="1">
        <f t="shared" si="58"/>
        <v>35.975000000000001</v>
      </c>
      <c r="CA117" s="1">
        <f t="shared" si="58"/>
        <v>36.480555555555554</v>
      </c>
      <c r="CB117" s="1">
        <f t="shared" si="56"/>
        <v>36.988888888888887</v>
      </c>
      <c r="CC117" s="1">
        <f t="shared" si="56"/>
        <v>37.49722222222222</v>
      </c>
      <c r="CD117" s="1">
        <f t="shared" si="56"/>
        <v>38.005555555555553</v>
      </c>
      <c r="CE117" s="1">
        <f t="shared" si="56"/>
        <v>38.511111111111113</v>
      </c>
      <c r="CF117" s="1">
        <f t="shared" si="56"/>
        <v>39.019444444444446</v>
      </c>
      <c r="CG117" s="1">
        <f t="shared" si="56"/>
        <v>39.524999999999999</v>
      </c>
      <c r="CH117" s="1">
        <f t="shared" si="56"/>
        <v>40.033333333333331</v>
      </c>
      <c r="CI117" s="1">
        <f t="shared" si="56"/>
        <v>40.538888888888891</v>
      </c>
      <c r="CJ117" s="1">
        <f t="shared" si="56"/>
        <v>41.047222222222224</v>
      </c>
      <c r="CK117" s="1">
        <f t="shared" si="56"/>
        <v>41.555555555555557</v>
      </c>
      <c r="CL117" s="1">
        <f t="shared" si="56"/>
        <v>42.06388888888889</v>
      </c>
      <c r="CM117" s="1">
        <f t="shared" si="56"/>
        <v>42.569444444444443</v>
      </c>
      <c r="CN117" s="1">
        <f t="shared" si="56"/>
        <v>43.077777777777776</v>
      </c>
      <c r="CO117" s="1">
        <f t="shared" si="56"/>
        <v>43.583333333333336</v>
      </c>
      <c r="CP117" s="1">
        <f t="shared" si="56"/>
        <v>44.091666666666669</v>
      </c>
      <c r="CQ117" s="1">
        <f t="shared" si="56"/>
        <v>44.597222222222221</v>
      </c>
      <c r="CR117" s="1">
        <f t="shared" si="57"/>
        <v>45.105555555555554</v>
      </c>
      <c r="CS117" s="1">
        <f t="shared" si="57"/>
        <v>45.613888888888887</v>
      </c>
      <c r="CT117" s="1">
        <f t="shared" si="57"/>
        <v>46.12222222222222</v>
      </c>
      <c r="CU117" s="1">
        <f t="shared" si="57"/>
        <v>46.62777777777778</v>
      </c>
      <c r="CV117" s="1">
        <f t="shared" si="57"/>
        <v>47.136111111111113</v>
      </c>
      <c r="CW117" s="1">
        <f t="shared" si="57"/>
        <v>47.641666666666666</v>
      </c>
      <c r="CX117" s="1">
        <f t="shared" si="57"/>
        <v>48.15</v>
      </c>
      <c r="CY117" s="1">
        <f t="shared" si="57"/>
        <v>48.655555555555559</v>
      </c>
      <c r="CZ117" s="1">
        <f t="shared" si="57"/>
        <v>49.163888888888891</v>
      </c>
      <c r="DA117" s="1">
        <f t="shared" si="57"/>
        <v>49.672222222222224</v>
      </c>
      <c r="DB117" s="1">
        <f t="shared" si="57"/>
        <v>50.180555555555557</v>
      </c>
      <c r="DC117" s="1">
        <f t="shared" si="57"/>
        <v>50.180555555555557</v>
      </c>
    </row>
    <row r="118" spans="1:107" x14ac:dyDescent="0.25">
      <c r="A118">
        <f t="shared" si="38"/>
        <v>5</v>
      </c>
      <c r="B118" s="2">
        <f>yields_BRUTE!B118</f>
        <v>42173</v>
      </c>
      <c r="C118" s="1">
        <f t="shared" si="64"/>
        <v>-0.30277777777777776</v>
      </c>
      <c r="D118" s="1">
        <f t="shared" si="64"/>
        <v>-0.2638888888888889</v>
      </c>
      <c r="E118" s="1">
        <f t="shared" si="64"/>
        <v>-4.7222222222222221E-2</v>
      </c>
      <c r="F118" s="1">
        <f t="shared" si="64"/>
        <v>0.20833333333333334</v>
      </c>
      <c r="G118" s="1">
        <f t="shared" si="64"/>
        <v>0.24722222222222223</v>
      </c>
      <c r="H118" s="1">
        <f t="shared" si="64"/>
        <v>0.46111111111111114</v>
      </c>
      <c r="I118" s="1">
        <f t="shared" si="64"/>
        <v>0.46111111111111114</v>
      </c>
      <c r="J118" s="1">
        <f t="shared" si="64"/>
        <v>0.71388888888888891</v>
      </c>
      <c r="K118" s="1">
        <f t="shared" si="64"/>
        <v>0.75277777777777777</v>
      </c>
      <c r="L118" s="1">
        <f t="shared" si="64"/>
        <v>0.96944444444444444</v>
      </c>
      <c r="M118" s="1">
        <f t="shared" si="64"/>
        <v>1.2250000000000001</v>
      </c>
      <c r="N118" s="1">
        <f t="shared" si="64"/>
        <v>1.2250000000000001</v>
      </c>
      <c r="O118" s="1">
        <f t="shared" si="64"/>
        <v>1.2638888888888888</v>
      </c>
      <c r="P118" s="1">
        <f t="shared" si="64"/>
        <v>1.4777777777777779</v>
      </c>
      <c r="Q118" s="1">
        <f t="shared" si="64"/>
        <v>1.7666666666666666</v>
      </c>
      <c r="R118" s="1">
        <f t="shared" si="64"/>
        <v>1.9833333333333334</v>
      </c>
      <c r="S118" s="1">
        <f t="shared" si="61"/>
        <v>2.2777777777777777</v>
      </c>
      <c r="T118" s="1">
        <f t="shared" si="61"/>
        <v>2.4916666666666667</v>
      </c>
      <c r="U118" s="1">
        <f t="shared" si="61"/>
        <v>2.7805555555555554</v>
      </c>
      <c r="V118" s="1">
        <f t="shared" si="61"/>
        <v>2.9972222222222222</v>
      </c>
      <c r="W118" s="1">
        <f t="shared" si="61"/>
        <v>3.2916666666666665</v>
      </c>
      <c r="X118" s="1">
        <f t="shared" si="61"/>
        <v>3.5055555555555555</v>
      </c>
      <c r="Y118" s="1">
        <f t="shared" si="61"/>
        <v>3.7944444444444443</v>
      </c>
      <c r="Z118" s="1">
        <f t="shared" si="61"/>
        <v>4.0111111111111111</v>
      </c>
      <c r="AA118" s="1">
        <f t="shared" si="61"/>
        <v>4.3055555555555554</v>
      </c>
      <c r="AB118" s="1">
        <f t="shared" si="61"/>
        <v>4.5194444444444448</v>
      </c>
      <c r="AC118" s="1">
        <f t="shared" si="61"/>
        <v>4.8111111111111109</v>
      </c>
      <c r="AD118" s="1">
        <f t="shared" si="61"/>
        <v>5.0277777777777777</v>
      </c>
      <c r="AE118" s="1">
        <f t="shared" si="61"/>
        <v>5.0277777777777777</v>
      </c>
      <c r="AF118" s="3">
        <f t="shared" si="61"/>
        <v>5.322222222222222</v>
      </c>
      <c r="AG118" s="1">
        <f t="shared" si="59"/>
        <v>5.5361111111111114</v>
      </c>
      <c r="AH118" s="1">
        <f t="shared" si="59"/>
        <v>5.8250000000000002</v>
      </c>
      <c r="AI118" s="1">
        <f t="shared" si="59"/>
        <v>5.8250000000000002</v>
      </c>
      <c r="AJ118" s="1">
        <f t="shared" si="59"/>
        <v>6.041666666666667</v>
      </c>
      <c r="AK118" s="1">
        <f t="shared" si="59"/>
        <v>6.041666666666667</v>
      </c>
      <c r="AL118" s="1">
        <f t="shared" si="59"/>
        <v>6.55</v>
      </c>
      <c r="AM118" s="1">
        <f t="shared" si="59"/>
        <v>7.0555555555555554</v>
      </c>
      <c r="AN118" s="1">
        <f t="shared" si="59"/>
        <v>7.0555555555555554</v>
      </c>
      <c r="AO118" s="1">
        <f t="shared" si="59"/>
        <v>7.5638888888888891</v>
      </c>
      <c r="AP118" s="1">
        <f t="shared" si="59"/>
        <v>8.0694444444444446</v>
      </c>
      <c r="AQ118" s="1">
        <f t="shared" si="59"/>
        <v>8.0694444444444446</v>
      </c>
      <c r="AR118" s="1">
        <f t="shared" si="59"/>
        <v>8.5777777777777775</v>
      </c>
      <c r="AS118" s="1">
        <f t="shared" si="59"/>
        <v>9.0861111111111104</v>
      </c>
      <c r="AT118" s="1">
        <f t="shared" si="59"/>
        <v>9.594444444444445</v>
      </c>
      <c r="AU118" s="1">
        <f t="shared" si="59"/>
        <v>10.1</v>
      </c>
      <c r="AV118" s="1">
        <f t="shared" si="59"/>
        <v>10.1</v>
      </c>
      <c r="AW118" s="1">
        <f t="shared" si="62"/>
        <v>14.666666666666666</v>
      </c>
      <c r="AX118" s="1">
        <f t="shared" si="60"/>
        <v>15.172222222222222</v>
      </c>
      <c r="AY118" s="1">
        <f t="shared" si="60"/>
        <v>15.680555555555555</v>
      </c>
      <c r="AZ118" s="1">
        <f t="shared" si="60"/>
        <v>16.18611111111111</v>
      </c>
      <c r="BA118" s="1">
        <f t="shared" si="60"/>
        <v>16.694444444444443</v>
      </c>
      <c r="BB118" s="1">
        <f t="shared" si="60"/>
        <v>17.202777777777779</v>
      </c>
      <c r="BC118" s="1">
        <f t="shared" si="60"/>
        <v>17.711111111111112</v>
      </c>
      <c r="BD118" s="1">
        <f t="shared" si="60"/>
        <v>18.216666666666665</v>
      </c>
      <c r="BE118" s="1">
        <f t="shared" si="60"/>
        <v>18.216666666666665</v>
      </c>
      <c r="BF118" s="1">
        <f t="shared" si="60"/>
        <v>26.841666666666665</v>
      </c>
      <c r="BG118" s="1">
        <f t="shared" si="60"/>
        <v>27.347222222222221</v>
      </c>
      <c r="BH118" s="1">
        <f t="shared" si="60"/>
        <v>27.855555555555554</v>
      </c>
      <c r="BI118" s="1">
        <f t="shared" si="60"/>
        <v>28.361111111111111</v>
      </c>
      <c r="BJ118" s="1">
        <f t="shared" si="60"/>
        <v>28.869444444444444</v>
      </c>
      <c r="BK118" s="1">
        <f t="shared" si="60"/>
        <v>29.377777777777776</v>
      </c>
      <c r="BL118" s="1">
        <f t="shared" si="60"/>
        <v>29.886111111111113</v>
      </c>
      <c r="BM118" s="1">
        <f t="shared" si="60"/>
        <v>30.391666666666666</v>
      </c>
      <c r="BN118" s="1">
        <f t="shared" si="63"/>
        <v>30.9</v>
      </c>
      <c r="BO118" s="1">
        <f t="shared" si="58"/>
        <v>30.9</v>
      </c>
      <c r="BP118" s="1">
        <f t="shared" si="58"/>
        <v>31.405555555555555</v>
      </c>
      <c r="BQ118" s="1">
        <f t="shared" si="58"/>
        <v>31.913888888888888</v>
      </c>
      <c r="BR118" s="1">
        <f t="shared" si="58"/>
        <v>32.419444444444444</v>
      </c>
      <c r="BS118" s="1">
        <f t="shared" si="58"/>
        <v>32.927777777777777</v>
      </c>
      <c r="BT118" s="1">
        <f t="shared" si="58"/>
        <v>33.43611111111111</v>
      </c>
      <c r="BU118" s="1">
        <f t="shared" si="58"/>
        <v>33.944444444444443</v>
      </c>
      <c r="BV118" s="1">
        <f t="shared" si="58"/>
        <v>33.944444444444443</v>
      </c>
      <c r="BW118" s="1">
        <f t="shared" si="58"/>
        <v>34.450000000000003</v>
      </c>
      <c r="BX118" s="1">
        <f t="shared" si="58"/>
        <v>34.958333333333336</v>
      </c>
      <c r="BY118" s="1">
        <f t="shared" si="58"/>
        <v>35.463888888888889</v>
      </c>
      <c r="BZ118" s="1">
        <f t="shared" si="58"/>
        <v>35.972222222222221</v>
      </c>
      <c r="CA118" s="1">
        <f t="shared" si="58"/>
        <v>36.477777777777774</v>
      </c>
      <c r="CB118" s="1">
        <f t="shared" si="56"/>
        <v>36.986111111111114</v>
      </c>
      <c r="CC118" s="1">
        <f t="shared" si="56"/>
        <v>37.494444444444447</v>
      </c>
      <c r="CD118" s="1">
        <f t="shared" si="56"/>
        <v>38.00277777777778</v>
      </c>
      <c r="CE118" s="1">
        <f t="shared" si="56"/>
        <v>38.508333333333333</v>
      </c>
      <c r="CF118" s="1">
        <f t="shared" si="56"/>
        <v>39.016666666666666</v>
      </c>
      <c r="CG118" s="1">
        <f t="shared" si="56"/>
        <v>39.522222222222226</v>
      </c>
      <c r="CH118" s="1">
        <f t="shared" si="56"/>
        <v>40.030555555555559</v>
      </c>
      <c r="CI118" s="1">
        <f t="shared" si="56"/>
        <v>40.536111111111111</v>
      </c>
      <c r="CJ118" s="1">
        <f t="shared" si="56"/>
        <v>41.044444444444444</v>
      </c>
      <c r="CK118" s="1">
        <f t="shared" si="56"/>
        <v>41.552777777777777</v>
      </c>
      <c r="CL118" s="1">
        <f t="shared" si="56"/>
        <v>42.06111111111111</v>
      </c>
      <c r="CM118" s="1">
        <f t="shared" si="56"/>
        <v>42.56666666666667</v>
      </c>
      <c r="CN118" s="1">
        <f t="shared" si="56"/>
        <v>43.075000000000003</v>
      </c>
      <c r="CO118" s="1">
        <f t="shared" si="56"/>
        <v>43.580555555555556</v>
      </c>
      <c r="CP118" s="1">
        <f t="shared" si="56"/>
        <v>44.088888888888889</v>
      </c>
      <c r="CQ118" s="1">
        <f t="shared" si="56"/>
        <v>44.594444444444441</v>
      </c>
      <c r="CR118" s="1">
        <f t="shared" si="57"/>
        <v>45.102777777777774</v>
      </c>
      <c r="CS118" s="1">
        <f t="shared" si="57"/>
        <v>45.611111111111114</v>
      </c>
      <c r="CT118" s="1">
        <f t="shared" si="57"/>
        <v>46.119444444444447</v>
      </c>
      <c r="CU118" s="1">
        <f t="shared" si="57"/>
        <v>46.625</v>
      </c>
      <c r="CV118" s="1">
        <f t="shared" si="57"/>
        <v>47.133333333333333</v>
      </c>
      <c r="CW118" s="1">
        <f t="shared" si="57"/>
        <v>47.638888888888886</v>
      </c>
      <c r="CX118" s="1">
        <f t="shared" si="57"/>
        <v>48.147222222222226</v>
      </c>
      <c r="CY118" s="1">
        <f t="shared" si="57"/>
        <v>48.652777777777779</v>
      </c>
      <c r="CZ118" s="1">
        <f t="shared" si="57"/>
        <v>49.161111111111111</v>
      </c>
      <c r="DA118" s="1">
        <f t="shared" si="57"/>
        <v>49.669444444444444</v>
      </c>
      <c r="DB118" s="1">
        <f t="shared" si="57"/>
        <v>50.177777777777777</v>
      </c>
      <c r="DC118" s="1">
        <f t="shared" si="57"/>
        <v>50.177777777777777</v>
      </c>
    </row>
    <row r="119" spans="1:107" x14ac:dyDescent="0.25">
      <c r="A119">
        <f t="shared" si="38"/>
        <v>6</v>
      </c>
      <c r="B119" s="2">
        <f>yields_BRUTE!B119</f>
        <v>42174</v>
      </c>
      <c r="C119" s="1">
        <f t="shared" si="64"/>
        <v>-0.30555555555555558</v>
      </c>
      <c r="D119" s="1">
        <f t="shared" si="64"/>
        <v>-0.26666666666666666</v>
      </c>
      <c r="E119" s="1">
        <f t="shared" si="64"/>
        <v>-0.05</v>
      </c>
      <c r="F119" s="1">
        <f t="shared" si="64"/>
        <v>0.20555555555555555</v>
      </c>
      <c r="G119" s="1">
        <f t="shared" si="64"/>
        <v>0.24444444444444444</v>
      </c>
      <c r="H119" s="1">
        <f t="shared" si="64"/>
        <v>0.45833333333333331</v>
      </c>
      <c r="I119" s="1">
        <f t="shared" si="64"/>
        <v>0.45833333333333331</v>
      </c>
      <c r="J119" s="1">
        <f t="shared" si="64"/>
        <v>0.71111111111111114</v>
      </c>
      <c r="K119" s="1">
        <f t="shared" si="64"/>
        <v>0.75</v>
      </c>
      <c r="L119" s="1">
        <f t="shared" si="64"/>
        <v>0.96666666666666667</v>
      </c>
      <c r="M119" s="1">
        <f t="shared" si="64"/>
        <v>1.2222222222222223</v>
      </c>
      <c r="N119" s="1">
        <f t="shared" si="64"/>
        <v>1.2222222222222223</v>
      </c>
      <c r="O119" s="1">
        <f t="shared" si="64"/>
        <v>1.2611111111111111</v>
      </c>
      <c r="P119" s="1">
        <f t="shared" si="64"/>
        <v>1.4750000000000001</v>
      </c>
      <c r="Q119" s="1">
        <f t="shared" si="64"/>
        <v>1.7638888888888888</v>
      </c>
      <c r="R119" s="1">
        <f t="shared" si="64"/>
        <v>1.9805555555555556</v>
      </c>
      <c r="S119" s="1">
        <f t="shared" si="61"/>
        <v>2.2749999999999999</v>
      </c>
      <c r="T119" s="1">
        <f t="shared" si="61"/>
        <v>2.4888888888888889</v>
      </c>
      <c r="U119" s="1">
        <f t="shared" si="61"/>
        <v>2.7777777777777777</v>
      </c>
      <c r="V119" s="1">
        <f t="shared" si="61"/>
        <v>2.9944444444444445</v>
      </c>
      <c r="W119" s="1">
        <f t="shared" si="61"/>
        <v>3.2888888888888888</v>
      </c>
      <c r="X119" s="1">
        <f t="shared" si="61"/>
        <v>3.5027777777777778</v>
      </c>
      <c r="Y119" s="1">
        <f t="shared" si="61"/>
        <v>3.7916666666666665</v>
      </c>
      <c r="Z119" s="1">
        <f t="shared" si="61"/>
        <v>4.0083333333333337</v>
      </c>
      <c r="AA119" s="1">
        <f t="shared" si="61"/>
        <v>4.302777777777778</v>
      </c>
      <c r="AB119" s="1">
        <f t="shared" si="61"/>
        <v>4.5166666666666666</v>
      </c>
      <c r="AC119" s="1">
        <f t="shared" si="61"/>
        <v>4.8083333333333336</v>
      </c>
      <c r="AD119" s="1">
        <f t="shared" si="61"/>
        <v>5.0250000000000004</v>
      </c>
      <c r="AE119" s="1">
        <f t="shared" si="61"/>
        <v>5.0250000000000004</v>
      </c>
      <c r="AF119" s="3">
        <f t="shared" si="61"/>
        <v>5.3194444444444446</v>
      </c>
      <c r="AG119" s="1">
        <f t="shared" si="59"/>
        <v>5.5333333333333332</v>
      </c>
      <c r="AH119" s="1">
        <f t="shared" si="59"/>
        <v>5.822222222222222</v>
      </c>
      <c r="AI119" s="1">
        <f t="shared" si="59"/>
        <v>5.822222222222222</v>
      </c>
      <c r="AJ119" s="1">
        <f t="shared" si="59"/>
        <v>6.0388888888888888</v>
      </c>
      <c r="AK119" s="1">
        <f t="shared" si="59"/>
        <v>6.0388888888888888</v>
      </c>
      <c r="AL119" s="1">
        <f t="shared" si="59"/>
        <v>6.5472222222222225</v>
      </c>
      <c r="AM119" s="1">
        <f t="shared" si="59"/>
        <v>7.052777777777778</v>
      </c>
      <c r="AN119" s="1">
        <f t="shared" si="59"/>
        <v>7.052777777777778</v>
      </c>
      <c r="AO119" s="1">
        <f t="shared" si="59"/>
        <v>7.5611111111111109</v>
      </c>
      <c r="AP119" s="1">
        <f t="shared" si="59"/>
        <v>8.0666666666666664</v>
      </c>
      <c r="AQ119" s="1">
        <f t="shared" si="59"/>
        <v>8.0666666666666664</v>
      </c>
      <c r="AR119" s="1">
        <f t="shared" si="59"/>
        <v>8.5749999999999993</v>
      </c>
      <c r="AS119" s="1">
        <f t="shared" si="59"/>
        <v>9.0833333333333339</v>
      </c>
      <c r="AT119" s="1">
        <f t="shared" si="59"/>
        <v>9.5916666666666668</v>
      </c>
      <c r="AU119" s="1">
        <f t="shared" si="59"/>
        <v>10.097222222222221</v>
      </c>
      <c r="AV119" s="1">
        <f t="shared" si="59"/>
        <v>10.097222222222221</v>
      </c>
      <c r="AW119" s="1">
        <f t="shared" si="62"/>
        <v>14.66388888888889</v>
      </c>
      <c r="AX119" s="1">
        <f t="shared" si="60"/>
        <v>15.169444444444444</v>
      </c>
      <c r="AY119" s="1">
        <f t="shared" si="60"/>
        <v>15.677777777777777</v>
      </c>
      <c r="AZ119" s="1">
        <f t="shared" si="60"/>
        <v>16.183333333333334</v>
      </c>
      <c r="BA119" s="1">
        <f t="shared" si="60"/>
        <v>16.691666666666666</v>
      </c>
      <c r="BB119" s="1">
        <f t="shared" si="60"/>
        <v>17.2</v>
      </c>
      <c r="BC119" s="1">
        <f t="shared" si="60"/>
        <v>17.708333333333332</v>
      </c>
      <c r="BD119" s="1">
        <f t="shared" si="60"/>
        <v>18.213888888888889</v>
      </c>
      <c r="BE119" s="1">
        <f t="shared" si="60"/>
        <v>18.213888888888889</v>
      </c>
      <c r="BF119" s="1">
        <f t="shared" si="60"/>
        <v>26.838888888888889</v>
      </c>
      <c r="BG119" s="1">
        <f t="shared" si="60"/>
        <v>27.344444444444445</v>
      </c>
      <c r="BH119" s="1">
        <f t="shared" si="60"/>
        <v>27.852777777777778</v>
      </c>
      <c r="BI119" s="1">
        <f t="shared" si="60"/>
        <v>28.358333333333334</v>
      </c>
      <c r="BJ119" s="1">
        <f t="shared" si="60"/>
        <v>28.866666666666667</v>
      </c>
      <c r="BK119" s="1">
        <f t="shared" si="60"/>
        <v>29.375</v>
      </c>
      <c r="BL119" s="1">
        <f t="shared" si="60"/>
        <v>29.883333333333333</v>
      </c>
      <c r="BM119" s="1">
        <f t="shared" si="60"/>
        <v>30.388888888888889</v>
      </c>
      <c r="BN119" s="1">
        <f t="shared" si="63"/>
        <v>30.897222222222222</v>
      </c>
      <c r="BO119" s="1">
        <f t="shared" si="58"/>
        <v>30.897222222222222</v>
      </c>
      <c r="BP119" s="1">
        <f t="shared" si="58"/>
        <v>31.402777777777779</v>
      </c>
      <c r="BQ119" s="1">
        <f t="shared" si="58"/>
        <v>31.911111111111111</v>
      </c>
      <c r="BR119" s="1">
        <f t="shared" si="58"/>
        <v>32.416666666666664</v>
      </c>
      <c r="BS119" s="1">
        <f t="shared" si="58"/>
        <v>32.924999999999997</v>
      </c>
      <c r="BT119" s="1">
        <f t="shared" si="58"/>
        <v>33.43333333333333</v>
      </c>
      <c r="BU119" s="1">
        <f t="shared" si="58"/>
        <v>33.94166666666667</v>
      </c>
      <c r="BV119" s="1">
        <f t="shared" si="58"/>
        <v>33.94166666666667</v>
      </c>
      <c r="BW119" s="1">
        <f t="shared" si="58"/>
        <v>34.447222222222223</v>
      </c>
      <c r="BX119" s="1">
        <f t="shared" si="58"/>
        <v>34.955555555555556</v>
      </c>
      <c r="BY119" s="1">
        <f t="shared" si="58"/>
        <v>35.461111111111109</v>
      </c>
      <c r="BZ119" s="1">
        <f t="shared" si="58"/>
        <v>35.969444444444441</v>
      </c>
      <c r="CA119" s="1">
        <f t="shared" si="58"/>
        <v>36.475000000000001</v>
      </c>
      <c r="CB119" s="1">
        <f t="shared" si="56"/>
        <v>36.983333333333334</v>
      </c>
      <c r="CC119" s="1">
        <f t="shared" si="56"/>
        <v>37.491666666666667</v>
      </c>
      <c r="CD119" s="1">
        <f t="shared" si="56"/>
        <v>38</v>
      </c>
      <c r="CE119" s="1">
        <f t="shared" si="56"/>
        <v>38.505555555555553</v>
      </c>
      <c r="CF119" s="1">
        <f t="shared" si="56"/>
        <v>39.013888888888886</v>
      </c>
      <c r="CG119" s="1">
        <f t="shared" si="56"/>
        <v>39.519444444444446</v>
      </c>
      <c r="CH119" s="1">
        <f t="shared" si="56"/>
        <v>40.027777777777779</v>
      </c>
      <c r="CI119" s="1">
        <f t="shared" si="56"/>
        <v>40.533333333333331</v>
      </c>
      <c r="CJ119" s="1">
        <f t="shared" si="56"/>
        <v>41.041666666666664</v>
      </c>
      <c r="CK119" s="1">
        <f t="shared" si="56"/>
        <v>41.55</v>
      </c>
      <c r="CL119" s="1">
        <f t="shared" si="56"/>
        <v>42.05833333333333</v>
      </c>
      <c r="CM119" s="1">
        <f t="shared" si="56"/>
        <v>42.56388888888889</v>
      </c>
      <c r="CN119" s="1">
        <f t="shared" si="56"/>
        <v>43.072222222222223</v>
      </c>
      <c r="CO119" s="1">
        <f t="shared" si="56"/>
        <v>43.577777777777776</v>
      </c>
      <c r="CP119" s="1">
        <f t="shared" si="56"/>
        <v>44.086111111111109</v>
      </c>
      <c r="CQ119" s="1">
        <f t="shared" si="56"/>
        <v>44.591666666666669</v>
      </c>
      <c r="CR119" s="1">
        <f t="shared" si="57"/>
        <v>45.1</v>
      </c>
      <c r="CS119" s="1">
        <f t="shared" si="57"/>
        <v>45.608333333333334</v>
      </c>
      <c r="CT119" s="1">
        <f t="shared" si="57"/>
        <v>46.116666666666667</v>
      </c>
      <c r="CU119" s="1">
        <f t="shared" si="57"/>
        <v>46.62222222222222</v>
      </c>
      <c r="CV119" s="1">
        <f t="shared" si="57"/>
        <v>47.130555555555553</v>
      </c>
      <c r="CW119" s="1">
        <f t="shared" si="57"/>
        <v>47.636111111111113</v>
      </c>
      <c r="CX119" s="1">
        <f t="shared" si="57"/>
        <v>48.144444444444446</v>
      </c>
      <c r="CY119" s="1">
        <f t="shared" si="57"/>
        <v>48.65</v>
      </c>
      <c r="CZ119" s="1">
        <f t="shared" si="57"/>
        <v>49.158333333333331</v>
      </c>
      <c r="DA119" s="1">
        <f t="shared" si="57"/>
        <v>49.666666666666664</v>
      </c>
      <c r="DB119" s="1">
        <f t="shared" si="57"/>
        <v>50.174999999999997</v>
      </c>
      <c r="DC119" s="1">
        <f t="shared" si="57"/>
        <v>50.174999999999997</v>
      </c>
    </row>
    <row r="120" spans="1:107" x14ac:dyDescent="0.25">
      <c r="A120">
        <f t="shared" si="38"/>
        <v>2</v>
      </c>
      <c r="B120" s="2">
        <f>yields_BRUTE!B120</f>
        <v>42177</v>
      </c>
      <c r="C120" s="1">
        <f t="shared" si="64"/>
        <v>-0.31388888888888888</v>
      </c>
      <c r="D120" s="1">
        <f t="shared" si="64"/>
        <v>-0.27500000000000002</v>
      </c>
      <c r="E120" s="1">
        <f t="shared" si="64"/>
        <v>-5.8333333333333334E-2</v>
      </c>
      <c r="F120" s="1">
        <f t="shared" si="64"/>
        <v>0.19722222222222222</v>
      </c>
      <c r="G120" s="1">
        <f t="shared" si="64"/>
        <v>0.2361111111111111</v>
      </c>
      <c r="H120" s="1">
        <f t="shared" si="64"/>
        <v>0.45</v>
      </c>
      <c r="I120" s="1">
        <f t="shared" si="64"/>
        <v>0.45</v>
      </c>
      <c r="J120" s="1">
        <f t="shared" si="64"/>
        <v>0.70277777777777772</v>
      </c>
      <c r="K120" s="1">
        <f t="shared" si="64"/>
        <v>0.7416666666666667</v>
      </c>
      <c r="L120" s="1">
        <f t="shared" si="64"/>
        <v>0.95833333333333337</v>
      </c>
      <c r="M120" s="1">
        <f t="shared" si="64"/>
        <v>1.2138888888888888</v>
      </c>
      <c r="N120" s="1">
        <f t="shared" si="64"/>
        <v>1.2138888888888888</v>
      </c>
      <c r="O120" s="1">
        <f t="shared" si="64"/>
        <v>1.2527777777777778</v>
      </c>
      <c r="P120" s="1">
        <f t="shared" si="64"/>
        <v>1.4666666666666666</v>
      </c>
      <c r="Q120" s="1">
        <f t="shared" si="64"/>
        <v>1.7555555555555555</v>
      </c>
      <c r="R120" s="1">
        <f t="shared" si="64"/>
        <v>1.9722222222222223</v>
      </c>
      <c r="S120" s="1">
        <f t="shared" si="61"/>
        <v>2.2666666666666666</v>
      </c>
      <c r="T120" s="1">
        <f t="shared" si="61"/>
        <v>2.4805555555555556</v>
      </c>
      <c r="U120" s="1">
        <f t="shared" si="61"/>
        <v>2.7694444444444444</v>
      </c>
      <c r="V120" s="1">
        <f t="shared" si="61"/>
        <v>2.9861111111111112</v>
      </c>
      <c r="W120" s="1">
        <f t="shared" si="61"/>
        <v>3.2805555555555554</v>
      </c>
      <c r="X120" s="1">
        <f t="shared" si="61"/>
        <v>3.4944444444444445</v>
      </c>
      <c r="Y120" s="1">
        <f t="shared" si="61"/>
        <v>3.7833333333333332</v>
      </c>
      <c r="Z120" s="1">
        <f t="shared" si="61"/>
        <v>4</v>
      </c>
      <c r="AA120" s="1">
        <f t="shared" si="61"/>
        <v>4.2944444444444443</v>
      </c>
      <c r="AB120" s="1">
        <f t="shared" si="61"/>
        <v>4.5083333333333337</v>
      </c>
      <c r="AC120" s="1">
        <f t="shared" si="61"/>
        <v>4.8</v>
      </c>
      <c r="AD120" s="1">
        <f t="shared" si="61"/>
        <v>5.0166666666666666</v>
      </c>
      <c r="AE120" s="1">
        <f t="shared" si="61"/>
        <v>5.0166666666666666</v>
      </c>
      <c r="AF120" s="3">
        <f t="shared" si="61"/>
        <v>5.3111111111111109</v>
      </c>
      <c r="AG120" s="1">
        <f t="shared" si="59"/>
        <v>5.5250000000000004</v>
      </c>
      <c r="AH120" s="1">
        <f t="shared" si="59"/>
        <v>5.8138888888888891</v>
      </c>
      <c r="AI120" s="1">
        <f t="shared" si="59"/>
        <v>5.8138888888888891</v>
      </c>
      <c r="AJ120" s="1">
        <f t="shared" si="59"/>
        <v>6.0305555555555559</v>
      </c>
      <c r="AK120" s="1">
        <f t="shared" si="59"/>
        <v>6.0305555555555559</v>
      </c>
      <c r="AL120" s="1">
        <f t="shared" si="59"/>
        <v>6.5388888888888888</v>
      </c>
      <c r="AM120" s="1">
        <f t="shared" si="59"/>
        <v>7.0444444444444443</v>
      </c>
      <c r="AN120" s="1">
        <f t="shared" si="59"/>
        <v>7.0444444444444443</v>
      </c>
      <c r="AO120" s="1">
        <f t="shared" si="59"/>
        <v>7.552777777777778</v>
      </c>
      <c r="AP120" s="1">
        <f t="shared" si="59"/>
        <v>8.0583333333333336</v>
      </c>
      <c r="AQ120" s="1">
        <f t="shared" si="59"/>
        <v>8.0583333333333336</v>
      </c>
      <c r="AR120" s="1">
        <f t="shared" si="59"/>
        <v>8.5666666666666664</v>
      </c>
      <c r="AS120" s="1">
        <f t="shared" si="59"/>
        <v>9.0749999999999993</v>
      </c>
      <c r="AT120" s="1">
        <f t="shared" si="59"/>
        <v>9.5833333333333339</v>
      </c>
      <c r="AU120" s="1">
        <f t="shared" si="59"/>
        <v>10.088888888888889</v>
      </c>
      <c r="AV120" s="1">
        <f t="shared" si="59"/>
        <v>10.088888888888889</v>
      </c>
      <c r="AW120" s="1">
        <f t="shared" si="62"/>
        <v>14.655555555555555</v>
      </c>
      <c r="AX120" s="1">
        <f t="shared" si="60"/>
        <v>15.161111111111111</v>
      </c>
      <c r="AY120" s="1">
        <f t="shared" si="60"/>
        <v>15.669444444444444</v>
      </c>
      <c r="AZ120" s="1">
        <f t="shared" si="60"/>
        <v>16.175000000000001</v>
      </c>
      <c r="BA120" s="1">
        <f t="shared" si="60"/>
        <v>16.683333333333334</v>
      </c>
      <c r="BB120" s="1">
        <f t="shared" si="60"/>
        <v>17.191666666666666</v>
      </c>
      <c r="BC120" s="1">
        <f t="shared" si="60"/>
        <v>17.7</v>
      </c>
      <c r="BD120" s="1">
        <f t="shared" si="60"/>
        <v>18.205555555555556</v>
      </c>
      <c r="BE120" s="1">
        <f t="shared" si="60"/>
        <v>18.205555555555556</v>
      </c>
      <c r="BF120" s="1">
        <f t="shared" si="60"/>
        <v>26.830555555555556</v>
      </c>
      <c r="BG120" s="1">
        <f t="shared" si="60"/>
        <v>27.336111111111112</v>
      </c>
      <c r="BH120" s="1">
        <f t="shared" si="60"/>
        <v>27.844444444444445</v>
      </c>
      <c r="BI120" s="1">
        <f t="shared" si="60"/>
        <v>28.35</v>
      </c>
      <c r="BJ120" s="1">
        <f t="shared" si="60"/>
        <v>28.858333333333334</v>
      </c>
      <c r="BK120" s="1">
        <f t="shared" si="60"/>
        <v>29.366666666666667</v>
      </c>
      <c r="BL120" s="1">
        <f t="shared" si="60"/>
        <v>29.875</v>
      </c>
      <c r="BM120" s="1">
        <f t="shared" si="60"/>
        <v>30.380555555555556</v>
      </c>
      <c r="BN120" s="1">
        <f t="shared" si="63"/>
        <v>30.888888888888889</v>
      </c>
      <c r="BO120" s="1">
        <f t="shared" si="58"/>
        <v>30.888888888888889</v>
      </c>
      <c r="BP120" s="1">
        <f t="shared" si="58"/>
        <v>31.394444444444446</v>
      </c>
      <c r="BQ120" s="1">
        <f t="shared" si="58"/>
        <v>31.902777777777779</v>
      </c>
      <c r="BR120" s="1">
        <f t="shared" si="58"/>
        <v>32.408333333333331</v>
      </c>
      <c r="BS120" s="1">
        <f t="shared" si="58"/>
        <v>32.916666666666664</v>
      </c>
      <c r="BT120" s="1">
        <f t="shared" si="58"/>
        <v>33.424999999999997</v>
      </c>
      <c r="BU120" s="1">
        <f t="shared" si="58"/>
        <v>33.93333333333333</v>
      </c>
      <c r="BV120" s="1">
        <f t="shared" si="58"/>
        <v>33.93333333333333</v>
      </c>
      <c r="BW120" s="1">
        <f t="shared" si="58"/>
        <v>34.43888888888889</v>
      </c>
      <c r="BX120" s="1">
        <f t="shared" si="58"/>
        <v>34.947222222222223</v>
      </c>
      <c r="BY120" s="1">
        <f t="shared" si="58"/>
        <v>35.452777777777776</v>
      </c>
      <c r="BZ120" s="1">
        <f t="shared" si="58"/>
        <v>35.961111111111109</v>
      </c>
      <c r="CA120" s="1">
        <f t="shared" si="58"/>
        <v>36.466666666666669</v>
      </c>
      <c r="CB120" s="1">
        <f t="shared" si="56"/>
        <v>36.975000000000001</v>
      </c>
      <c r="CC120" s="1">
        <f t="shared" si="56"/>
        <v>37.483333333333334</v>
      </c>
      <c r="CD120" s="1">
        <f t="shared" si="56"/>
        <v>37.991666666666667</v>
      </c>
      <c r="CE120" s="1">
        <f t="shared" si="56"/>
        <v>38.49722222222222</v>
      </c>
      <c r="CF120" s="1">
        <f t="shared" si="56"/>
        <v>39.005555555555553</v>
      </c>
      <c r="CG120" s="1">
        <f t="shared" si="56"/>
        <v>39.511111111111113</v>
      </c>
      <c r="CH120" s="1">
        <f t="shared" si="56"/>
        <v>40.019444444444446</v>
      </c>
      <c r="CI120" s="1">
        <f t="shared" si="56"/>
        <v>40.524999999999999</v>
      </c>
      <c r="CJ120" s="1">
        <f t="shared" si="56"/>
        <v>41.033333333333331</v>
      </c>
      <c r="CK120" s="1">
        <f t="shared" si="56"/>
        <v>41.541666666666664</v>
      </c>
      <c r="CL120" s="1">
        <f t="shared" si="56"/>
        <v>42.05</v>
      </c>
      <c r="CM120" s="1">
        <f t="shared" si="56"/>
        <v>42.555555555555557</v>
      </c>
      <c r="CN120" s="1">
        <f t="shared" si="56"/>
        <v>43.06388888888889</v>
      </c>
      <c r="CO120" s="1">
        <f t="shared" si="56"/>
        <v>43.569444444444443</v>
      </c>
      <c r="CP120" s="1">
        <f t="shared" si="56"/>
        <v>44.077777777777776</v>
      </c>
      <c r="CQ120" s="1">
        <f t="shared" si="56"/>
        <v>44.583333333333336</v>
      </c>
      <c r="CR120" s="1">
        <f t="shared" si="57"/>
        <v>45.091666666666669</v>
      </c>
      <c r="CS120" s="1">
        <f t="shared" si="57"/>
        <v>45.6</v>
      </c>
      <c r="CT120" s="1">
        <f t="shared" si="57"/>
        <v>46.108333333333334</v>
      </c>
      <c r="CU120" s="1">
        <f t="shared" si="57"/>
        <v>46.613888888888887</v>
      </c>
      <c r="CV120" s="1">
        <f t="shared" si="57"/>
        <v>47.12222222222222</v>
      </c>
      <c r="CW120" s="1">
        <f t="shared" si="57"/>
        <v>47.62777777777778</v>
      </c>
      <c r="CX120" s="1">
        <f t="shared" si="57"/>
        <v>48.136111111111113</v>
      </c>
      <c r="CY120" s="1">
        <f t="shared" si="57"/>
        <v>48.641666666666666</v>
      </c>
      <c r="CZ120" s="1">
        <f t="shared" si="57"/>
        <v>49.15</v>
      </c>
      <c r="DA120" s="1">
        <f t="shared" si="57"/>
        <v>49.658333333333331</v>
      </c>
      <c r="DB120" s="1">
        <f t="shared" si="57"/>
        <v>50.166666666666664</v>
      </c>
      <c r="DC120" s="1">
        <f t="shared" si="57"/>
        <v>50.166666666666664</v>
      </c>
    </row>
    <row r="121" spans="1:107" x14ac:dyDescent="0.25">
      <c r="A121">
        <f t="shared" si="38"/>
        <v>3</v>
      </c>
      <c r="B121" s="2">
        <f>yields_BRUTE!B121</f>
        <v>42178</v>
      </c>
      <c r="C121" s="1">
        <f t="shared" si="64"/>
        <v>-0.31666666666666665</v>
      </c>
      <c r="D121" s="1">
        <f t="shared" si="64"/>
        <v>-0.27777777777777779</v>
      </c>
      <c r="E121" s="1">
        <f t="shared" si="64"/>
        <v>-6.1111111111111109E-2</v>
      </c>
      <c r="F121" s="1">
        <f t="shared" si="64"/>
        <v>0.19444444444444445</v>
      </c>
      <c r="G121" s="1">
        <f t="shared" si="64"/>
        <v>0.23333333333333334</v>
      </c>
      <c r="H121" s="1">
        <f t="shared" si="64"/>
        <v>0.44722222222222224</v>
      </c>
      <c r="I121" s="1">
        <f t="shared" si="64"/>
        <v>0.44722222222222224</v>
      </c>
      <c r="J121" s="1">
        <f t="shared" si="64"/>
        <v>0.7</v>
      </c>
      <c r="K121" s="1">
        <f t="shared" si="64"/>
        <v>0.73888888888888893</v>
      </c>
      <c r="L121" s="1">
        <f t="shared" si="64"/>
        <v>0.9555555555555556</v>
      </c>
      <c r="M121" s="1">
        <f t="shared" si="64"/>
        <v>1.211111111111111</v>
      </c>
      <c r="N121" s="1">
        <f t="shared" si="64"/>
        <v>1.211111111111111</v>
      </c>
      <c r="O121" s="1">
        <f t="shared" si="64"/>
        <v>1.25</v>
      </c>
      <c r="P121" s="1">
        <f t="shared" si="64"/>
        <v>1.4638888888888888</v>
      </c>
      <c r="Q121" s="1">
        <f t="shared" si="64"/>
        <v>1.7527777777777778</v>
      </c>
      <c r="R121" s="1">
        <f t="shared" si="64"/>
        <v>1.9694444444444446</v>
      </c>
      <c r="S121" s="1">
        <f t="shared" si="61"/>
        <v>2.2638888888888888</v>
      </c>
      <c r="T121" s="1">
        <f t="shared" si="61"/>
        <v>2.4777777777777779</v>
      </c>
      <c r="U121" s="1">
        <f t="shared" si="61"/>
        <v>2.7666666666666666</v>
      </c>
      <c r="V121" s="1">
        <f t="shared" si="61"/>
        <v>2.9833333333333334</v>
      </c>
      <c r="W121" s="1">
        <f t="shared" si="61"/>
        <v>3.2777777777777777</v>
      </c>
      <c r="X121" s="1">
        <f t="shared" si="61"/>
        <v>3.4916666666666667</v>
      </c>
      <c r="Y121" s="1">
        <f t="shared" si="61"/>
        <v>3.7805555555555554</v>
      </c>
      <c r="Z121" s="1">
        <f t="shared" si="61"/>
        <v>3.9972222222222222</v>
      </c>
      <c r="AA121" s="1">
        <f t="shared" si="61"/>
        <v>4.291666666666667</v>
      </c>
      <c r="AB121" s="1">
        <f t="shared" si="61"/>
        <v>4.5055555555555555</v>
      </c>
      <c r="AC121" s="1">
        <f t="shared" si="61"/>
        <v>4.7972222222222225</v>
      </c>
      <c r="AD121" s="1">
        <f t="shared" si="61"/>
        <v>5.0138888888888893</v>
      </c>
      <c r="AE121" s="1">
        <f t="shared" si="61"/>
        <v>5.0138888888888893</v>
      </c>
      <c r="AF121" s="3">
        <f t="shared" si="61"/>
        <v>5.3083333333333336</v>
      </c>
      <c r="AG121" s="1">
        <f t="shared" si="59"/>
        <v>5.5222222222222221</v>
      </c>
      <c r="AH121" s="1">
        <f t="shared" si="59"/>
        <v>5.8111111111111109</v>
      </c>
      <c r="AI121" s="1">
        <f t="shared" si="59"/>
        <v>5.8111111111111109</v>
      </c>
      <c r="AJ121" s="1">
        <f t="shared" si="59"/>
        <v>6.0277777777777777</v>
      </c>
      <c r="AK121" s="1">
        <f t="shared" si="59"/>
        <v>6.0277777777777777</v>
      </c>
      <c r="AL121" s="1">
        <f t="shared" si="59"/>
        <v>6.5361111111111114</v>
      </c>
      <c r="AM121" s="1">
        <f t="shared" si="59"/>
        <v>7.041666666666667</v>
      </c>
      <c r="AN121" s="1">
        <f t="shared" si="59"/>
        <v>7.041666666666667</v>
      </c>
      <c r="AO121" s="1">
        <f t="shared" si="59"/>
        <v>7.55</v>
      </c>
      <c r="AP121" s="1">
        <f t="shared" si="59"/>
        <v>8.0555555555555554</v>
      </c>
      <c r="AQ121" s="1">
        <f t="shared" si="59"/>
        <v>8.0555555555555554</v>
      </c>
      <c r="AR121" s="1">
        <f t="shared" si="59"/>
        <v>8.5638888888888882</v>
      </c>
      <c r="AS121" s="1">
        <f t="shared" si="59"/>
        <v>9.0722222222222229</v>
      </c>
      <c r="AT121" s="1">
        <f t="shared" si="59"/>
        <v>9.5805555555555557</v>
      </c>
      <c r="AU121" s="1">
        <f t="shared" si="59"/>
        <v>10.08611111111111</v>
      </c>
      <c r="AV121" s="1">
        <f t="shared" si="59"/>
        <v>10.08611111111111</v>
      </c>
      <c r="AW121" s="1">
        <f t="shared" si="62"/>
        <v>14.652777777777779</v>
      </c>
      <c r="AX121" s="1">
        <f t="shared" si="60"/>
        <v>15.158333333333333</v>
      </c>
      <c r="AY121" s="1">
        <f t="shared" si="60"/>
        <v>15.666666666666666</v>
      </c>
      <c r="AZ121" s="1">
        <f t="shared" si="60"/>
        <v>16.172222222222221</v>
      </c>
      <c r="BA121" s="1">
        <f t="shared" si="60"/>
        <v>16.680555555555557</v>
      </c>
      <c r="BB121" s="1">
        <f t="shared" si="60"/>
        <v>17.18888888888889</v>
      </c>
      <c r="BC121" s="1">
        <f t="shared" si="60"/>
        <v>17.697222222222223</v>
      </c>
      <c r="BD121" s="1">
        <f t="shared" si="60"/>
        <v>18.202777777777779</v>
      </c>
      <c r="BE121" s="1">
        <f t="shared" si="60"/>
        <v>18.202777777777779</v>
      </c>
      <c r="BF121" s="1">
        <f t="shared" si="60"/>
        <v>26.827777777777779</v>
      </c>
      <c r="BG121" s="1">
        <f t="shared" si="60"/>
        <v>27.333333333333332</v>
      </c>
      <c r="BH121" s="1">
        <f t="shared" si="60"/>
        <v>27.841666666666665</v>
      </c>
      <c r="BI121" s="1">
        <f t="shared" si="60"/>
        <v>28.347222222222221</v>
      </c>
      <c r="BJ121" s="1">
        <f t="shared" si="60"/>
        <v>28.855555555555554</v>
      </c>
      <c r="BK121" s="1">
        <f t="shared" si="60"/>
        <v>29.363888888888887</v>
      </c>
      <c r="BL121" s="1">
        <f t="shared" si="60"/>
        <v>29.872222222222224</v>
      </c>
      <c r="BM121" s="1">
        <f t="shared" si="60"/>
        <v>30.377777777777776</v>
      </c>
      <c r="BN121" s="1">
        <f t="shared" si="63"/>
        <v>30.886111111111113</v>
      </c>
      <c r="BO121" s="1">
        <f t="shared" si="58"/>
        <v>30.886111111111113</v>
      </c>
      <c r="BP121" s="1">
        <f t="shared" si="58"/>
        <v>31.391666666666666</v>
      </c>
      <c r="BQ121" s="1">
        <f t="shared" si="58"/>
        <v>31.9</v>
      </c>
      <c r="BR121" s="1">
        <f t="shared" si="58"/>
        <v>32.405555555555559</v>
      </c>
      <c r="BS121" s="1">
        <f t="shared" si="58"/>
        <v>32.913888888888891</v>
      </c>
      <c r="BT121" s="1">
        <f t="shared" si="58"/>
        <v>33.422222222222224</v>
      </c>
      <c r="BU121" s="1">
        <f t="shared" si="58"/>
        <v>33.930555555555557</v>
      </c>
      <c r="BV121" s="1">
        <f t="shared" si="58"/>
        <v>33.930555555555557</v>
      </c>
      <c r="BW121" s="1">
        <f t="shared" si="58"/>
        <v>34.43611111111111</v>
      </c>
      <c r="BX121" s="1">
        <f t="shared" si="58"/>
        <v>34.944444444444443</v>
      </c>
      <c r="BY121" s="1">
        <f t="shared" si="58"/>
        <v>35.450000000000003</v>
      </c>
      <c r="BZ121" s="1">
        <f t="shared" si="58"/>
        <v>35.958333333333336</v>
      </c>
      <c r="CA121" s="1">
        <f t="shared" si="58"/>
        <v>36.463888888888889</v>
      </c>
      <c r="CB121" s="1">
        <f t="shared" si="56"/>
        <v>36.972222222222221</v>
      </c>
      <c r="CC121" s="1">
        <f t="shared" si="56"/>
        <v>37.480555555555554</v>
      </c>
      <c r="CD121" s="1">
        <f t="shared" si="56"/>
        <v>37.988888888888887</v>
      </c>
      <c r="CE121" s="1">
        <f t="shared" si="56"/>
        <v>38.494444444444447</v>
      </c>
      <c r="CF121" s="1">
        <f t="shared" si="56"/>
        <v>39.00277777777778</v>
      </c>
      <c r="CG121" s="1">
        <f t="shared" si="56"/>
        <v>39.508333333333333</v>
      </c>
      <c r="CH121" s="1">
        <f t="shared" si="56"/>
        <v>40.016666666666666</v>
      </c>
      <c r="CI121" s="1">
        <f t="shared" si="56"/>
        <v>40.522222222222226</v>
      </c>
      <c r="CJ121" s="1">
        <f t="shared" si="56"/>
        <v>41.030555555555559</v>
      </c>
      <c r="CK121" s="1">
        <f t="shared" si="56"/>
        <v>41.538888888888891</v>
      </c>
      <c r="CL121" s="1">
        <f t="shared" si="56"/>
        <v>42.047222222222224</v>
      </c>
      <c r="CM121" s="1">
        <f t="shared" si="56"/>
        <v>42.552777777777777</v>
      </c>
      <c r="CN121" s="1">
        <f t="shared" si="56"/>
        <v>43.06111111111111</v>
      </c>
      <c r="CO121" s="1">
        <f t="shared" si="56"/>
        <v>43.56666666666667</v>
      </c>
      <c r="CP121" s="1">
        <f t="shared" si="56"/>
        <v>44.075000000000003</v>
      </c>
      <c r="CQ121" s="1">
        <f t="shared" si="56"/>
        <v>44.580555555555556</v>
      </c>
      <c r="CR121" s="1">
        <f t="shared" si="57"/>
        <v>45.088888888888889</v>
      </c>
      <c r="CS121" s="1">
        <f t="shared" si="57"/>
        <v>45.597222222222221</v>
      </c>
      <c r="CT121" s="1">
        <f t="shared" si="57"/>
        <v>46.105555555555554</v>
      </c>
      <c r="CU121" s="1">
        <f t="shared" si="57"/>
        <v>46.611111111111114</v>
      </c>
      <c r="CV121" s="1">
        <f t="shared" si="57"/>
        <v>47.119444444444447</v>
      </c>
      <c r="CW121" s="1">
        <f t="shared" si="57"/>
        <v>47.625</v>
      </c>
      <c r="CX121" s="1">
        <f t="shared" si="57"/>
        <v>48.133333333333333</v>
      </c>
      <c r="CY121" s="1">
        <f t="shared" si="57"/>
        <v>48.638888888888886</v>
      </c>
      <c r="CZ121" s="1">
        <f t="shared" si="57"/>
        <v>49.147222222222226</v>
      </c>
      <c r="DA121" s="1">
        <f t="shared" si="57"/>
        <v>49.655555555555559</v>
      </c>
      <c r="DB121" s="1">
        <f t="shared" si="57"/>
        <v>50.163888888888891</v>
      </c>
      <c r="DC121" s="1">
        <f t="shared" si="57"/>
        <v>50.163888888888891</v>
      </c>
    </row>
    <row r="122" spans="1:107" x14ac:dyDescent="0.25">
      <c r="A122">
        <f t="shared" si="38"/>
        <v>4</v>
      </c>
      <c r="B122" s="2">
        <f>yields_BRUTE!B122</f>
        <v>42179</v>
      </c>
      <c r="C122" s="1">
        <f t="shared" si="64"/>
        <v>-0.31944444444444442</v>
      </c>
      <c r="D122" s="1">
        <f t="shared" si="64"/>
        <v>-0.28055555555555556</v>
      </c>
      <c r="E122" s="1">
        <f t="shared" si="64"/>
        <v>-6.3888888888888884E-2</v>
      </c>
      <c r="F122" s="1">
        <f t="shared" si="64"/>
        <v>0.19166666666666668</v>
      </c>
      <c r="G122" s="1">
        <f t="shared" si="64"/>
        <v>0.23055555555555557</v>
      </c>
      <c r="H122" s="1">
        <f t="shared" si="64"/>
        <v>0.44444444444444442</v>
      </c>
      <c r="I122" s="1">
        <f t="shared" si="64"/>
        <v>0.44444444444444442</v>
      </c>
      <c r="J122" s="1">
        <f t="shared" si="64"/>
        <v>0.69722222222222219</v>
      </c>
      <c r="K122" s="1">
        <f t="shared" si="64"/>
        <v>0.73611111111111116</v>
      </c>
      <c r="L122" s="1">
        <f t="shared" si="64"/>
        <v>0.95277777777777772</v>
      </c>
      <c r="M122" s="1">
        <f t="shared" si="64"/>
        <v>1.2083333333333333</v>
      </c>
      <c r="N122" s="1">
        <f t="shared" si="64"/>
        <v>1.2083333333333333</v>
      </c>
      <c r="O122" s="1">
        <f t="shared" si="64"/>
        <v>1.2472222222222222</v>
      </c>
      <c r="P122" s="1">
        <f t="shared" si="64"/>
        <v>1.461111111111111</v>
      </c>
      <c r="Q122" s="1">
        <f t="shared" si="64"/>
        <v>1.75</v>
      </c>
      <c r="R122" s="1">
        <f t="shared" si="64"/>
        <v>1.9666666666666666</v>
      </c>
      <c r="S122" s="1">
        <f t="shared" si="61"/>
        <v>2.2611111111111111</v>
      </c>
      <c r="T122" s="1">
        <f t="shared" si="61"/>
        <v>2.4750000000000001</v>
      </c>
      <c r="U122" s="1">
        <f t="shared" si="61"/>
        <v>2.7638888888888888</v>
      </c>
      <c r="V122" s="1">
        <f t="shared" si="61"/>
        <v>2.9805555555555556</v>
      </c>
      <c r="W122" s="1">
        <f t="shared" si="61"/>
        <v>3.2749999999999999</v>
      </c>
      <c r="X122" s="1">
        <f t="shared" si="61"/>
        <v>3.4888888888888889</v>
      </c>
      <c r="Y122" s="1">
        <f t="shared" si="61"/>
        <v>3.7777777777777777</v>
      </c>
      <c r="Z122" s="1">
        <f t="shared" si="61"/>
        <v>3.9944444444444445</v>
      </c>
      <c r="AA122" s="1">
        <f t="shared" si="61"/>
        <v>4.2888888888888888</v>
      </c>
      <c r="AB122" s="1">
        <f t="shared" si="61"/>
        <v>4.5027777777777782</v>
      </c>
      <c r="AC122" s="1">
        <f t="shared" si="61"/>
        <v>4.7944444444444443</v>
      </c>
      <c r="AD122" s="1">
        <f t="shared" si="61"/>
        <v>5.0111111111111111</v>
      </c>
      <c r="AE122" s="1">
        <f t="shared" si="61"/>
        <v>5.0111111111111111</v>
      </c>
      <c r="AF122" s="3">
        <f t="shared" si="61"/>
        <v>5.3055555555555554</v>
      </c>
      <c r="AG122" s="1">
        <f t="shared" si="59"/>
        <v>5.5194444444444448</v>
      </c>
      <c r="AH122" s="1">
        <f t="shared" si="59"/>
        <v>5.8083333333333336</v>
      </c>
      <c r="AI122" s="1">
        <f t="shared" si="59"/>
        <v>5.8083333333333336</v>
      </c>
      <c r="AJ122" s="1">
        <f t="shared" si="59"/>
        <v>6.0250000000000004</v>
      </c>
      <c r="AK122" s="1">
        <f t="shared" si="59"/>
        <v>6.0250000000000004</v>
      </c>
      <c r="AL122" s="1">
        <f t="shared" si="59"/>
        <v>6.5333333333333332</v>
      </c>
      <c r="AM122" s="1">
        <f t="shared" si="59"/>
        <v>7.0388888888888888</v>
      </c>
      <c r="AN122" s="1">
        <f t="shared" si="59"/>
        <v>7.0388888888888888</v>
      </c>
      <c r="AO122" s="1">
        <f t="shared" si="59"/>
        <v>7.5472222222222225</v>
      </c>
      <c r="AP122" s="1">
        <f t="shared" si="59"/>
        <v>8.0527777777777771</v>
      </c>
      <c r="AQ122" s="1">
        <f t="shared" si="59"/>
        <v>8.0527777777777771</v>
      </c>
      <c r="AR122" s="1">
        <f t="shared" si="59"/>
        <v>8.5611111111111118</v>
      </c>
      <c r="AS122" s="1">
        <f t="shared" si="59"/>
        <v>9.0694444444444446</v>
      </c>
      <c r="AT122" s="1">
        <f t="shared" si="59"/>
        <v>9.5777777777777775</v>
      </c>
      <c r="AU122" s="1">
        <f t="shared" si="59"/>
        <v>10.083333333333334</v>
      </c>
      <c r="AV122" s="1">
        <f t="shared" si="59"/>
        <v>10.083333333333334</v>
      </c>
      <c r="AW122" s="1">
        <f t="shared" si="62"/>
        <v>14.65</v>
      </c>
      <c r="AX122" s="1">
        <f t="shared" si="60"/>
        <v>15.155555555555555</v>
      </c>
      <c r="AY122" s="1">
        <f t="shared" si="60"/>
        <v>15.66388888888889</v>
      </c>
      <c r="AZ122" s="1">
        <f t="shared" si="60"/>
        <v>16.169444444444444</v>
      </c>
      <c r="BA122" s="1">
        <f t="shared" si="60"/>
        <v>16.677777777777777</v>
      </c>
      <c r="BB122" s="1">
        <f t="shared" si="60"/>
        <v>17.18611111111111</v>
      </c>
      <c r="BC122" s="1">
        <f t="shared" si="60"/>
        <v>17.694444444444443</v>
      </c>
      <c r="BD122" s="1">
        <f t="shared" si="60"/>
        <v>18.2</v>
      </c>
      <c r="BE122" s="1">
        <f t="shared" si="60"/>
        <v>18.2</v>
      </c>
      <c r="BF122" s="1">
        <f t="shared" si="60"/>
        <v>26.824999999999999</v>
      </c>
      <c r="BG122" s="1">
        <f t="shared" si="60"/>
        <v>27.330555555555556</v>
      </c>
      <c r="BH122" s="1">
        <f t="shared" si="60"/>
        <v>27.838888888888889</v>
      </c>
      <c r="BI122" s="1">
        <f t="shared" si="60"/>
        <v>28.344444444444445</v>
      </c>
      <c r="BJ122" s="1">
        <f t="shared" si="60"/>
        <v>28.852777777777778</v>
      </c>
      <c r="BK122" s="1">
        <f t="shared" si="60"/>
        <v>29.361111111111111</v>
      </c>
      <c r="BL122" s="1">
        <f t="shared" si="60"/>
        <v>29.869444444444444</v>
      </c>
      <c r="BM122" s="1">
        <f t="shared" si="60"/>
        <v>30.375</v>
      </c>
      <c r="BN122" s="1">
        <f t="shared" si="63"/>
        <v>30.883333333333333</v>
      </c>
      <c r="BO122" s="1">
        <f t="shared" si="58"/>
        <v>30.883333333333333</v>
      </c>
      <c r="BP122" s="1">
        <f t="shared" si="58"/>
        <v>31.388888888888889</v>
      </c>
      <c r="BQ122" s="1">
        <f t="shared" si="58"/>
        <v>31.897222222222222</v>
      </c>
      <c r="BR122" s="1">
        <f t="shared" si="58"/>
        <v>32.402777777777779</v>
      </c>
      <c r="BS122" s="1">
        <f t="shared" si="58"/>
        <v>32.911111111111111</v>
      </c>
      <c r="BT122" s="1">
        <f t="shared" si="58"/>
        <v>33.419444444444444</v>
      </c>
      <c r="BU122" s="1">
        <f t="shared" si="58"/>
        <v>33.927777777777777</v>
      </c>
      <c r="BV122" s="1">
        <f t="shared" si="58"/>
        <v>33.927777777777777</v>
      </c>
      <c r="BW122" s="1">
        <f t="shared" si="58"/>
        <v>34.43333333333333</v>
      </c>
      <c r="BX122" s="1">
        <f t="shared" si="58"/>
        <v>34.94166666666667</v>
      </c>
      <c r="BY122" s="1">
        <f t="shared" si="58"/>
        <v>35.447222222222223</v>
      </c>
      <c r="BZ122" s="1">
        <f t="shared" si="58"/>
        <v>35.955555555555556</v>
      </c>
      <c r="CA122" s="1">
        <f t="shared" si="58"/>
        <v>36.461111111111109</v>
      </c>
      <c r="CB122" s="1">
        <f t="shared" si="56"/>
        <v>36.969444444444441</v>
      </c>
      <c r="CC122" s="1">
        <f t="shared" si="56"/>
        <v>37.477777777777774</v>
      </c>
      <c r="CD122" s="1">
        <f t="shared" si="56"/>
        <v>37.986111111111114</v>
      </c>
      <c r="CE122" s="1">
        <f t="shared" si="56"/>
        <v>38.491666666666667</v>
      </c>
      <c r="CF122" s="1">
        <f t="shared" si="56"/>
        <v>39</v>
      </c>
      <c r="CG122" s="1">
        <f t="shared" si="56"/>
        <v>39.505555555555553</v>
      </c>
      <c r="CH122" s="1">
        <f t="shared" si="56"/>
        <v>40.013888888888886</v>
      </c>
      <c r="CI122" s="1">
        <f t="shared" si="56"/>
        <v>40.519444444444446</v>
      </c>
      <c r="CJ122" s="1">
        <f t="shared" si="56"/>
        <v>41.027777777777779</v>
      </c>
      <c r="CK122" s="1">
        <f t="shared" si="56"/>
        <v>41.536111111111111</v>
      </c>
      <c r="CL122" s="1">
        <f t="shared" si="56"/>
        <v>42.044444444444444</v>
      </c>
      <c r="CM122" s="1">
        <f t="shared" si="56"/>
        <v>42.55</v>
      </c>
      <c r="CN122" s="1">
        <f t="shared" si="56"/>
        <v>43.05833333333333</v>
      </c>
      <c r="CO122" s="1">
        <f t="shared" si="56"/>
        <v>43.56388888888889</v>
      </c>
      <c r="CP122" s="1">
        <f t="shared" si="56"/>
        <v>44.072222222222223</v>
      </c>
      <c r="CQ122" s="1">
        <f t="shared" si="56"/>
        <v>44.577777777777776</v>
      </c>
      <c r="CR122" s="1">
        <f t="shared" si="57"/>
        <v>45.086111111111109</v>
      </c>
      <c r="CS122" s="1">
        <f t="shared" si="57"/>
        <v>45.594444444444441</v>
      </c>
      <c r="CT122" s="1">
        <f t="shared" si="57"/>
        <v>46.102777777777774</v>
      </c>
      <c r="CU122" s="1">
        <f t="shared" si="57"/>
        <v>46.608333333333334</v>
      </c>
      <c r="CV122" s="1">
        <f t="shared" si="57"/>
        <v>47.116666666666667</v>
      </c>
      <c r="CW122" s="1">
        <f t="shared" si="57"/>
        <v>47.62222222222222</v>
      </c>
      <c r="CX122" s="1">
        <f t="shared" si="57"/>
        <v>48.130555555555553</v>
      </c>
      <c r="CY122" s="1">
        <f t="shared" si="57"/>
        <v>48.636111111111113</v>
      </c>
      <c r="CZ122" s="1">
        <f t="shared" si="57"/>
        <v>49.144444444444446</v>
      </c>
      <c r="DA122" s="1">
        <f t="shared" si="57"/>
        <v>49.652777777777779</v>
      </c>
      <c r="DB122" s="1">
        <f t="shared" si="57"/>
        <v>50.161111111111111</v>
      </c>
      <c r="DC122" s="1">
        <f t="shared" si="57"/>
        <v>50.161111111111111</v>
      </c>
    </row>
    <row r="123" spans="1:107" x14ac:dyDescent="0.25">
      <c r="A123">
        <f t="shared" si="38"/>
        <v>5</v>
      </c>
      <c r="B123" s="2">
        <f>yields_BRUTE!B123</f>
        <v>42180</v>
      </c>
      <c r="C123" s="1">
        <f t="shared" si="64"/>
        <v>-0.32222222222222224</v>
      </c>
      <c r="D123" s="1">
        <f t="shared" si="64"/>
        <v>-0.28333333333333333</v>
      </c>
      <c r="E123" s="1">
        <f t="shared" si="64"/>
        <v>-6.6666666666666666E-2</v>
      </c>
      <c r="F123" s="1">
        <f t="shared" si="64"/>
        <v>0.18888888888888888</v>
      </c>
      <c r="G123" s="1">
        <f t="shared" si="64"/>
        <v>0.22777777777777777</v>
      </c>
      <c r="H123" s="1">
        <f t="shared" si="64"/>
        <v>0.44166666666666665</v>
      </c>
      <c r="I123" s="1">
        <f t="shared" si="64"/>
        <v>0.44166666666666665</v>
      </c>
      <c r="J123" s="1">
        <f t="shared" si="64"/>
        <v>0.69444444444444442</v>
      </c>
      <c r="K123" s="1">
        <f t="shared" si="64"/>
        <v>0.73333333333333328</v>
      </c>
      <c r="L123" s="1">
        <f t="shared" si="64"/>
        <v>0.95</v>
      </c>
      <c r="M123" s="1">
        <f t="shared" si="64"/>
        <v>1.2055555555555555</v>
      </c>
      <c r="N123" s="1">
        <f t="shared" si="64"/>
        <v>1.2055555555555555</v>
      </c>
      <c r="O123" s="1">
        <f t="shared" si="64"/>
        <v>1.2444444444444445</v>
      </c>
      <c r="P123" s="1">
        <f t="shared" si="64"/>
        <v>1.4583333333333333</v>
      </c>
      <c r="Q123" s="1">
        <f t="shared" si="64"/>
        <v>1.7472222222222222</v>
      </c>
      <c r="R123" s="1">
        <f t="shared" si="64"/>
        <v>1.9638888888888888</v>
      </c>
      <c r="S123" s="1">
        <f t="shared" si="61"/>
        <v>2.2583333333333333</v>
      </c>
      <c r="T123" s="1">
        <f t="shared" si="61"/>
        <v>2.4722222222222223</v>
      </c>
      <c r="U123" s="1">
        <f t="shared" si="61"/>
        <v>2.7611111111111111</v>
      </c>
      <c r="V123" s="1">
        <f t="shared" si="61"/>
        <v>2.9777777777777779</v>
      </c>
      <c r="W123" s="1">
        <f t="shared" si="61"/>
        <v>3.2722222222222221</v>
      </c>
      <c r="X123" s="1">
        <f t="shared" si="61"/>
        <v>3.4861111111111112</v>
      </c>
      <c r="Y123" s="1">
        <f t="shared" si="61"/>
        <v>3.7749999999999999</v>
      </c>
      <c r="Z123" s="1">
        <f t="shared" si="61"/>
        <v>3.9916666666666667</v>
      </c>
      <c r="AA123" s="1">
        <f t="shared" si="61"/>
        <v>4.2861111111111114</v>
      </c>
      <c r="AB123" s="1">
        <f t="shared" si="61"/>
        <v>4.5</v>
      </c>
      <c r="AC123" s="1">
        <f t="shared" si="61"/>
        <v>4.791666666666667</v>
      </c>
      <c r="AD123" s="1">
        <f t="shared" si="61"/>
        <v>5.0083333333333337</v>
      </c>
      <c r="AE123" s="1">
        <f t="shared" si="61"/>
        <v>5.0083333333333337</v>
      </c>
      <c r="AF123" s="3">
        <f t="shared" si="61"/>
        <v>5.302777777777778</v>
      </c>
      <c r="AG123" s="1">
        <f t="shared" si="59"/>
        <v>5.5166666666666666</v>
      </c>
      <c r="AH123" s="1">
        <f t="shared" si="59"/>
        <v>5.8055555555555554</v>
      </c>
      <c r="AI123" s="1">
        <f t="shared" si="59"/>
        <v>5.8055555555555554</v>
      </c>
      <c r="AJ123" s="1">
        <f t="shared" si="59"/>
        <v>6.0222222222222221</v>
      </c>
      <c r="AK123" s="1">
        <f t="shared" si="59"/>
        <v>6.0222222222222221</v>
      </c>
      <c r="AL123" s="1">
        <f t="shared" si="59"/>
        <v>6.5305555555555559</v>
      </c>
      <c r="AM123" s="1">
        <f t="shared" si="59"/>
        <v>7.0361111111111114</v>
      </c>
      <c r="AN123" s="1">
        <f t="shared" si="59"/>
        <v>7.0361111111111114</v>
      </c>
      <c r="AO123" s="1">
        <f t="shared" si="59"/>
        <v>7.5444444444444443</v>
      </c>
      <c r="AP123" s="1">
        <f t="shared" si="59"/>
        <v>8.0500000000000007</v>
      </c>
      <c r="AQ123" s="1">
        <f t="shared" si="59"/>
        <v>8.0500000000000007</v>
      </c>
      <c r="AR123" s="1">
        <f t="shared" si="59"/>
        <v>8.5583333333333336</v>
      </c>
      <c r="AS123" s="1">
        <f t="shared" si="59"/>
        <v>9.0666666666666664</v>
      </c>
      <c r="AT123" s="1">
        <f t="shared" si="59"/>
        <v>9.5749999999999993</v>
      </c>
      <c r="AU123" s="1">
        <f t="shared" si="59"/>
        <v>10.080555555555556</v>
      </c>
      <c r="AV123" s="1">
        <f t="shared" si="59"/>
        <v>10.080555555555556</v>
      </c>
      <c r="AW123" s="1">
        <f t="shared" si="62"/>
        <v>14.647222222222222</v>
      </c>
      <c r="AX123" s="1">
        <f t="shared" si="60"/>
        <v>15.152777777777779</v>
      </c>
      <c r="AY123" s="1">
        <f t="shared" si="60"/>
        <v>15.661111111111111</v>
      </c>
      <c r="AZ123" s="1">
        <f t="shared" si="60"/>
        <v>16.166666666666668</v>
      </c>
      <c r="BA123" s="1">
        <f t="shared" si="60"/>
        <v>16.675000000000001</v>
      </c>
      <c r="BB123" s="1">
        <f t="shared" si="60"/>
        <v>17.183333333333334</v>
      </c>
      <c r="BC123" s="1">
        <f t="shared" si="60"/>
        <v>17.691666666666666</v>
      </c>
      <c r="BD123" s="1">
        <f t="shared" si="60"/>
        <v>18.197222222222223</v>
      </c>
      <c r="BE123" s="1">
        <f t="shared" si="60"/>
        <v>18.197222222222223</v>
      </c>
      <c r="BF123" s="1">
        <f t="shared" si="60"/>
        <v>26.822222222222223</v>
      </c>
      <c r="BG123" s="1">
        <f t="shared" si="60"/>
        <v>27.327777777777779</v>
      </c>
      <c r="BH123" s="1">
        <f t="shared" si="60"/>
        <v>27.836111111111112</v>
      </c>
      <c r="BI123" s="1">
        <f t="shared" si="60"/>
        <v>28.341666666666665</v>
      </c>
      <c r="BJ123" s="1">
        <f t="shared" si="60"/>
        <v>28.85</v>
      </c>
      <c r="BK123" s="1">
        <f t="shared" si="60"/>
        <v>29.358333333333334</v>
      </c>
      <c r="BL123" s="1">
        <f t="shared" si="60"/>
        <v>29.866666666666667</v>
      </c>
      <c r="BM123" s="1">
        <f t="shared" si="60"/>
        <v>30.372222222222224</v>
      </c>
      <c r="BN123" s="1">
        <f t="shared" si="63"/>
        <v>30.880555555555556</v>
      </c>
      <c r="BO123" s="1">
        <f t="shared" si="58"/>
        <v>30.880555555555556</v>
      </c>
      <c r="BP123" s="1">
        <f t="shared" si="58"/>
        <v>31.386111111111113</v>
      </c>
      <c r="BQ123" s="1">
        <f t="shared" si="58"/>
        <v>31.894444444444446</v>
      </c>
      <c r="BR123" s="1">
        <f t="shared" si="58"/>
        <v>32.4</v>
      </c>
      <c r="BS123" s="1">
        <f t="shared" si="58"/>
        <v>32.908333333333331</v>
      </c>
      <c r="BT123" s="1">
        <f t="shared" si="58"/>
        <v>33.416666666666664</v>
      </c>
      <c r="BU123" s="1">
        <f t="shared" si="58"/>
        <v>33.924999999999997</v>
      </c>
      <c r="BV123" s="1">
        <f t="shared" si="58"/>
        <v>33.924999999999997</v>
      </c>
      <c r="BW123" s="1">
        <f t="shared" si="58"/>
        <v>34.430555555555557</v>
      </c>
      <c r="BX123" s="1">
        <f t="shared" si="58"/>
        <v>34.93888888888889</v>
      </c>
      <c r="BY123" s="1">
        <f t="shared" si="58"/>
        <v>35.444444444444443</v>
      </c>
      <c r="BZ123" s="1">
        <f t="shared" si="58"/>
        <v>35.952777777777776</v>
      </c>
      <c r="CA123" s="1">
        <f t="shared" si="58"/>
        <v>36.458333333333336</v>
      </c>
      <c r="CB123" s="1">
        <f t="shared" si="56"/>
        <v>36.966666666666669</v>
      </c>
      <c r="CC123" s="1">
        <f t="shared" si="56"/>
        <v>37.475000000000001</v>
      </c>
      <c r="CD123" s="1">
        <f t="shared" si="56"/>
        <v>37.983333333333334</v>
      </c>
      <c r="CE123" s="1">
        <f t="shared" si="56"/>
        <v>38.488888888888887</v>
      </c>
      <c r="CF123" s="1">
        <f t="shared" si="56"/>
        <v>38.99722222222222</v>
      </c>
      <c r="CG123" s="1">
        <f t="shared" si="56"/>
        <v>39.50277777777778</v>
      </c>
      <c r="CH123" s="1">
        <f t="shared" si="56"/>
        <v>40.011111111111113</v>
      </c>
      <c r="CI123" s="1">
        <f t="shared" si="56"/>
        <v>40.516666666666666</v>
      </c>
      <c r="CJ123" s="1">
        <f t="shared" si="56"/>
        <v>41.024999999999999</v>
      </c>
      <c r="CK123" s="1">
        <f t="shared" si="56"/>
        <v>41.533333333333331</v>
      </c>
      <c r="CL123" s="1">
        <f t="shared" si="56"/>
        <v>42.041666666666664</v>
      </c>
      <c r="CM123" s="1">
        <f t="shared" si="56"/>
        <v>42.547222222222224</v>
      </c>
      <c r="CN123" s="1">
        <f t="shared" si="56"/>
        <v>43.055555555555557</v>
      </c>
      <c r="CO123" s="1">
        <f t="shared" si="56"/>
        <v>43.56111111111111</v>
      </c>
      <c r="CP123" s="1">
        <f t="shared" si="56"/>
        <v>44.069444444444443</v>
      </c>
      <c r="CQ123" s="1">
        <f t="shared" si="56"/>
        <v>44.575000000000003</v>
      </c>
      <c r="CR123" s="1">
        <f t="shared" si="57"/>
        <v>45.083333333333336</v>
      </c>
      <c r="CS123" s="1">
        <f t="shared" si="57"/>
        <v>45.591666666666669</v>
      </c>
      <c r="CT123" s="1">
        <f t="shared" si="57"/>
        <v>46.1</v>
      </c>
      <c r="CU123" s="1">
        <f t="shared" si="57"/>
        <v>46.605555555555554</v>
      </c>
      <c r="CV123" s="1">
        <f t="shared" si="57"/>
        <v>47.113888888888887</v>
      </c>
      <c r="CW123" s="1">
        <f t="shared" si="57"/>
        <v>47.619444444444447</v>
      </c>
      <c r="CX123" s="1">
        <f t="shared" si="57"/>
        <v>48.12777777777778</v>
      </c>
      <c r="CY123" s="1">
        <f t="shared" si="57"/>
        <v>48.633333333333333</v>
      </c>
      <c r="CZ123" s="1">
        <f t="shared" si="57"/>
        <v>49.141666666666666</v>
      </c>
      <c r="DA123" s="1">
        <f t="shared" si="57"/>
        <v>49.65</v>
      </c>
      <c r="DB123" s="1">
        <f t="shared" si="57"/>
        <v>50.158333333333331</v>
      </c>
      <c r="DC123" s="1">
        <f t="shared" si="57"/>
        <v>50.158333333333331</v>
      </c>
    </row>
    <row r="124" spans="1:107" x14ac:dyDescent="0.25">
      <c r="A124">
        <f t="shared" si="38"/>
        <v>6</v>
      </c>
      <c r="B124" s="2">
        <f>yields_BRUTE!B124</f>
        <v>42181</v>
      </c>
      <c r="C124" s="1">
        <f t="shared" si="64"/>
        <v>-0.32500000000000001</v>
      </c>
      <c r="D124" s="1">
        <f t="shared" si="64"/>
        <v>-0.28611111111111109</v>
      </c>
      <c r="E124" s="1">
        <f t="shared" si="64"/>
        <v>-6.9444444444444448E-2</v>
      </c>
      <c r="F124" s="1">
        <f t="shared" si="64"/>
        <v>0.18611111111111112</v>
      </c>
      <c r="G124" s="1">
        <f t="shared" si="64"/>
        <v>0.22500000000000001</v>
      </c>
      <c r="H124" s="1">
        <f t="shared" si="64"/>
        <v>0.43888888888888888</v>
      </c>
      <c r="I124" s="1">
        <f t="shared" si="64"/>
        <v>0.43888888888888888</v>
      </c>
      <c r="J124" s="1">
        <f t="shared" si="64"/>
        <v>0.69166666666666665</v>
      </c>
      <c r="K124" s="1">
        <f t="shared" si="64"/>
        <v>0.73055555555555551</v>
      </c>
      <c r="L124" s="1">
        <f t="shared" si="64"/>
        <v>0.94722222222222219</v>
      </c>
      <c r="M124" s="1">
        <f t="shared" si="64"/>
        <v>1.2027777777777777</v>
      </c>
      <c r="N124" s="1">
        <f t="shared" si="64"/>
        <v>1.2027777777777777</v>
      </c>
      <c r="O124" s="1">
        <f t="shared" si="64"/>
        <v>1.2416666666666667</v>
      </c>
      <c r="P124" s="1">
        <f t="shared" si="64"/>
        <v>1.4555555555555555</v>
      </c>
      <c r="Q124" s="1">
        <f t="shared" si="64"/>
        <v>1.7444444444444445</v>
      </c>
      <c r="R124" s="1">
        <f t="shared" si="64"/>
        <v>1.961111111111111</v>
      </c>
      <c r="S124" s="1">
        <f t="shared" si="61"/>
        <v>2.2555555555555555</v>
      </c>
      <c r="T124" s="1">
        <f t="shared" si="61"/>
        <v>2.4694444444444446</v>
      </c>
      <c r="U124" s="1">
        <f t="shared" si="61"/>
        <v>2.7583333333333333</v>
      </c>
      <c r="V124" s="1">
        <f t="shared" si="61"/>
        <v>2.9750000000000001</v>
      </c>
      <c r="W124" s="1">
        <f t="shared" si="61"/>
        <v>3.2694444444444444</v>
      </c>
      <c r="X124" s="1">
        <f t="shared" si="61"/>
        <v>3.4833333333333334</v>
      </c>
      <c r="Y124" s="1">
        <f t="shared" si="61"/>
        <v>3.7722222222222221</v>
      </c>
      <c r="Z124" s="1">
        <f t="shared" si="61"/>
        <v>3.9888888888888889</v>
      </c>
      <c r="AA124" s="1">
        <f t="shared" si="61"/>
        <v>4.2833333333333332</v>
      </c>
      <c r="AB124" s="1">
        <f t="shared" si="61"/>
        <v>4.4972222222222218</v>
      </c>
      <c r="AC124" s="1">
        <f t="shared" si="61"/>
        <v>4.7888888888888888</v>
      </c>
      <c r="AD124" s="1">
        <f t="shared" si="61"/>
        <v>5.0055555555555555</v>
      </c>
      <c r="AE124" s="1">
        <f t="shared" si="61"/>
        <v>5.0055555555555555</v>
      </c>
      <c r="AF124" s="3">
        <f t="shared" si="61"/>
        <v>5.3</v>
      </c>
      <c r="AG124" s="1">
        <f t="shared" si="59"/>
        <v>5.5138888888888893</v>
      </c>
      <c r="AH124" s="1">
        <f t="shared" si="59"/>
        <v>5.802777777777778</v>
      </c>
      <c r="AI124" s="1">
        <f t="shared" si="59"/>
        <v>5.802777777777778</v>
      </c>
      <c r="AJ124" s="1">
        <f t="shared" si="59"/>
        <v>6.0194444444444448</v>
      </c>
      <c r="AK124" s="1">
        <f t="shared" si="59"/>
        <v>6.0194444444444448</v>
      </c>
      <c r="AL124" s="1">
        <f t="shared" si="59"/>
        <v>6.5277777777777777</v>
      </c>
      <c r="AM124" s="1">
        <f t="shared" si="59"/>
        <v>7.0333333333333332</v>
      </c>
      <c r="AN124" s="1">
        <f t="shared" si="59"/>
        <v>7.0333333333333332</v>
      </c>
      <c r="AO124" s="1">
        <f t="shared" si="59"/>
        <v>7.541666666666667</v>
      </c>
      <c r="AP124" s="1">
        <f t="shared" si="59"/>
        <v>8.0472222222222225</v>
      </c>
      <c r="AQ124" s="1">
        <f t="shared" si="59"/>
        <v>8.0472222222222225</v>
      </c>
      <c r="AR124" s="1">
        <f t="shared" si="59"/>
        <v>8.5555555555555554</v>
      </c>
      <c r="AS124" s="1">
        <f t="shared" si="59"/>
        <v>9.0638888888888882</v>
      </c>
      <c r="AT124" s="1">
        <f t="shared" si="59"/>
        <v>9.5722222222222229</v>
      </c>
      <c r="AU124" s="1">
        <f t="shared" si="59"/>
        <v>10.077777777777778</v>
      </c>
      <c r="AV124" s="1">
        <f t="shared" si="59"/>
        <v>10.077777777777778</v>
      </c>
      <c r="AW124" s="1">
        <f t="shared" si="62"/>
        <v>14.644444444444444</v>
      </c>
      <c r="AX124" s="1">
        <f t="shared" si="60"/>
        <v>15.15</v>
      </c>
      <c r="AY124" s="1">
        <f t="shared" si="60"/>
        <v>15.658333333333333</v>
      </c>
      <c r="AZ124" s="1">
        <f t="shared" si="60"/>
        <v>16.163888888888888</v>
      </c>
      <c r="BA124" s="1">
        <f t="shared" si="60"/>
        <v>16.672222222222221</v>
      </c>
      <c r="BB124" s="1">
        <f t="shared" si="60"/>
        <v>17.180555555555557</v>
      </c>
      <c r="BC124" s="1">
        <f t="shared" si="60"/>
        <v>17.68888888888889</v>
      </c>
      <c r="BD124" s="1">
        <f t="shared" si="60"/>
        <v>18.194444444444443</v>
      </c>
      <c r="BE124" s="1">
        <f t="shared" si="60"/>
        <v>18.194444444444443</v>
      </c>
      <c r="BF124" s="1">
        <f t="shared" si="60"/>
        <v>26.819444444444443</v>
      </c>
      <c r="BG124" s="1">
        <f t="shared" si="60"/>
        <v>27.324999999999999</v>
      </c>
      <c r="BH124" s="1">
        <f t="shared" si="60"/>
        <v>27.833333333333332</v>
      </c>
      <c r="BI124" s="1">
        <f t="shared" si="60"/>
        <v>28.338888888888889</v>
      </c>
      <c r="BJ124" s="1">
        <f t="shared" si="60"/>
        <v>28.847222222222221</v>
      </c>
      <c r="BK124" s="1">
        <f t="shared" si="60"/>
        <v>29.355555555555554</v>
      </c>
      <c r="BL124" s="1">
        <f t="shared" si="60"/>
        <v>29.863888888888887</v>
      </c>
      <c r="BM124" s="1">
        <f t="shared" si="60"/>
        <v>30.369444444444444</v>
      </c>
      <c r="BN124" s="1">
        <f t="shared" si="63"/>
        <v>30.877777777777776</v>
      </c>
      <c r="BO124" s="1">
        <f t="shared" si="58"/>
        <v>30.877777777777776</v>
      </c>
      <c r="BP124" s="1">
        <f t="shared" si="58"/>
        <v>31.383333333333333</v>
      </c>
      <c r="BQ124" s="1">
        <f t="shared" si="58"/>
        <v>31.891666666666666</v>
      </c>
      <c r="BR124" s="1">
        <f t="shared" si="58"/>
        <v>32.397222222222226</v>
      </c>
      <c r="BS124" s="1">
        <f t="shared" si="58"/>
        <v>32.905555555555559</v>
      </c>
      <c r="BT124" s="1">
        <f t="shared" si="58"/>
        <v>33.413888888888891</v>
      </c>
      <c r="BU124" s="1">
        <f t="shared" si="58"/>
        <v>33.922222222222224</v>
      </c>
      <c r="BV124" s="1">
        <f t="shared" si="58"/>
        <v>33.922222222222224</v>
      </c>
      <c r="BW124" s="1">
        <f t="shared" si="58"/>
        <v>34.427777777777777</v>
      </c>
      <c r="BX124" s="1">
        <f t="shared" si="58"/>
        <v>34.93611111111111</v>
      </c>
      <c r="BY124" s="1">
        <f t="shared" si="58"/>
        <v>35.44166666666667</v>
      </c>
      <c r="BZ124" s="1">
        <f t="shared" si="58"/>
        <v>35.950000000000003</v>
      </c>
      <c r="CA124" s="1">
        <f t="shared" si="58"/>
        <v>36.455555555555556</v>
      </c>
      <c r="CB124" s="1">
        <f t="shared" si="56"/>
        <v>36.963888888888889</v>
      </c>
      <c r="CC124" s="1">
        <f t="shared" si="56"/>
        <v>37.472222222222221</v>
      </c>
      <c r="CD124" s="1">
        <f t="shared" si="56"/>
        <v>37.980555555555554</v>
      </c>
      <c r="CE124" s="1">
        <f t="shared" si="56"/>
        <v>38.486111111111114</v>
      </c>
      <c r="CF124" s="1">
        <f t="shared" si="56"/>
        <v>38.994444444444447</v>
      </c>
      <c r="CG124" s="1">
        <f t="shared" si="56"/>
        <v>39.5</v>
      </c>
      <c r="CH124" s="1">
        <f t="shared" si="56"/>
        <v>40.008333333333333</v>
      </c>
      <c r="CI124" s="1">
        <f t="shared" si="56"/>
        <v>40.513888888888886</v>
      </c>
      <c r="CJ124" s="1">
        <f t="shared" si="56"/>
        <v>41.022222222222226</v>
      </c>
      <c r="CK124" s="1">
        <f t="shared" si="56"/>
        <v>41.530555555555559</v>
      </c>
      <c r="CL124" s="1">
        <f t="shared" si="56"/>
        <v>42.038888888888891</v>
      </c>
      <c r="CM124" s="1">
        <f t="shared" si="56"/>
        <v>42.544444444444444</v>
      </c>
      <c r="CN124" s="1">
        <f t="shared" si="56"/>
        <v>43.052777777777777</v>
      </c>
      <c r="CO124" s="1">
        <f t="shared" si="56"/>
        <v>43.55833333333333</v>
      </c>
      <c r="CP124" s="1">
        <f t="shared" si="56"/>
        <v>44.06666666666667</v>
      </c>
      <c r="CQ124" s="1">
        <f t="shared" si="56"/>
        <v>44.572222222222223</v>
      </c>
      <c r="CR124" s="1">
        <f t="shared" si="57"/>
        <v>45.080555555555556</v>
      </c>
      <c r="CS124" s="1">
        <f t="shared" si="57"/>
        <v>45.588888888888889</v>
      </c>
      <c r="CT124" s="1">
        <f t="shared" si="57"/>
        <v>46.097222222222221</v>
      </c>
      <c r="CU124" s="1">
        <f t="shared" si="57"/>
        <v>46.602777777777774</v>
      </c>
      <c r="CV124" s="1">
        <f t="shared" si="57"/>
        <v>47.111111111111114</v>
      </c>
      <c r="CW124" s="1">
        <f t="shared" si="57"/>
        <v>47.616666666666667</v>
      </c>
      <c r="CX124" s="1">
        <f t="shared" si="57"/>
        <v>48.125</v>
      </c>
      <c r="CY124" s="1">
        <f t="shared" si="57"/>
        <v>48.630555555555553</v>
      </c>
      <c r="CZ124" s="1">
        <f t="shared" si="57"/>
        <v>49.138888888888886</v>
      </c>
      <c r="DA124" s="1">
        <f t="shared" si="57"/>
        <v>49.647222222222226</v>
      </c>
      <c r="DB124" s="1">
        <f t="shared" si="57"/>
        <v>50.155555555555559</v>
      </c>
      <c r="DC124" s="1">
        <f t="shared" si="57"/>
        <v>50.155555555555559</v>
      </c>
    </row>
    <row r="125" spans="1:107" x14ac:dyDescent="0.25">
      <c r="A125">
        <f t="shared" si="38"/>
        <v>2</v>
      </c>
      <c r="B125" s="2">
        <f>yields_BRUTE!B125</f>
        <v>42184</v>
      </c>
      <c r="C125" s="1">
        <f t="shared" si="64"/>
        <v>-0.33333333333333331</v>
      </c>
      <c r="D125" s="1">
        <f t="shared" si="64"/>
        <v>-0.29444444444444445</v>
      </c>
      <c r="E125" s="1">
        <f t="shared" si="64"/>
        <v>-7.7777777777777779E-2</v>
      </c>
      <c r="F125" s="1">
        <f t="shared" si="64"/>
        <v>0.17777777777777778</v>
      </c>
      <c r="G125" s="1">
        <f t="shared" si="64"/>
        <v>0.21666666666666667</v>
      </c>
      <c r="H125" s="1">
        <f t="shared" si="64"/>
        <v>0.43055555555555558</v>
      </c>
      <c r="I125" s="1">
        <f t="shared" si="64"/>
        <v>0.43055555555555558</v>
      </c>
      <c r="J125" s="1">
        <f t="shared" si="64"/>
        <v>0.68333333333333335</v>
      </c>
      <c r="K125" s="1">
        <f t="shared" si="64"/>
        <v>0.72222222222222221</v>
      </c>
      <c r="L125" s="1">
        <f t="shared" si="64"/>
        <v>0.93888888888888888</v>
      </c>
      <c r="M125" s="1">
        <f t="shared" si="64"/>
        <v>1.1944444444444444</v>
      </c>
      <c r="N125" s="1">
        <f t="shared" si="64"/>
        <v>1.1944444444444444</v>
      </c>
      <c r="O125" s="1">
        <f t="shared" si="64"/>
        <v>1.2333333333333334</v>
      </c>
      <c r="P125" s="1">
        <f t="shared" si="64"/>
        <v>1.4472222222222222</v>
      </c>
      <c r="Q125" s="1">
        <f t="shared" si="64"/>
        <v>1.7361111111111112</v>
      </c>
      <c r="R125" s="1">
        <f t="shared" si="64"/>
        <v>1.9527777777777777</v>
      </c>
      <c r="S125" s="1">
        <f t="shared" si="61"/>
        <v>2.2472222222222222</v>
      </c>
      <c r="T125" s="1">
        <f t="shared" si="61"/>
        <v>2.4611111111111112</v>
      </c>
      <c r="U125" s="1">
        <f t="shared" si="61"/>
        <v>2.75</v>
      </c>
      <c r="V125" s="1">
        <f t="shared" si="61"/>
        <v>2.9666666666666668</v>
      </c>
      <c r="W125" s="1">
        <f t="shared" si="61"/>
        <v>3.2611111111111111</v>
      </c>
      <c r="X125" s="1">
        <f t="shared" si="61"/>
        <v>3.4750000000000001</v>
      </c>
      <c r="Y125" s="1">
        <f t="shared" si="61"/>
        <v>3.7638888888888888</v>
      </c>
      <c r="Z125" s="1">
        <f t="shared" si="61"/>
        <v>3.9805555555555556</v>
      </c>
      <c r="AA125" s="1">
        <f t="shared" si="61"/>
        <v>4.2750000000000004</v>
      </c>
      <c r="AB125" s="1">
        <f t="shared" si="61"/>
        <v>4.4888888888888889</v>
      </c>
      <c r="AC125" s="1">
        <f t="shared" si="61"/>
        <v>4.7805555555555559</v>
      </c>
      <c r="AD125" s="1">
        <f t="shared" si="61"/>
        <v>4.9972222222222218</v>
      </c>
      <c r="AE125" s="1">
        <f t="shared" si="61"/>
        <v>4.9972222222222218</v>
      </c>
      <c r="AF125" s="3">
        <f t="shared" si="61"/>
        <v>5.291666666666667</v>
      </c>
      <c r="AG125" s="1">
        <f t="shared" si="59"/>
        <v>5.5055555555555555</v>
      </c>
      <c r="AH125" s="1">
        <f t="shared" si="59"/>
        <v>5.7944444444444443</v>
      </c>
      <c r="AI125" s="1">
        <f t="shared" si="59"/>
        <v>5.7944444444444443</v>
      </c>
      <c r="AJ125" s="1">
        <f t="shared" si="59"/>
        <v>6.0111111111111111</v>
      </c>
      <c r="AK125" s="1">
        <f t="shared" si="59"/>
        <v>6.0111111111111111</v>
      </c>
      <c r="AL125" s="1">
        <f t="shared" si="59"/>
        <v>6.5194444444444448</v>
      </c>
      <c r="AM125" s="1">
        <f t="shared" si="59"/>
        <v>7.0250000000000004</v>
      </c>
      <c r="AN125" s="1">
        <f t="shared" si="59"/>
        <v>7.0250000000000004</v>
      </c>
      <c r="AO125" s="1">
        <f t="shared" si="59"/>
        <v>7.5333333333333332</v>
      </c>
      <c r="AP125" s="1">
        <f t="shared" si="59"/>
        <v>8.0388888888888896</v>
      </c>
      <c r="AQ125" s="1">
        <f t="shared" si="59"/>
        <v>8.0388888888888896</v>
      </c>
      <c r="AR125" s="1">
        <f t="shared" si="59"/>
        <v>8.5472222222222225</v>
      </c>
      <c r="AS125" s="1">
        <f t="shared" si="59"/>
        <v>9.0555555555555554</v>
      </c>
      <c r="AT125" s="1">
        <f t="shared" si="59"/>
        <v>9.5638888888888882</v>
      </c>
      <c r="AU125" s="1">
        <f t="shared" si="59"/>
        <v>10.069444444444445</v>
      </c>
      <c r="AV125" s="1">
        <f t="shared" si="59"/>
        <v>10.069444444444445</v>
      </c>
      <c r="AW125" s="1">
        <f t="shared" si="62"/>
        <v>14.636111111111111</v>
      </c>
      <c r="AX125" s="1">
        <f t="shared" si="60"/>
        <v>15.141666666666667</v>
      </c>
      <c r="AY125" s="1">
        <f t="shared" si="60"/>
        <v>15.65</v>
      </c>
      <c r="AZ125" s="1">
        <f t="shared" si="60"/>
        <v>16.155555555555555</v>
      </c>
      <c r="BA125" s="1">
        <f t="shared" si="60"/>
        <v>16.663888888888888</v>
      </c>
      <c r="BB125" s="1">
        <f t="shared" si="60"/>
        <v>17.172222222222221</v>
      </c>
      <c r="BC125" s="1">
        <f t="shared" si="60"/>
        <v>17.680555555555557</v>
      </c>
      <c r="BD125" s="1">
        <f t="shared" si="60"/>
        <v>18.18611111111111</v>
      </c>
      <c r="BE125" s="1">
        <f t="shared" si="60"/>
        <v>18.18611111111111</v>
      </c>
      <c r="BF125" s="1">
        <f t="shared" si="60"/>
        <v>26.81111111111111</v>
      </c>
      <c r="BG125" s="1">
        <f t="shared" si="60"/>
        <v>27.316666666666666</v>
      </c>
      <c r="BH125" s="1">
        <f t="shared" si="60"/>
        <v>27.824999999999999</v>
      </c>
      <c r="BI125" s="1">
        <f t="shared" si="60"/>
        <v>28.330555555555556</v>
      </c>
      <c r="BJ125" s="1">
        <f t="shared" si="60"/>
        <v>28.838888888888889</v>
      </c>
      <c r="BK125" s="1">
        <f t="shared" si="60"/>
        <v>29.347222222222221</v>
      </c>
      <c r="BL125" s="1">
        <f t="shared" si="60"/>
        <v>29.855555555555554</v>
      </c>
      <c r="BM125" s="1">
        <f t="shared" si="60"/>
        <v>30.361111111111111</v>
      </c>
      <c r="BN125" s="1">
        <f t="shared" si="63"/>
        <v>30.869444444444444</v>
      </c>
      <c r="BO125" s="1">
        <f t="shared" si="58"/>
        <v>30.869444444444444</v>
      </c>
      <c r="BP125" s="1">
        <f t="shared" si="58"/>
        <v>31.375</v>
      </c>
      <c r="BQ125" s="1">
        <f t="shared" si="58"/>
        <v>31.883333333333333</v>
      </c>
      <c r="BR125" s="1">
        <f t="shared" si="58"/>
        <v>32.388888888888886</v>
      </c>
      <c r="BS125" s="1">
        <f t="shared" si="58"/>
        <v>32.897222222222226</v>
      </c>
      <c r="BT125" s="1">
        <f t="shared" si="58"/>
        <v>33.405555555555559</v>
      </c>
      <c r="BU125" s="1">
        <f t="shared" si="58"/>
        <v>33.913888888888891</v>
      </c>
      <c r="BV125" s="1">
        <f t="shared" si="58"/>
        <v>33.913888888888891</v>
      </c>
      <c r="BW125" s="1">
        <f t="shared" si="58"/>
        <v>34.419444444444444</v>
      </c>
      <c r="BX125" s="1">
        <f t="shared" si="58"/>
        <v>34.927777777777777</v>
      </c>
      <c r="BY125" s="1">
        <f t="shared" si="58"/>
        <v>35.43333333333333</v>
      </c>
      <c r="BZ125" s="1">
        <f t="shared" si="58"/>
        <v>35.94166666666667</v>
      </c>
      <c r="CA125" s="1">
        <f t="shared" si="58"/>
        <v>36.447222222222223</v>
      </c>
      <c r="CB125" s="1">
        <f t="shared" si="56"/>
        <v>36.955555555555556</v>
      </c>
      <c r="CC125" s="1">
        <f t="shared" si="56"/>
        <v>37.463888888888889</v>
      </c>
      <c r="CD125" s="1">
        <f t="shared" si="56"/>
        <v>37.972222222222221</v>
      </c>
      <c r="CE125" s="1">
        <f t="shared" si="56"/>
        <v>38.477777777777774</v>
      </c>
      <c r="CF125" s="1">
        <f t="shared" si="56"/>
        <v>38.986111111111114</v>
      </c>
      <c r="CG125" s="1">
        <f t="shared" si="56"/>
        <v>39.491666666666667</v>
      </c>
      <c r="CH125" s="1">
        <f t="shared" si="56"/>
        <v>40</v>
      </c>
      <c r="CI125" s="1">
        <f t="shared" si="56"/>
        <v>40.505555555555553</v>
      </c>
      <c r="CJ125" s="1">
        <f t="shared" si="56"/>
        <v>41.013888888888886</v>
      </c>
      <c r="CK125" s="1">
        <f t="shared" si="56"/>
        <v>41.522222222222226</v>
      </c>
      <c r="CL125" s="1">
        <f t="shared" si="56"/>
        <v>42.030555555555559</v>
      </c>
      <c r="CM125" s="1">
        <f t="shared" si="56"/>
        <v>42.536111111111111</v>
      </c>
      <c r="CN125" s="1">
        <f t="shared" si="56"/>
        <v>43.044444444444444</v>
      </c>
      <c r="CO125" s="1">
        <f t="shared" si="56"/>
        <v>43.55</v>
      </c>
      <c r="CP125" s="1">
        <f t="shared" si="56"/>
        <v>44.05833333333333</v>
      </c>
      <c r="CQ125" s="1">
        <f t="shared" si="56"/>
        <v>44.56388888888889</v>
      </c>
      <c r="CR125" s="1">
        <f t="shared" si="57"/>
        <v>45.072222222222223</v>
      </c>
      <c r="CS125" s="1">
        <f t="shared" si="57"/>
        <v>45.580555555555556</v>
      </c>
      <c r="CT125" s="1">
        <f t="shared" si="57"/>
        <v>46.088888888888889</v>
      </c>
      <c r="CU125" s="1">
        <f t="shared" si="57"/>
        <v>46.594444444444441</v>
      </c>
      <c r="CV125" s="1">
        <f t="shared" si="57"/>
        <v>47.102777777777774</v>
      </c>
      <c r="CW125" s="1">
        <f t="shared" si="57"/>
        <v>47.608333333333334</v>
      </c>
      <c r="CX125" s="1">
        <f t="shared" si="57"/>
        <v>48.116666666666667</v>
      </c>
      <c r="CY125" s="1">
        <f t="shared" si="57"/>
        <v>48.62222222222222</v>
      </c>
      <c r="CZ125" s="1">
        <f t="shared" si="57"/>
        <v>49.130555555555553</v>
      </c>
      <c r="DA125" s="1">
        <f t="shared" si="57"/>
        <v>49.638888888888886</v>
      </c>
      <c r="DB125" s="1">
        <f t="shared" si="57"/>
        <v>50.147222222222226</v>
      </c>
      <c r="DC125" s="1">
        <f t="shared" si="57"/>
        <v>50.147222222222226</v>
      </c>
    </row>
    <row r="126" spans="1:107" x14ac:dyDescent="0.25">
      <c r="A126">
        <f t="shared" si="38"/>
        <v>3</v>
      </c>
      <c r="B126" s="2">
        <f>yields_BRUTE!B126</f>
        <v>42185</v>
      </c>
      <c r="C126" s="1">
        <f t="shared" si="64"/>
        <v>-0.33611111111111114</v>
      </c>
      <c r="D126" s="1">
        <f t="shared" si="64"/>
        <v>-0.29722222222222222</v>
      </c>
      <c r="E126" s="1">
        <f t="shared" si="64"/>
        <v>-8.0555555555555561E-2</v>
      </c>
      <c r="F126" s="1">
        <f t="shared" si="64"/>
        <v>0.17499999999999999</v>
      </c>
      <c r="G126" s="1">
        <f t="shared" si="64"/>
        <v>0.21388888888888888</v>
      </c>
      <c r="H126" s="1">
        <f t="shared" si="64"/>
        <v>0.42777777777777776</v>
      </c>
      <c r="I126" s="1">
        <f t="shared" si="64"/>
        <v>0.42777777777777776</v>
      </c>
      <c r="J126" s="1">
        <f t="shared" si="64"/>
        <v>0.68055555555555558</v>
      </c>
      <c r="K126" s="1">
        <f t="shared" si="64"/>
        <v>0.71944444444444444</v>
      </c>
      <c r="L126" s="1">
        <f t="shared" si="64"/>
        <v>0.93611111111111112</v>
      </c>
      <c r="M126" s="1">
        <f t="shared" si="64"/>
        <v>1.1916666666666667</v>
      </c>
      <c r="N126" s="1">
        <f t="shared" si="64"/>
        <v>1.1916666666666667</v>
      </c>
      <c r="O126" s="1">
        <f t="shared" si="64"/>
        <v>1.2305555555555556</v>
      </c>
      <c r="P126" s="1">
        <f t="shared" si="64"/>
        <v>1.4444444444444444</v>
      </c>
      <c r="Q126" s="1">
        <f t="shared" si="64"/>
        <v>1.7333333333333334</v>
      </c>
      <c r="R126" s="1">
        <f t="shared" si="64"/>
        <v>1.95</v>
      </c>
      <c r="S126" s="1">
        <f t="shared" si="61"/>
        <v>2.2444444444444445</v>
      </c>
      <c r="T126" s="1">
        <f t="shared" si="61"/>
        <v>2.4583333333333335</v>
      </c>
      <c r="U126" s="1">
        <f t="shared" si="61"/>
        <v>2.7472222222222222</v>
      </c>
      <c r="V126" s="1">
        <f t="shared" si="61"/>
        <v>2.963888888888889</v>
      </c>
      <c r="W126" s="1">
        <f t="shared" si="61"/>
        <v>3.2583333333333333</v>
      </c>
      <c r="X126" s="1">
        <f t="shared" si="61"/>
        <v>3.4722222222222223</v>
      </c>
      <c r="Y126" s="1">
        <f t="shared" si="61"/>
        <v>3.7611111111111111</v>
      </c>
      <c r="Z126" s="1">
        <f t="shared" si="61"/>
        <v>3.9777777777777779</v>
      </c>
      <c r="AA126" s="1">
        <f t="shared" si="61"/>
        <v>4.2722222222222221</v>
      </c>
      <c r="AB126" s="1">
        <f t="shared" si="61"/>
        <v>4.4861111111111107</v>
      </c>
      <c r="AC126" s="1">
        <f t="shared" si="61"/>
        <v>4.7777777777777777</v>
      </c>
      <c r="AD126" s="1">
        <f t="shared" si="61"/>
        <v>4.9944444444444445</v>
      </c>
      <c r="AE126" s="1">
        <f t="shared" si="61"/>
        <v>4.9944444444444445</v>
      </c>
      <c r="AF126" s="3">
        <f t="shared" si="61"/>
        <v>5.2888888888888888</v>
      </c>
      <c r="AG126" s="1">
        <f t="shared" si="59"/>
        <v>5.5027777777777782</v>
      </c>
      <c r="AH126" s="1">
        <f t="shared" si="59"/>
        <v>5.791666666666667</v>
      </c>
      <c r="AI126" s="1">
        <f t="shared" si="59"/>
        <v>5.791666666666667</v>
      </c>
      <c r="AJ126" s="1">
        <f t="shared" si="59"/>
        <v>6.0083333333333337</v>
      </c>
      <c r="AK126" s="1">
        <f t="shared" si="59"/>
        <v>6.0083333333333337</v>
      </c>
      <c r="AL126" s="1">
        <f t="shared" si="59"/>
        <v>6.5166666666666666</v>
      </c>
      <c r="AM126" s="1">
        <f t="shared" si="59"/>
        <v>7.0222222222222221</v>
      </c>
      <c r="AN126" s="1">
        <f t="shared" si="59"/>
        <v>7.0222222222222221</v>
      </c>
      <c r="AO126" s="1">
        <f t="shared" si="59"/>
        <v>7.5305555555555559</v>
      </c>
      <c r="AP126" s="1">
        <f t="shared" si="59"/>
        <v>8.0361111111111114</v>
      </c>
      <c r="AQ126" s="1">
        <f t="shared" si="59"/>
        <v>8.0361111111111114</v>
      </c>
      <c r="AR126" s="1">
        <f t="shared" si="59"/>
        <v>8.5444444444444443</v>
      </c>
      <c r="AS126" s="1">
        <f t="shared" si="59"/>
        <v>9.0527777777777771</v>
      </c>
      <c r="AT126" s="1">
        <f t="shared" si="59"/>
        <v>9.5611111111111118</v>
      </c>
      <c r="AU126" s="1">
        <f t="shared" si="59"/>
        <v>10.066666666666666</v>
      </c>
      <c r="AV126" s="1">
        <f t="shared" si="59"/>
        <v>10.066666666666666</v>
      </c>
      <c r="AW126" s="1">
        <f t="shared" si="62"/>
        <v>14.633333333333333</v>
      </c>
      <c r="AX126" s="1">
        <f t="shared" si="60"/>
        <v>15.138888888888889</v>
      </c>
      <c r="AY126" s="1">
        <f t="shared" si="60"/>
        <v>15.647222222222222</v>
      </c>
      <c r="AZ126" s="1">
        <f t="shared" si="60"/>
        <v>16.152777777777779</v>
      </c>
      <c r="BA126" s="1">
        <f t="shared" si="60"/>
        <v>16.661111111111111</v>
      </c>
      <c r="BB126" s="1">
        <f t="shared" si="60"/>
        <v>17.169444444444444</v>
      </c>
      <c r="BC126" s="1">
        <f t="shared" si="60"/>
        <v>17.677777777777777</v>
      </c>
      <c r="BD126" s="1">
        <f t="shared" si="60"/>
        <v>18.183333333333334</v>
      </c>
      <c r="BE126" s="1">
        <f t="shared" si="60"/>
        <v>18.183333333333334</v>
      </c>
      <c r="BF126" s="1">
        <f t="shared" si="60"/>
        <v>26.808333333333334</v>
      </c>
      <c r="BG126" s="1">
        <f t="shared" si="60"/>
        <v>27.31388888888889</v>
      </c>
      <c r="BH126" s="1">
        <f t="shared" si="60"/>
        <v>27.822222222222223</v>
      </c>
      <c r="BI126" s="1">
        <f t="shared" si="60"/>
        <v>28.327777777777779</v>
      </c>
      <c r="BJ126" s="1">
        <f t="shared" si="60"/>
        <v>28.836111111111112</v>
      </c>
      <c r="BK126" s="1">
        <f t="shared" si="60"/>
        <v>29.344444444444445</v>
      </c>
      <c r="BL126" s="1">
        <f t="shared" si="60"/>
        <v>29.852777777777778</v>
      </c>
      <c r="BM126" s="1">
        <f t="shared" si="60"/>
        <v>30.358333333333334</v>
      </c>
      <c r="BN126" s="1">
        <f t="shared" si="63"/>
        <v>30.866666666666667</v>
      </c>
      <c r="BO126" s="1">
        <f t="shared" si="58"/>
        <v>30.866666666666667</v>
      </c>
      <c r="BP126" s="1">
        <f t="shared" si="58"/>
        <v>31.372222222222224</v>
      </c>
      <c r="BQ126" s="1">
        <f t="shared" si="58"/>
        <v>31.880555555555556</v>
      </c>
      <c r="BR126" s="1">
        <f t="shared" si="58"/>
        <v>32.386111111111113</v>
      </c>
      <c r="BS126" s="1">
        <f t="shared" si="58"/>
        <v>32.894444444444446</v>
      </c>
      <c r="BT126" s="1">
        <f t="shared" si="58"/>
        <v>33.402777777777779</v>
      </c>
      <c r="BU126" s="1">
        <f t="shared" si="58"/>
        <v>33.911111111111111</v>
      </c>
      <c r="BV126" s="1">
        <f t="shared" si="58"/>
        <v>33.911111111111111</v>
      </c>
      <c r="BW126" s="1">
        <f t="shared" si="58"/>
        <v>34.416666666666664</v>
      </c>
      <c r="BX126" s="1">
        <f t="shared" si="58"/>
        <v>34.924999999999997</v>
      </c>
      <c r="BY126" s="1">
        <f t="shared" si="58"/>
        <v>35.430555555555557</v>
      </c>
      <c r="BZ126" s="1">
        <f t="shared" si="58"/>
        <v>35.93888888888889</v>
      </c>
      <c r="CA126" s="1">
        <f t="shared" si="58"/>
        <v>36.444444444444443</v>
      </c>
      <c r="CB126" s="1">
        <f t="shared" si="58"/>
        <v>36.952777777777776</v>
      </c>
      <c r="CC126" s="1">
        <f t="shared" si="58"/>
        <v>37.461111111111109</v>
      </c>
      <c r="CD126" s="1">
        <f t="shared" si="58"/>
        <v>37.969444444444441</v>
      </c>
      <c r="CE126" s="1">
        <f t="shared" ref="CE126:CT141" si="65">(CE$1-$B126)/360</f>
        <v>38.475000000000001</v>
      </c>
      <c r="CF126" s="1">
        <f t="shared" si="65"/>
        <v>38.983333333333334</v>
      </c>
      <c r="CG126" s="1">
        <f t="shared" si="65"/>
        <v>39.488888888888887</v>
      </c>
      <c r="CH126" s="1">
        <f t="shared" si="65"/>
        <v>39.99722222222222</v>
      </c>
      <c r="CI126" s="1">
        <f t="shared" si="65"/>
        <v>40.50277777777778</v>
      </c>
      <c r="CJ126" s="1">
        <f t="shared" si="65"/>
        <v>41.011111111111113</v>
      </c>
      <c r="CK126" s="1">
        <f t="shared" si="65"/>
        <v>41.519444444444446</v>
      </c>
      <c r="CL126" s="1">
        <f t="shared" si="65"/>
        <v>42.027777777777779</v>
      </c>
      <c r="CM126" s="1">
        <f t="shared" si="65"/>
        <v>42.533333333333331</v>
      </c>
      <c r="CN126" s="1">
        <f t="shared" si="65"/>
        <v>43.041666666666664</v>
      </c>
      <c r="CO126" s="1">
        <f t="shared" si="65"/>
        <v>43.547222222222224</v>
      </c>
      <c r="CP126" s="1">
        <f t="shared" si="65"/>
        <v>44.055555555555557</v>
      </c>
      <c r="CQ126" s="1">
        <f t="shared" si="65"/>
        <v>44.56111111111111</v>
      </c>
      <c r="CR126" s="1">
        <f t="shared" si="65"/>
        <v>45.069444444444443</v>
      </c>
      <c r="CS126" s="1">
        <f t="shared" si="65"/>
        <v>45.577777777777776</v>
      </c>
      <c r="CT126" s="1">
        <f t="shared" si="65"/>
        <v>46.086111111111109</v>
      </c>
      <c r="CU126" s="1">
        <f t="shared" ref="CU126:DC141" si="66">(CU$1-$B126)/360</f>
        <v>46.591666666666669</v>
      </c>
      <c r="CV126" s="1">
        <f t="shared" si="66"/>
        <v>47.1</v>
      </c>
      <c r="CW126" s="1">
        <f t="shared" si="66"/>
        <v>47.605555555555554</v>
      </c>
      <c r="CX126" s="1">
        <f t="shared" si="66"/>
        <v>48.113888888888887</v>
      </c>
      <c r="CY126" s="1">
        <f t="shared" si="66"/>
        <v>48.619444444444447</v>
      </c>
      <c r="CZ126" s="1">
        <f t="shared" si="66"/>
        <v>49.12777777777778</v>
      </c>
      <c r="DA126" s="1">
        <f t="shared" si="66"/>
        <v>49.636111111111113</v>
      </c>
      <c r="DB126" s="1">
        <f t="shared" si="66"/>
        <v>50.144444444444446</v>
      </c>
      <c r="DC126" s="1">
        <f t="shared" si="66"/>
        <v>50.144444444444446</v>
      </c>
    </row>
    <row r="127" spans="1:107" x14ac:dyDescent="0.25">
      <c r="A127">
        <f t="shared" si="38"/>
        <v>5</v>
      </c>
      <c r="B127" s="2">
        <f>yields_BRUTE!B127</f>
        <v>42187</v>
      </c>
      <c r="C127" s="1">
        <f t="shared" si="64"/>
        <v>-0.34166666666666667</v>
      </c>
      <c r="D127" s="1">
        <f t="shared" si="64"/>
        <v>-0.30277777777777776</v>
      </c>
      <c r="E127" s="1">
        <f t="shared" si="64"/>
        <v>-8.611111111111111E-2</v>
      </c>
      <c r="F127" s="1">
        <f t="shared" si="64"/>
        <v>0.16944444444444445</v>
      </c>
      <c r="G127" s="1">
        <f t="shared" si="64"/>
        <v>0.20833333333333334</v>
      </c>
      <c r="H127" s="1">
        <f t="shared" si="64"/>
        <v>0.42222222222222222</v>
      </c>
      <c r="I127" s="1">
        <f t="shared" si="64"/>
        <v>0.42222222222222222</v>
      </c>
      <c r="J127" s="1">
        <f t="shared" si="64"/>
        <v>0.67500000000000004</v>
      </c>
      <c r="K127" s="1">
        <f t="shared" si="64"/>
        <v>0.71388888888888891</v>
      </c>
      <c r="L127" s="1">
        <f t="shared" si="64"/>
        <v>0.93055555555555558</v>
      </c>
      <c r="M127" s="1">
        <f t="shared" si="64"/>
        <v>1.1861111111111111</v>
      </c>
      <c r="N127" s="1">
        <f t="shared" si="64"/>
        <v>1.1861111111111111</v>
      </c>
      <c r="O127" s="1">
        <f t="shared" si="64"/>
        <v>1.2250000000000001</v>
      </c>
      <c r="P127" s="1">
        <f t="shared" si="64"/>
        <v>1.4388888888888889</v>
      </c>
      <c r="Q127" s="1">
        <f t="shared" si="64"/>
        <v>1.7277777777777779</v>
      </c>
      <c r="R127" s="1">
        <f t="shared" si="64"/>
        <v>1.9444444444444444</v>
      </c>
      <c r="S127" s="1">
        <f t="shared" si="61"/>
        <v>2.2388888888888889</v>
      </c>
      <c r="T127" s="1">
        <f t="shared" si="61"/>
        <v>2.4527777777777779</v>
      </c>
      <c r="U127" s="1">
        <f t="shared" si="61"/>
        <v>2.7416666666666667</v>
      </c>
      <c r="V127" s="1">
        <f t="shared" si="61"/>
        <v>2.9583333333333335</v>
      </c>
      <c r="W127" s="1">
        <f t="shared" si="61"/>
        <v>3.2527777777777778</v>
      </c>
      <c r="X127" s="1">
        <f t="shared" si="61"/>
        <v>3.4666666666666668</v>
      </c>
      <c r="Y127" s="1">
        <f t="shared" si="61"/>
        <v>3.7555555555555555</v>
      </c>
      <c r="Z127" s="1">
        <f t="shared" si="61"/>
        <v>3.9722222222222223</v>
      </c>
      <c r="AA127" s="1">
        <f t="shared" si="61"/>
        <v>4.2666666666666666</v>
      </c>
      <c r="AB127" s="1">
        <f t="shared" si="61"/>
        <v>4.4805555555555552</v>
      </c>
      <c r="AC127" s="1">
        <f t="shared" si="61"/>
        <v>4.7722222222222221</v>
      </c>
      <c r="AD127" s="1">
        <f t="shared" si="61"/>
        <v>4.9888888888888889</v>
      </c>
      <c r="AE127" s="1">
        <f t="shared" si="61"/>
        <v>4.9888888888888889</v>
      </c>
      <c r="AF127" s="3">
        <f t="shared" si="61"/>
        <v>5.2833333333333332</v>
      </c>
      <c r="AG127" s="1">
        <f t="shared" si="59"/>
        <v>5.4972222222222218</v>
      </c>
      <c r="AH127" s="1">
        <f t="shared" si="59"/>
        <v>5.7861111111111114</v>
      </c>
      <c r="AI127" s="1">
        <f t="shared" si="59"/>
        <v>5.7861111111111114</v>
      </c>
      <c r="AJ127" s="1">
        <f t="shared" si="59"/>
        <v>6.0027777777777782</v>
      </c>
      <c r="AK127" s="1">
        <f t="shared" si="59"/>
        <v>6.0027777777777782</v>
      </c>
      <c r="AL127" s="1">
        <f t="shared" si="59"/>
        <v>6.5111111111111111</v>
      </c>
      <c r="AM127" s="1">
        <f t="shared" si="59"/>
        <v>7.0166666666666666</v>
      </c>
      <c r="AN127" s="1">
        <f t="shared" si="59"/>
        <v>7.0166666666666666</v>
      </c>
      <c r="AO127" s="1">
        <f t="shared" si="59"/>
        <v>7.5250000000000004</v>
      </c>
      <c r="AP127" s="1">
        <f t="shared" si="59"/>
        <v>8.030555555555555</v>
      </c>
      <c r="AQ127" s="1">
        <f t="shared" si="59"/>
        <v>8.030555555555555</v>
      </c>
      <c r="AR127" s="1">
        <f t="shared" si="59"/>
        <v>8.5388888888888896</v>
      </c>
      <c r="AS127" s="1">
        <f t="shared" si="59"/>
        <v>9.0472222222222225</v>
      </c>
      <c r="AT127" s="1">
        <f t="shared" si="59"/>
        <v>9.5555555555555554</v>
      </c>
      <c r="AU127" s="1">
        <f t="shared" si="59"/>
        <v>10.061111111111112</v>
      </c>
      <c r="AV127" s="1">
        <f t="shared" si="59"/>
        <v>10.061111111111112</v>
      </c>
      <c r="AW127" s="1">
        <f t="shared" si="62"/>
        <v>14.627777777777778</v>
      </c>
      <c r="AX127" s="1">
        <f t="shared" si="60"/>
        <v>15.133333333333333</v>
      </c>
      <c r="AY127" s="1">
        <f t="shared" si="60"/>
        <v>15.641666666666667</v>
      </c>
      <c r="AZ127" s="1">
        <f t="shared" si="60"/>
        <v>16.147222222222222</v>
      </c>
      <c r="BA127" s="1">
        <f t="shared" si="60"/>
        <v>16.655555555555555</v>
      </c>
      <c r="BB127" s="1">
        <f t="shared" si="60"/>
        <v>17.163888888888888</v>
      </c>
      <c r="BC127" s="1">
        <f t="shared" si="60"/>
        <v>17.672222222222221</v>
      </c>
      <c r="BD127" s="1">
        <f t="shared" si="60"/>
        <v>18.177777777777777</v>
      </c>
      <c r="BE127" s="1">
        <f t="shared" si="60"/>
        <v>18.177777777777777</v>
      </c>
      <c r="BF127" s="1">
        <f t="shared" si="60"/>
        <v>26.802777777777777</v>
      </c>
      <c r="BG127" s="1">
        <f t="shared" si="60"/>
        <v>27.308333333333334</v>
      </c>
      <c r="BH127" s="1">
        <f t="shared" si="60"/>
        <v>27.816666666666666</v>
      </c>
      <c r="BI127" s="1">
        <f t="shared" si="60"/>
        <v>28.322222222222223</v>
      </c>
      <c r="BJ127" s="1">
        <f t="shared" si="60"/>
        <v>28.830555555555556</v>
      </c>
      <c r="BK127" s="1">
        <f t="shared" si="60"/>
        <v>29.338888888888889</v>
      </c>
      <c r="BL127" s="1">
        <f t="shared" si="60"/>
        <v>29.847222222222221</v>
      </c>
      <c r="BM127" s="1">
        <f t="shared" si="60"/>
        <v>30.352777777777778</v>
      </c>
      <c r="BN127" s="1">
        <f t="shared" si="63"/>
        <v>30.861111111111111</v>
      </c>
      <c r="BO127" s="1">
        <f t="shared" si="63"/>
        <v>30.861111111111111</v>
      </c>
      <c r="BP127" s="1">
        <f t="shared" si="63"/>
        <v>31.366666666666667</v>
      </c>
      <c r="BQ127" s="1">
        <f t="shared" si="63"/>
        <v>31.875</v>
      </c>
      <c r="BR127" s="1">
        <f t="shared" si="63"/>
        <v>32.380555555555553</v>
      </c>
      <c r="BS127" s="1">
        <f t="shared" si="63"/>
        <v>32.888888888888886</v>
      </c>
      <c r="BT127" s="1">
        <f t="shared" si="63"/>
        <v>33.397222222222226</v>
      </c>
      <c r="BU127" s="1">
        <f t="shared" si="63"/>
        <v>33.905555555555559</v>
      </c>
      <c r="BV127" s="1">
        <f t="shared" si="63"/>
        <v>33.905555555555559</v>
      </c>
      <c r="BW127" s="1">
        <f t="shared" si="63"/>
        <v>34.411111111111111</v>
      </c>
      <c r="BX127" s="1">
        <f t="shared" si="63"/>
        <v>34.919444444444444</v>
      </c>
      <c r="BY127" s="1">
        <f t="shared" si="63"/>
        <v>35.424999999999997</v>
      </c>
      <c r="BZ127" s="1">
        <f t="shared" si="63"/>
        <v>35.93333333333333</v>
      </c>
      <c r="CA127" s="1">
        <f t="shared" si="63"/>
        <v>36.43888888888889</v>
      </c>
      <c r="CB127" s="1">
        <f t="shared" si="63"/>
        <v>36.947222222222223</v>
      </c>
      <c r="CC127" s="1">
        <f t="shared" si="63"/>
        <v>37.455555555555556</v>
      </c>
      <c r="CD127" s="1">
        <f t="shared" ref="CD127:CS142" si="67">(CD$1-$B127)/360</f>
        <v>37.963888888888889</v>
      </c>
      <c r="CE127" s="1">
        <f t="shared" si="65"/>
        <v>38.469444444444441</v>
      </c>
      <c r="CF127" s="1">
        <f t="shared" si="65"/>
        <v>38.977777777777774</v>
      </c>
      <c r="CG127" s="1">
        <f t="shared" si="65"/>
        <v>39.483333333333334</v>
      </c>
      <c r="CH127" s="1">
        <f t="shared" si="65"/>
        <v>39.991666666666667</v>
      </c>
      <c r="CI127" s="1">
        <f t="shared" si="65"/>
        <v>40.49722222222222</v>
      </c>
      <c r="CJ127" s="1">
        <f t="shared" si="65"/>
        <v>41.005555555555553</v>
      </c>
      <c r="CK127" s="1">
        <f t="shared" si="65"/>
        <v>41.513888888888886</v>
      </c>
      <c r="CL127" s="1">
        <f t="shared" si="65"/>
        <v>42.022222222222226</v>
      </c>
      <c r="CM127" s="1">
        <f t="shared" si="65"/>
        <v>42.527777777777779</v>
      </c>
      <c r="CN127" s="1">
        <f t="shared" si="65"/>
        <v>43.036111111111111</v>
      </c>
      <c r="CO127" s="1">
        <f t="shared" si="65"/>
        <v>43.541666666666664</v>
      </c>
      <c r="CP127" s="1">
        <f t="shared" si="65"/>
        <v>44.05</v>
      </c>
      <c r="CQ127" s="1">
        <f t="shared" si="65"/>
        <v>44.555555555555557</v>
      </c>
      <c r="CR127" s="1">
        <f t="shared" si="65"/>
        <v>45.06388888888889</v>
      </c>
      <c r="CS127" s="1">
        <f t="shared" si="65"/>
        <v>45.572222222222223</v>
      </c>
      <c r="CT127" s="1">
        <f t="shared" si="65"/>
        <v>46.080555555555556</v>
      </c>
      <c r="CU127" s="1">
        <f t="shared" si="66"/>
        <v>46.586111111111109</v>
      </c>
      <c r="CV127" s="1">
        <f t="shared" si="66"/>
        <v>47.094444444444441</v>
      </c>
      <c r="CW127" s="1">
        <f t="shared" si="66"/>
        <v>47.6</v>
      </c>
      <c r="CX127" s="1">
        <f t="shared" si="66"/>
        <v>48.108333333333334</v>
      </c>
      <c r="CY127" s="1">
        <f t="shared" si="66"/>
        <v>48.613888888888887</v>
      </c>
      <c r="CZ127" s="1">
        <f t="shared" si="66"/>
        <v>49.12222222222222</v>
      </c>
      <c r="DA127" s="1">
        <f t="shared" si="66"/>
        <v>49.630555555555553</v>
      </c>
      <c r="DB127" s="1">
        <f t="shared" si="66"/>
        <v>50.138888888888886</v>
      </c>
      <c r="DC127" s="1">
        <f t="shared" si="66"/>
        <v>50.138888888888886</v>
      </c>
    </row>
    <row r="128" spans="1:107" x14ac:dyDescent="0.25">
      <c r="A128">
        <f t="shared" si="38"/>
        <v>6</v>
      </c>
      <c r="B128" s="2">
        <f>yields_BRUTE!B128</f>
        <v>42188</v>
      </c>
      <c r="C128" s="1">
        <f t="shared" si="64"/>
        <v>-0.34444444444444444</v>
      </c>
      <c r="D128" s="1">
        <f t="shared" si="64"/>
        <v>-0.30555555555555558</v>
      </c>
      <c r="E128" s="1">
        <f t="shared" si="64"/>
        <v>-8.8888888888888892E-2</v>
      </c>
      <c r="F128" s="1">
        <f t="shared" si="64"/>
        <v>0.16666666666666666</v>
      </c>
      <c r="G128" s="1">
        <f t="shared" si="64"/>
        <v>0.20555555555555555</v>
      </c>
      <c r="H128" s="1">
        <f t="shared" si="64"/>
        <v>0.41944444444444445</v>
      </c>
      <c r="I128" s="1">
        <f t="shared" si="64"/>
        <v>0.41944444444444445</v>
      </c>
      <c r="J128" s="1">
        <f t="shared" si="64"/>
        <v>0.67222222222222228</v>
      </c>
      <c r="K128" s="1">
        <f t="shared" si="64"/>
        <v>0.71111111111111114</v>
      </c>
      <c r="L128" s="1">
        <f t="shared" si="64"/>
        <v>0.92777777777777781</v>
      </c>
      <c r="M128" s="1">
        <f t="shared" si="64"/>
        <v>1.1833333333333333</v>
      </c>
      <c r="N128" s="1">
        <f t="shared" si="64"/>
        <v>1.1833333333333333</v>
      </c>
      <c r="O128" s="1">
        <f t="shared" si="64"/>
        <v>1.2222222222222223</v>
      </c>
      <c r="P128" s="1">
        <f t="shared" si="64"/>
        <v>1.4361111111111111</v>
      </c>
      <c r="Q128" s="1">
        <f t="shared" si="64"/>
        <v>1.7250000000000001</v>
      </c>
      <c r="R128" s="1">
        <f t="shared" si="64"/>
        <v>1.9416666666666667</v>
      </c>
      <c r="S128" s="1">
        <f t="shared" si="61"/>
        <v>2.2361111111111112</v>
      </c>
      <c r="T128" s="1">
        <f t="shared" si="61"/>
        <v>2.4500000000000002</v>
      </c>
      <c r="U128" s="1">
        <f t="shared" si="61"/>
        <v>2.7388888888888889</v>
      </c>
      <c r="V128" s="1">
        <f t="shared" si="61"/>
        <v>2.9555555555555557</v>
      </c>
      <c r="W128" s="1">
        <f t="shared" si="61"/>
        <v>3.25</v>
      </c>
      <c r="X128" s="1">
        <f t="shared" si="61"/>
        <v>3.463888888888889</v>
      </c>
      <c r="Y128" s="1">
        <f t="shared" si="61"/>
        <v>3.7527777777777778</v>
      </c>
      <c r="Z128" s="1">
        <f t="shared" si="61"/>
        <v>3.9694444444444446</v>
      </c>
      <c r="AA128" s="1">
        <f t="shared" si="61"/>
        <v>4.2638888888888893</v>
      </c>
      <c r="AB128" s="1">
        <f t="shared" si="61"/>
        <v>4.4777777777777779</v>
      </c>
      <c r="AC128" s="1">
        <f t="shared" si="61"/>
        <v>4.7694444444444448</v>
      </c>
      <c r="AD128" s="1">
        <f t="shared" si="61"/>
        <v>4.9861111111111107</v>
      </c>
      <c r="AE128" s="1">
        <f t="shared" si="61"/>
        <v>4.9861111111111107</v>
      </c>
      <c r="AF128" s="3">
        <f t="shared" si="61"/>
        <v>5.2805555555555559</v>
      </c>
      <c r="AG128" s="1">
        <f t="shared" si="59"/>
        <v>5.4944444444444445</v>
      </c>
      <c r="AH128" s="1">
        <f t="shared" si="59"/>
        <v>5.7833333333333332</v>
      </c>
      <c r="AI128" s="1">
        <f t="shared" si="59"/>
        <v>5.7833333333333332</v>
      </c>
      <c r="AJ128" s="1">
        <f t="shared" si="59"/>
        <v>6</v>
      </c>
      <c r="AK128" s="1">
        <f t="shared" si="59"/>
        <v>6</v>
      </c>
      <c r="AL128" s="1">
        <f t="shared" si="59"/>
        <v>6.5083333333333337</v>
      </c>
      <c r="AM128" s="1">
        <f t="shared" si="59"/>
        <v>7.0138888888888893</v>
      </c>
      <c r="AN128" s="1">
        <f t="shared" si="59"/>
        <v>7.0138888888888893</v>
      </c>
      <c r="AO128" s="1">
        <f t="shared" si="59"/>
        <v>7.5222222222222221</v>
      </c>
      <c r="AP128" s="1">
        <f t="shared" si="59"/>
        <v>8.0277777777777786</v>
      </c>
      <c r="AQ128" s="1">
        <f t="shared" si="59"/>
        <v>8.0277777777777786</v>
      </c>
      <c r="AR128" s="1">
        <f t="shared" si="59"/>
        <v>8.5361111111111114</v>
      </c>
      <c r="AS128" s="1">
        <f t="shared" si="59"/>
        <v>9.0444444444444443</v>
      </c>
      <c r="AT128" s="1">
        <f t="shared" si="59"/>
        <v>9.5527777777777771</v>
      </c>
      <c r="AU128" s="1">
        <f t="shared" si="59"/>
        <v>10.058333333333334</v>
      </c>
      <c r="AV128" s="1">
        <f t="shared" si="59"/>
        <v>10.058333333333334</v>
      </c>
      <c r="AW128" s="1">
        <f t="shared" si="62"/>
        <v>14.625</v>
      </c>
      <c r="AX128" s="1">
        <f t="shared" si="60"/>
        <v>15.130555555555556</v>
      </c>
      <c r="AY128" s="1">
        <f t="shared" si="60"/>
        <v>15.638888888888889</v>
      </c>
      <c r="AZ128" s="1">
        <f t="shared" si="60"/>
        <v>16.144444444444446</v>
      </c>
      <c r="BA128" s="1">
        <f t="shared" si="60"/>
        <v>16.652777777777779</v>
      </c>
      <c r="BB128" s="1">
        <f t="shared" si="60"/>
        <v>17.161111111111111</v>
      </c>
      <c r="BC128" s="1">
        <f t="shared" si="60"/>
        <v>17.669444444444444</v>
      </c>
      <c r="BD128" s="1">
        <f t="shared" si="60"/>
        <v>18.175000000000001</v>
      </c>
      <c r="BE128" s="1">
        <f t="shared" si="60"/>
        <v>18.175000000000001</v>
      </c>
      <c r="BF128" s="1">
        <f t="shared" si="60"/>
        <v>26.8</v>
      </c>
      <c r="BG128" s="1">
        <f t="shared" si="60"/>
        <v>27.305555555555557</v>
      </c>
      <c r="BH128" s="1">
        <f t="shared" si="60"/>
        <v>27.81388888888889</v>
      </c>
      <c r="BI128" s="1">
        <f t="shared" si="60"/>
        <v>28.319444444444443</v>
      </c>
      <c r="BJ128" s="1">
        <f t="shared" si="60"/>
        <v>28.827777777777779</v>
      </c>
      <c r="BK128" s="1">
        <f t="shared" si="60"/>
        <v>29.336111111111112</v>
      </c>
      <c r="BL128" s="1">
        <f t="shared" si="60"/>
        <v>29.844444444444445</v>
      </c>
      <c r="BM128" s="1">
        <f t="shared" si="60"/>
        <v>30.35</v>
      </c>
      <c r="BN128" s="1">
        <f t="shared" si="63"/>
        <v>30.858333333333334</v>
      </c>
      <c r="BO128" s="1">
        <f t="shared" si="63"/>
        <v>30.858333333333334</v>
      </c>
      <c r="BP128" s="1">
        <f t="shared" si="63"/>
        <v>31.363888888888887</v>
      </c>
      <c r="BQ128" s="1">
        <f t="shared" si="63"/>
        <v>31.872222222222224</v>
      </c>
      <c r="BR128" s="1">
        <f t="shared" si="63"/>
        <v>32.37777777777778</v>
      </c>
      <c r="BS128" s="1">
        <f t="shared" si="63"/>
        <v>32.886111111111113</v>
      </c>
      <c r="BT128" s="1">
        <f t="shared" si="63"/>
        <v>33.394444444444446</v>
      </c>
      <c r="BU128" s="1">
        <f t="shared" si="63"/>
        <v>33.902777777777779</v>
      </c>
      <c r="BV128" s="1">
        <f t="shared" si="63"/>
        <v>33.902777777777779</v>
      </c>
      <c r="BW128" s="1">
        <f t="shared" si="63"/>
        <v>34.408333333333331</v>
      </c>
      <c r="BX128" s="1">
        <f t="shared" si="63"/>
        <v>34.916666666666664</v>
      </c>
      <c r="BY128" s="1">
        <f t="shared" si="63"/>
        <v>35.422222222222224</v>
      </c>
      <c r="BZ128" s="1">
        <f t="shared" si="63"/>
        <v>35.930555555555557</v>
      </c>
      <c r="CA128" s="1">
        <f t="shared" si="63"/>
        <v>36.43611111111111</v>
      </c>
      <c r="CB128" s="1">
        <f t="shared" si="63"/>
        <v>36.944444444444443</v>
      </c>
      <c r="CC128" s="1">
        <f t="shared" si="63"/>
        <v>37.452777777777776</v>
      </c>
      <c r="CD128" s="1">
        <f t="shared" si="67"/>
        <v>37.961111111111109</v>
      </c>
      <c r="CE128" s="1">
        <f t="shared" si="65"/>
        <v>38.466666666666669</v>
      </c>
      <c r="CF128" s="1">
        <f t="shared" si="65"/>
        <v>38.975000000000001</v>
      </c>
      <c r="CG128" s="1">
        <f t="shared" si="65"/>
        <v>39.480555555555554</v>
      </c>
      <c r="CH128" s="1">
        <f t="shared" si="65"/>
        <v>39.988888888888887</v>
      </c>
      <c r="CI128" s="1">
        <f t="shared" si="65"/>
        <v>40.494444444444447</v>
      </c>
      <c r="CJ128" s="1">
        <f t="shared" si="65"/>
        <v>41.00277777777778</v>
      </c>
      <c r="CK128" s="1">
        <f t="shared" si="65"/>
        <v>41.511111111111113</v>
      </c>
      <c r="CL128" s="1">
        <f t="shared" si="65"/>
        <v>42.019444444444446</v>
      </c>
      <c r="CM128" s="1">
        <f t="shared" si="65"/>
        <v>42.524999999999999</v>
      </c>
      <c r="CN128" s="1">
        <f t="shared" si="65"/>
        <v>43.033333333333331</v>
      </c>
      <c r="CO128" s="1">
        <f t="shared" si="65"/>
        <v>43.538888888888891</v>
      </c>
      <c r="CP128" s="1">
        <f t="shared" si="65"/>
        <v>44.047222222222224</v>
      </c>
      <c r="CQ128" s="1">
        <f t="shared" si="65"/>
        <v>44.552777777777777</v>
      </c>
      <c r="CR128" s="1">
        <f t="shared" si="65"/>
        <v>45.06111111111111</v>
      </c>
      <c r="CS128" s="1">
        <f t="shared" si="65"/>
        <v>45.569444444444443</v>
      </c>
      <c r="CT128" s="1">
        <f t="shared" si="65"/>
        <v>46.077777777777776</v>
      </c>
      <c r="CU128" s="1">
        <f t="shared" si="66"/>
        <v>46.583333333333336</v>
      </c>
      <c r="CV128" s="1">
        <f t="shared" si="66"/>
        <v>47.091666666666669</v>
      </c>
      <c r="CW128" s="1">
        <f t="shared" si="66"/>
        <v>47.597222222222221</v>
      </c>
      <c r="CX128" s="1">
        <f t="shared" si="66"/>
        <v>48.105555555555554</v>
      </c>
      <c r="CY128" s="1">
        <f t="shared" si="66"/>
        <v>48.611111111111114</v>
      </c>
      <c r="CZ128" s="1">
        <f t="shared" si="66"/>
        <v>49.119444444444447</v>
      </c>
      <c r="DA128" s="1">
        <f t="shared" si="66"/>
        <v>49.62777777777778</v>
      </c>
      <c r="DB128" s="1">
        <f t="shared" si="66"/>
        <v>50.136111111111113</v>
      </c>
      <c r="DC128" s="1">
        <f t="shared" si="66"/>
        <v>50.136111111111113</v>
      </c>
    </row>
    <row r="129" spans="1:107" x14ac:dyDescent="0.25">
      <c r="A129">
        <f t="shared" si="38"/>
        <v>2</v>
      </c>
      <c r="B129" s="2">
        <f>yields_BRUTE!B129</f>
        <v>42191</v>
      </c>
      <c r="C129" s="1">
        <f t="shared" si="64"/>
        <v>-0.3527777777777778</v>
      </c>
      <c r="D129" s="1">
        <f t="shared" si="64"/>
        <v>-0.31388888888888888</v>
      </c>
      <c r="E129" s="1">
        <f t="shared" si="64"/>
        <v>-9.7222222222222224E-2</v>
      </c>
      <c r="F129" s="1">
        <f t="shared" si="64"/>
        <v>0.15833333333333333</v>
      </c>
      <c r="G129" s="1">
        <f t="shared" si="64"/>
        <v>0.19722222222222222</v>
      </c>
      <c r="H129" s="1">
        <f t="shared" si="64"/>
        <v>0.41111111111111109</v>
      </c>
      <c r="I129" s="1">
        <f t="shared" si="64"/>
        <v>0.41111111111111109</v>
      </c>
      <c r="J129" s="1">
        <f t="shared" si="64"/>
        <v>0.66388888888888886</v>
      </c>
      <c r="K129" s="1">
        <f t="shared" si="64"/>
        <v>0.70277777777777772</v>
      </c>
      <c r="L129" s="1">
        <f t="shared" si="64"/>
        <v>0.9194444444444444</v>
      </c>
      <c r="M129" s="1">
        <f t="shared" si="64"/>
        <v>1.175</v>
      </c>
      <c r="N129" s="1">
        <f t="shared" si="64"/>
        <v>1.175</v>
      </c>
      <c r="O129" s="1">
        <f t="shared" si="64"/>
        <v>1.2138888888888888</v>
      </c>
      <c r="P129" s="1">
        <f t="shared" si="64"/>
        <v>1.4277777777777778</v>
      </c>
      <c r="Q129" s="1">
        <f t="shared" si="64"/>
        <v>1.7166666666666666</v>
      </c>
      <c r="R129" s="1">
        <f t="shared" si="64"/>
        <v>1.9333333333333333</v>
      </c>
      <c r="S129" s="1">
        <f t="shared" si="61"/>
        <v>2.2277777777777779</v>
      </c>
      <c r="T129" s="1">
        <f t="shared" si="61"/>
        <v>2.4416666666666669</v>
      </c>
      <c r="U129" s="1">
        <f t="shared" si="61"/>
        <v>2.7305555555555556</v>
      </c>
      <c r="V129" s="1">
        <f t="shared" si="61"/>
        <v>2.9472222222222224</v>
      </c>
      <c r="W129" s="1">
        <f t="shared" si="61"/>
        <v>3.2416666666666667</v>
      </c>
      <c r="X129" s="1">
        <f t="shared" si="61"/>
        <v>3.4555555555555557</v>
      </c>
      <c r="Y129" s="1">
        <f t="shared" si="61"/>
        <v>3.7444444444444445</v>
      </c>
      <c r="Z129" s="1">
        <f t="shared" si="61"/>
        <v>3.9611111111111112</v>
      </c>
      <c r="AA129" s="1">
        <f t="shared" si="61"/>
        <v>4.2555555555555555</v>
      </c>
      <c r="AB129" s="1">
        <f t="shared" si="61"/>
        <v>4.4694444444444441</v>
      </c>
      <c r="AC129" s="1">
        <f t="shared" si="61"/>
        <v>4.7611111111111111</v>
      </c>
      <c r="AD129" s="1">
        <f t="shared" si="61"/>
        <v>4.9777777777777779</v>
      </c>
      <c r="AE129" s="1">
        <f t="shared" si="61"/>
        <v>4.9777777777777779</v>
      </c>
      <c r="AF129" s="3">
        <f t="shared" si="61"/>
        <v>5.2722222222222221</v>
      </c>
      <c r="AG129" s="1">
        <f t="shared" si="61"/>
        <v>5.4861111111111107</v>
      </c>
      <c r="AH129" s="1">
        <f t="shared" si="61"/>
        <v>5.7750000000000004</v>
      </c>
      <c r="AI129" s="1">
        <f t="shared" ref="AI129:AX144" si="68">(AI$1-$B129)/360</f>
        <v>5.7750000000000004</v>
      </c>
      <c r="AJ129" s="1">
        <f t="shared" si="68"/>
        <v>5.9916666666666663</v>
      </c>
      <c r="AK129" s="1">
        <f t="shared" si="68"/>
        <v>5.9916666666666663</v>
      </c>
      <c r="AL129" s="1">
        <f t="shared" si="68"/>
        <v>6.5</v>
      </c>
      <c r="AM129" s="1">
        <f t="shared" si="68"/>
        <v>7.0055555555555555</v>
      </c>
      <c r="AN129" s="1">
        <f t="shared" si="68"/>
        <v>7.0055555555555555</v>
      </c>
      <c r="AO129" s="1">
        <f t="shared" si="68"/>
        <v>7.5138888888888893</v>
      </c>
      <c r="AP129" s="1">
        <f t="shared" si="68"/>
        <v>8.0194444444444439</v>
      </c>
      <c r="AQ129" s="1">
        <f t="shared" si="68"/>
        <v>8.0194444444444439</v>
      </c>
      <c r="AR129" s="1">
        <f t="shared" si="68"/>
        <v>8.5277777777777786</v>
      </c>
      <c r="AS129" s="1">
        <f t="shared" si="68"/>
        <v>9.0361111111111114</v>
      </c>
      <c r="AT129" s="1">
        <f t="shared" si="68"/>
        <v>9.5444444444444443</v>
      </c>
      <c r="AU129" s="1">
        <f t="shared" si="68"/>
        <v>10.050000000000001</v>
      </c>
      <c r="AV129" s="1">
        <f t="shared" si="68"/>
        <v>10.050000000000001</v>
      </c>
      <c r="AW129" s="1">
        <f t="shared" si="62"/>
        <v>14.616666666666667</v>
      </c>
      <c r="AX129" s="1">
        <f t="shared" si="62"/>
        <v>15.122222222222222</v>
      </c>
      <c r="AY129" s="1">
        <f t="shared" si="62"/>
        <v>15.630555555555556</v>
      </c>
      <c r="AZ129" s="1">
        <f t="shared" si="62"/>
        <v>16.136111111111113</v>
      </c>
      <c r="BA129" s="1">
        <f t="shared" si="62"/>
        <v>16.644444444444446</v>
      </c>
      <c r="BB129" s="1">
        <f t="shared" si="62"/>
        <v>17.152777777777779</v>
      </c>
      <c r="BC129" s="1">
        <f t="shared" si="62"/>
        <v>17.661111111111111</v>
      </c>
      <c r="BD129" s="1">
        <f t="shared" si="62"/>
        <v>18.166666666666668</v>
      </c>
      <c r="BE129" s="1">
        <f t="shared" si="62"/>
        <v>18.166666666666668</v>
      </c>
      <c r="BF129" s="1">
        <f t="shared" si="62"/>
        <v>26.791666666666668</v>
      </c>
      <c r="BG129" s="1">
        <f t="shared" si="62"/>
        <v>27.297222222222221</v>
      </c>
      <c r="BH129" s="1">
        <f t="shared" si="62"/>
        <v>27.805555555555557</v>
      </c>
      <c r="BI129" s="1">
        <f t="shared" si="62"/>
        <v>28.31111111111111</v>
      </c>
      <c r="BJ129" s="1">
        <f t="shared" si="62"/>
        <v>28.819444444444443</v>
      </c>
      <c r="BK129" s="1">
        <f t="shared" si="62"/>
        <v>29.327777777777779</v>
      </c>
      <c r="BL129" s="1">
        <f t="shared" si="62"/>
        <v>29.836111111111112</v>
      </c>
      <c r="BM129" s="1">
        <f t="shared" ref="BM129:CB144" si="69">(BM$1-$B129)/360</f>
        <v>30.341666666666665</v>
      </c>
      <c r="BN129" s="1">
        <f t="shared" si="63"/>
        <v>30.85</v>
      </c>
      <c r="BO129" s="1">
        <f t="shared" si="63"/>
        <v>30.85</v>
      </c>
      <c r="BP129" s="1">
        <f t="shared" si="63"/>
        <v>31.355555555555554</v>
      </c>
      <c r="BQ129" s="1">
        <f t="shared" si="63"/>
        <v>31.863888888888887</v>
      </c>
      <c r="BR129" s="1">
        <f t="shared" si="63"/>
        <v>32.369444444444447</v>
      </c>
      <c r="BS129" s="1">
        <f t="shared" si="63"/>
        <v>32.87777777777778</v>
      </c>
      <c r="BT129" s="1">
        <f t="shared" si="63"/>
        <v>33.386111111111113</v>
      </c>
      <c r="BU129" s="1">
        <f t="shared" si="63"/>
        <v>33.894444444444446</v>
      </c>
      <c r="BV129" s="1">
        <f t="shared" si="63"/>
        <v>33.894444444444446</v>
      </c>
      <c r="BW129" s="1">
        <f t="shared" si="63"/>
        <v>34.4</v>
      </c>
      <c r="BX129" s="1">
        <f t="shared" si="63"/>
        <v>34.908333333333331</v>
      </c>
      <c r="BY129" s="1">
        <f t="shared" si="63"/>
        <v>35.413888888888891</v>
      </c>
      <c r="BZ129" s="1">
        <f t="shared" si="63"/>
        <v>35.922222222222224</v>
      </c>
      <c r="CA129" s="1">
        <f t="shared" si="63"/>
        <v>36.427777777777777</v>
      </c>
      <c r="CB129" s="1">
        <f t="shared" si="63"/>
        <v>36.93611111111111</v>
      </c>
      <c r="CC129" s="1">
        <f t="shared" si="63"/>
        <v>37.444444444444443</v>
      </c>
      <c r="CD129" s="1">
        <f t="shared" si="67"/>
        <v>37.952777777777776</v>
      </c>
      <c r="CE129" s="1">
        <f t="shared" si="65"/>
        <v>38.458333333333336</v>
      </c>
      <c r="CF129" s="1">
        <f t="shared" si="65"/>
        <v>38.966666666666669</v>
      </c>
      <c r="CG129" s="1">
        <f t="shared" si="65"/>
        <v>39.472222222222221</v>
      </c>
      <c r="CH129" s="1">
        <f t="shared" si="65"/>
        <v>39.980555555555554</v>
      </c>
      <c r="CI129" s="1">
        <f t="shared" si="65"/>
        <v>40.486111111111114</v>
      </c>
      <c r="CJ129" s="1">
        <f t="shared" si="65"/>
        <v>40.994444444444447</v>
      </c>
      <c r="CK129" s="1">
        <f t="shared" si="65"/>
        <v>41.50277777777778</v>
      </c>
      <c r="CL129" s="1">
        <f t="shared" si="65"/>
        <v>42.011111111111113</v>
      </c>
      <c r="CM129" s="1">
        <f t="shared" si="65"/>
        <v>42.516666666666666</v>
      </c>
      <c r="CN129" s="1">
        <f t="shared" si="65"/>
        <v>43.024999999999999</v>
      </c>
      <c r="CO129" s="1">
        <f t="shared" si="65"/>
        <v>43.530555555555559</v>
      </c>
      <c r="CP129" s="1">
        <f t="shared" si="65"/>
        <v>44.038888888888891</v>
      </c>
      <c r="CQ129" s="1">
        <f t="shared" si="65"/>
        <v>44.544444444444444</v>
      </c>
      <c r="CR129" s="1">
        <f t="shared" si="65"/>
        <v>45.052777777777777</v>
      </c>
      <c r="CS129" s="1">
        <f t="shared" si="65"/>
        <v>45.56111111111111</v>
      </c>
      <c r="CT129" s="1">
        <f t="shared" si="65"/>
        <v>46.069444444444443</v>
      </c>
      <c r="CU129" s="1">
        <f t="shared" si="66"/>
        <v>46.575000000000003</v>
      </c>
      <c r="CV129" s="1">
        <f t="shared" si="66"/>
        <v>47.083333333333336</v>
      </c>
      <c r="CW129" s="1">
        <f t="shared" si="66"/>
        <v>47.588888888888889</v>
      </c>
      <c r="CX129" s="1">
        <f t="shared" si="66"/>
        <v>48.097222222222221</v>
      </c>
      <c r="CY129" s="1">
        <f t="shared" si="66"/>
        <v>48.602777777777774</v>
      </c>
      <c r="CZ129" s="1">
        <f t="shared" si="66"/>
        <v>49.111111111111114</v>
      </c>
      <c r="DA129" s="1">
        <f t="shared" si="66"/>
        <v>49.619444444444447</v>
      </c>
      <c r="DB129" s="1">
        <f t="shared" si="66"/>
        <v>50.12777777777778</v>
      </c>
      <c r="DC129" s="1">
        <f t="shared" si="66"/>
        <v>50.12777777777778</v>
      </c>
    </row>
    <row r="130" spans="1:107" x14ac:dyDescent="0.25">
      <c r="A130">
        <f t="shared" si="38"/>
        <v>3</v>
      </c>
      <c r="B130" s="2">
        <f>yields_BRUTE!B130</f>
        <v>42192</v>
      </c>
      <c r="C130" s="1">
        <f t="shared" si="64"/>
        <v>-0.35555555555555557</v>
      </c>
      <c r="D130" s="1">
        <f t="shared" si="64"/>
        <v>-0.31666666666666665</v>
      </c>
      <c r="E130" s="1">
        <f t="shared" si="64"/>
        <v>-0.1</v>
      </c>
      <c r="F130" s="1">
        <f t="shared" si="64"/>
        <v>0.15555555555555556</v>
      </c>
      <c r="G130" s="1">
        <f t="shared" si="64"/>
        <v>0.19444444444444445</v>
      </c>
      <c r="H130" s="1">
        <f t="shared" si="64"/>
        <v>0.40833333333333333</v>
      </c>
      <c r="I130" s="1">
        <f t="shared" si="64"/>
        <v>0.40833333333333333</v>
      </c>
      <c r="J130" s="1">
        <f t="shared" si="64"/>
        <v>0.66111111111111109</v>
      </c>
      <c r="K130" s="1">
        <f t="shared" si="64"/>
        <v>0.7</v>
      </c>
      <c r="L130" s="1">
        <f t="shared" si="64"/>
        <v>0.91666666666666663</v>
      </c>
      <c r="M130" s="1">
        <f t="shared" si="64"/>
        <v>1.1722222222222223</v>
      </c>
      <c r="N130" s="1">
        <f t="shared" si="64"/>
        <v>1.1722222222222223</v>
      </c>
      <c r="O130" s="1">
        <f t="shared" si="64"/>
        <v>1.211111111111111</v>
      </c>
      <c r="P130" s="1">
        <f t="shared" si="64"/>
        <v>1.425</v>
      </c>
      <c r="Q130" s="1">
        <f t="shared" si="64"/>
        <v>1.7138888888888888</v>
      </c>
      <c r="R130" s="1">
        <f t="shared" ref="R130:AG145" si="70">(R$1-$B130)/360</f>
        <v>1.9305555555555556</v>
      </c>
      <c r="S130" s="1">
        <f t="shared" si="70"/>
        <v>2.2250000000000001</v>
      </c>
      <c r="T130" s="1">
        <f t="shared" si="70"/>
        <v>2.4388888888888891</v>
      </c>
      <c r="U130" s="1">
        <f t="shared" si="70"/>
        <v>2.7277777777777779</v>
      </c>
      <c r="V130" s="1">
        <f t="shared" si="70"/>
        <v>2.9444444444444446</v>
      </c>
      <c r="W130" s="1">
        <f t="shared" si="70"/>
        <v>3.2388888888888889</v>
      </c>
      <c r="X130" s="1">
        <f t="shared" si="70"/>
        <v>3.4527777777777779</v>
      </c>
      <c r="Y130" s="1">
        <f t="shared" si="70"/>
        <v>3.7416666666666667</v>
      </c>
      <c r="Z130" s="1">
        <f t="shared" si="70"/>
        <v>3.9583333333333335</v>
      </c>
      <c r="AA130" s="1">
        <f t="shared" si="70"/>
        <v>4.2527777777777782</v>
      </c>
      <c r="AB130" s="1">
        <f t="shared" si="70"/>
        <v>4.4666666666666668</v>
      </c>
      <c r="AC130" s="1">
        <f t="shared" si="70"/>
        <v>4.7583333333333337</v>
      </c>
      <c r="AD130" s="1">
        <f t="shared" si="70"/>
        <v>4.9749999999999996</v>
      </c>
      <c r="AE130" s="1">
        <f t="shared" si="70"/>
        <v>4.9749999999999996</v>
      </c>
      <c r="AF130" s="3">
        <f t="shared" si="70"/>
        <v>5.2694444444444448</v>
      </c>
      <c r="AG130" s="1">
        <f t="shared" si="70"/>
        <v>5.4833333333333334</v>
      </c>
      <c r="AH130" s="1">
        <f t="shared" ref="AH130:AW145" si="71">(AH$1-$B130)/360</f>
        <v>5.7722222222222221</v>
      </c>
      <c r="AI130" s="1">
        <f t="shared" si="68"/>
        <v>5.7722222222222221</v>
      </c>
      <c r="AJ130" s="1">
        <f t="shared" si="68"/>
        <v>5.9888888888888889</v>
      </c>
      <c r="AK130" s="1">
        <f t="shared" si="68"/>
        <v>5.9888888888888889</v>
      </c>
      <c r="AL130" s="1">
        <f t="shared" si="68"/>
        <v>6.4972222222222218</v>
      </c>
      <c r="AM130" s="1">
        <f t="shared" si="68"/>
        <v>7.0027777777777782</v>
      </c>
      <c r="AN130" s="1">
        <f t="shared" si="68"/>
        <v>7.0027777777777782</v>
      </c>
      <c r="AO130" s="1">
        <f t="shared" si="68"/>
        <v>7.5111111111111111</v>
      </c>
      <c r="AP130" s="1">
        <f t="shared" si="68"/>
        <v>8.0166666666666675</v>
      </c>
      <c r="AQ130" s="1">
        <f t="shared" si="68"/>
        <v>8.0166666666666675</v>
      </c>
      <c r="AR130" s="1">
        <f t="shared" si="68"/>
        <v>8.5250000000000004</v>
      </c>
      <c r="AS130" s="1">
        <f t="shared" si="68"/>
        <v>9.0333333333333332</v>
      </c>
      <c r="AT130" s="1">
        <f t="shared" si="68"/>
        <v>9.5416666666666661</v>
      </c>
      <c r="AU130" s="1">
        <f t="shared" si="68"/>
        <v>10.047222222222222</v>
      </c>
      <c r="AV130" s="1">
        <f t="shared" si="68"/>
        <v>10.047222222222222</v>
      </c>
      <c r="AW130" s="1">
        <f t="shared" si="68"/>
        <v>14.613888888888889</v>
      </c>
      <c r="AX130" s="1">
        <f t="shared" si="68"/>
        <v>15.119444444444444</v>
      </c>
      <c r="AY130" s="1">
        <f t="shared" ref="AY130:BN145" si="72">(AY$1-$B130)/360</f>
        <v>15.627777777777778</v>
      </c>
      <c r="AZ130" s="1">
        <f t="shared" si="72"/>
        <v>16.133333333333333</v>
      </c>
      <c r="BA130" s="1">
        <f t="shared" si="72"/>
        <v>16.641666666666666</v>
      </c>
      <c r="BB130" s="1">
        <f t="shared" si="72"/>
        <v>17.149999999999999</v>
      </c>
      <c r="BC130" s="1">
        <f t="shared" si="72"/>
        <v>17.658333333333335</v>
      </c>
      <c r="BD130" s="1">
        <f t="shared" si="72"/>
        <v>18.163888888888888</v>
      </c>
      <c r="BE130" s="1">
        <f t="shared" si="72"/>
        <v>18.163888888888888</v>
      </c>
      <c r="BF130" s="1">
        <f t="shared" si="72"/>
        <v>26.788888888888888</v>
      </c>
      <c r="BG130" s="1">
        <f t="shared" si="72"/>
        <v>27.294444444444444</v>
      </c>
      <c r="BH130" s="1">
        <f t="shared" si="72"/>
        <v>27.802777777777777</v>
      </c>
      <c r="BI130" s="1">
        <f t="shared" si="72"/>
        <v>28.308333333333334</v>
      </c>
      <c r="BJ130" s="1">
        <f t="shared" si="72"/>
        <v>28.816666666666666</v>
      </c>
      <c r="BK130" s="1">
        <f t="shared" si="72"/>
        <v>29.324999999999999</v>
      </c>
      <c r="BL130" s="1">
        <f t="shared" si="72"/>
        <v>29.833333333333332</v>
      </c>
      <c r="BM130" s="1">
        <f t="shared" si="69"/>
        <v>30.338888888888889</v>
      </c>
      <c r="BN130" s="1">
        <f t="shared" si="69"/>
        <v>30.847222222222221</v>
      </c>
      <c r="BO130" s="1">
        <f t="shared" si="69"/>
        <v>30.847222222222221</v>
      </c>
      <c r="BP130" s="1">
        <f t="shared" si="69"/>
        <v>31.352777777777778</v>
      </c>
      <c r="BQ130" s="1">
        <f t="shared" si="69"/>
        <v>31.861111111111111</v>
      </c>
      <c r="BR130" s="1">
        <f t="shared" si="69"/>
        <v>32.366666666666667</v>
      </c>
      <c r="BS130" s="1">
        <f t="shared" si="69"/>
        <v>32.875</v>
      </c>
      <c r="BT130" s="1">
        <f t="shared" si="69"/>
        <v>33.383333333333333</v>
      </c>
      <c r="BU130" s="1">
        <f t="shared" si="69"/>
        <v>33.891666666666666</v>
      </c>
      <c r="BV130" s="1">
        <f t="shared" si="69"/>
        <v>33.891666666666666</v>
      </c>
      <c r="BW130" s="1">
        <f t="shared" si="69"/>
        <v>34.397222222222226</v>
      </c>
      <c r="BX130" s="1">
        <f t="shared" si="69"/>
        <v>34.905555555555559</v>
      </c>
      <c r="BY130" s="1">
        <f t="shared" si="69"/>
        <v>35.411111111111111</v>
      </c>
      <c r="BZ130" s="1">
        <f t="shared" si="69"/>
        <v>35.919444444444444</v>
      </c>
      <c r="CA130" s="1">
        <f t="shared" si="69"/>
        <v>36.424999999999997</v>
      </c>
      <c r="CB130" s="1">
        <f t="shared" si="69"/>
        <v>36.93333333333333</v>
      </c>
      <c r="CC130" s="1">
        <f t="shared" ref="CC130:CR145" si="73">(CC$1-$B130)/360</f>
        <v>37.44166666666667</v>
      </c>
      <c r="CD130" s="1">
        <f t="shared" si="67"/>
        <v>37.950000000000003</v>
      </c>
      <c r="CE130" s="1">
        <f t="shared" si="65"/>
        <v>38.455555555555556</v>
      </c>
      <c r="CF130" s="1">
        <f t="shared" si="65"/>
        <v>38.963888888888889</v>
      </c>
      <c r="CG130" s="1">
        <f t="shared" si="65"/>
        <v>39.469444444444441</v>
      </c>
      <c r="CH130" s="1">
        <f t="shared" si="65"/>
        <v>39.977777777777774</v>
      </c>
      <c r="CI130" s="1">
        <f t="shared" si="65"/>
        <v>40.483333333333334</v>
      </c>
      <c r="CJ130" s="1">
        <f t="shared" si="65"/>
        <v>40.991666666666667</v>
      </c>
      <c r="CK130" s="1">
        <f t="shared" si="65"/>
        <v>41.5</v>
      </c>
      <c r="CL130" s="1">
        <f t="shared" si="65"/>
        <v>42.008333333333333</v>
      </c>
      <c r="CM130" s="1">
        <f t="shared" si="65"/>
        <v>42.513888888888886</v>
      </c>
      <c r="CN130" s="1">
        <f t="shared" si="65"/>
        <v>43.022222222222226</v>
      </c>
      <c r="CO130" s="1">
        <f t="shared" si="65"/>
        <v>43.527777777777779</v>
      </c>
      <c r="CP130" s="1">
        <f t="shared" si="65"/>
        <v>44.036111111111111</v>
      </c>
      <c r="CQ130" s="1">
        <f t="shared" si="65"/>
        <v>44.541666666666664</v>
      </c>
      <c r="CR130" s="1">
        <f t="shared" si="65"/>
        <v>45.05</v>
      </c>
      <c r="CS130" s="1">
        <f t="shared" si="65"/>
        <v>45.55833333333333</v>
      </c>
      <c r="CT130" s="1">
        <f t="shared" si="65"/>
        <v>46.06666666666667</v>
      </c>
      <c r="CU130" s="1">
        <f t="shared" si="66"/>
        <v>46.572222222222223</v>
      </c>
      <c r="CV130" s="1">
        <f t="shared" si="66"/>
        <v>47.080555555555556</v>
      </c>
      <c r="CW130" s="1">
        <f t="shared" si="66"/>
        <v>47.586111111111109</v>
      </c>
      <c r="CX130" s="1">
        <f t="shared" si="66"/>
        <v>48.094444444444441</v>
      </c>
      <c r="CY130" s="1">
        <f t="shared" si="66"/>
        <v>48.6</v>
      </c>
      <c r="CZ130" s="1">
        <f t="shared" si="66"/>
        <v>49.108333333333334</v>
      </c>
      <c r="DA130" s="1">
        <f t="shared" si="66"/>
        <v>49.616666666666667</v>
      </c>
      <c r="DB130" s="1">
        <f t="shared" si="66"/>
        <v>50.125</v>
      </c>
      <c r="DC130" s="1">
        <f t="shared" si="66"/>
        <v>50.125</v>
      </c>
    </row>
    <row r="131" spans="1:107" x14ac:dyDescent="0.25">
      <c r="A131">
        <f t="shared" ref="A131:A194" si="74">WEEKDAY(B131)</f>
        <v>4</v>
      </c>
      <c r="B131" s="2">
        <f>yields_BRUTE!B131</f>
        <v>42193</v>
      </c>
      <c r="C131" s="1">
        <f t="shared" ref="C131:R146" si="75">(C$1-$B131)/360</f>
        <v>-0.35833333333333334</v>
      </c>
      <c r="D131" s="1">
        <f t="shared" si="75"/>
        <v>-0.31944444444444442</v>
      </c>
      <c r="E131" s="1">
        <f t="shared" si="75"/>
        <v>-0.10277777777777777</v>
      </c>
      <c r="F131" s="1">
        <f t="shared" si="75"/>
        <v>0.15277777777777779</v>
      </c>
      <c r="G131" s="1">
        <f t="shared" si="75"/>
        <v>0.19166666666666668</v>
      </c>
      <c r="H131" s="1">
        <f t="shared" si="75"/>
        <v>0.40555555555555556</v>
      </c>
      <c r="I131" s="1">
        <f t="shared" si="75"/>
        <v>0.40555555555555556</v>
      </c>
      <c r="J131" s="1">
        <f t="shared" si="75"/>
        <v>0.65833333333333333</v>
      </c>
      <c r="K131" s="1">
        <f t="shared" si="75"/>
        <v>0.69722222222222219</v>
      </c>
      <c r="L131" s="1">
        <f t="shared" si="75"/>
        <v>0.91388888888888886</v>
      </c>
      <c r="M131" s="1">
        <f t="shared" si="75"/>
        <v>1.1694444444444445</v>
      </c>
      <c r="N131" s="1">
        <f t="shared" si="75"/>
        <v>1.1694444444444445</v>
      </c>
      <c r="O131" s="1">
        <f t="shared" si="75"/>
        <v>1.2083333333333333</v>
      </c>
      <c r="P131" s="1">
        <f t="shared" si="75"/>
        <v>1.4222222222222223</v>
      </c>
      <c r="Q131" s="1">
        <f t="shared" si="75"/>
        <v>1.711111111111111</v>
      </c>
      <c r="R131" s="1">
        <f t="shared" si="70"/>
        <v>1.9277777777777778</v>
      </c>
      <c r="S131" s="1">
        <f t="shared" si="70"/>
        <v>2.2222222222222223</v>
      </c>
      <c r="T131" s="1">
        <f t="shared" si="70"/>
        <v>2.4361111111111109</v>
      </c>
      <c r="U131" s="1">
        <f t="shared" si="70"/>
        <v>2.7250000000000001</v>
      </c>
      <c r="V131" s="1">
        <f t="shared" si="70"/>
        <v>2.9416666666666669</v>
      </c>
      <c r="W131" s="1">
        <f t="shared" si="70"/>
        <v>3.2361111111111112</v>
      </c>
      <c r="X131" s="1">
        <f t="shared" si="70"/>
        <v>3.45</v>
      </c>
      <c r="Y131" s="1">
        <f t="shared" si="70"/>
        <v>3.7388888888888889</v>
      </c>
      <c r="Z131" s="1">
        <f t="shared" si="70"/>
        <v>3.9555555555555557</v>
      </c>
      <c r="AA131" s="1">
        <f t="shared" si="70"/>
        <v>4.25</v>
      </c>
      <c r="AB131" s="1">
        <f t="shared" si="70"/>
        <v>4.4638888888888886</v>
      </c>
      <c r="AC131" s="1">
        <f t="shared" si="70"/>
        <v>4.7555555555555555</v>
      </c>
      <c r="AD131" s="1">
        <f t="shared" si="70"/>
        <v>4.9722222222222223</v>
      </c>
      <c r="AE131" s="1">
        <f t="shared" si="70"/>
        <v>4.9722222222222223</v>
      </c>
      <c r="AF131" s="3">
        <f t="shared" si="70"/>
        <v>5.2666666666666666</v>
      </c>
      <c r="AG131" s="1">
        <f t="shared" si="70"/>
        <v>5.4805555555555552</v>
      </c>
      <c r="AH131" s="1">
        <f t="shared" si="71"/>
        <v>5.7694444444444448</v>
      </c>
      <c r="AI131" s="1">
        <f t="shared" si="68"/>
        <v>5.7694444444444448</v>
      </c>
      <c r="AJ131" s="1">
        <f t="shared" si="68"/>
        <v>5.9861111111111107</v>
      </c>
      <c r="AK131" s="1">
        <f t="shared" si="68"/>
        <v>5.9861111111111107</v>
      </c>
      <c r="AL131" s="1">
        <f t="shared" si="68"/>
        <v>6.4944444444444445</v>
      </c>
      <c r="AM131" s="1">
        <f t="shared" si="68"/>
        <v>7</v>
      </c>
      <c r="AN131" s="1">
        <f t="shared" si="68"/>
        <v>7</v>
      </c>
      <c r="AO131" s="1">
        <f t="shared" si="68"/>
        <v>7.5083333333333337</v>
      </c>
      <c r="AP131" s="1">
        <f t="shared" si="68"/>
        <v>8.0138888888888893</v>
      </c>
      <c r="AQ131" s="1">
        <f t="shared" si="68"/>
        <v>8.0138888888888893</v>
      </c>
      <c r="AR131" s="1">
        <f t="shared" si="68"/>
        <v>8.5222222222222221</v>
      </c>
      <c r="AS131" s="1">
        <f t="shared" si="68"/>
        <v>9.030555555555555</v>
      </c>
      <c r="AT131" s="1">
        <f t="shared" si="68"/>
        <v>9.5388888888888896</v>
      </c>
      <c r="AU131" s="1">
        <f t="shared" si="68"/>
        <v>10.044444444444444</v>
      </c>
      <c r="AV131" s="1">
        <f t="shared" si="68"/>
        <v>10.044444444444444</v>
      </c>
      <c r="AW131" s="1">
        <f t="shared" si="68"/>
        <v>14.611111111111111</v>
      </c>
      <c r="AX131" s="1">
        <f t="shared" si="68"/>
        <v>15.116666666666667</v>
      </c>
      <c r="AY131" s="1">
        <f t="shared" si="72"/>
        <v>15.625</v>
      </c>
      <c r="AZ131" s="1">
        <f t="shared" si="72"/>
        <v>16.130555555555556</v>
      </c>
      <c r="BA131" s="1">
        <f t="shared" si="72"/>
        <v>16.638888888888889</v>
      </c>
      <c r="BB131" s="1">
        <f t="shared" si="72"/>
        <v>17.147222222222222</v>
      </c>
      <c r="BC131" s="1">
        <f t="shared" si="72"/>
        <v>17.655555555555555</v>
      </c>
      <c r="BD131" s="1">
        <f t="shared" si="72"/>
        <v>18.161111111111111</v>
      </c>
      <c r="BE131" s="1">
        <f t="shared" si="72"/>
        <v>18.161111111111111</v>
      </c>
      <c r="BF131" s="1">
        <f t="shared" si="72"/>
        <v>26.786111111111111</v>
      </c>
      <c r="BG131" s="1">
        <f t="shared" si="72"/>
        <v>27.291666666666668</v>
      </c>
      <c r="BH131" s="1">
        <f t="shared" si="72"/>
        <v>27.8</v>
      </c>
      <c r="BI131" s="1">
        <f t="shared" si="72"/>
        <v>28.305555555555557</v>
      </c>
      <c r="BJ131" s="1">
        <f t="shared" si="72"/>
        <v>28.81388888888889</v>
      </c>
      <c r="BK131" s="1">
        <f t="shared" si="72"/>
        <v>29.322222222222223</v>
      </c>
      <c r="BL131" s="1">
        <f t="shared" si="72"/>
        <v>29.830555555555556</v>
      </c>
      <c r="BM131" s="1">
        <f t="shared" si="69"/>
        <v>30.336111111111112</v>
      </c>
      <c r="BN131" s="1">
        <f t="shared" si="69"/>
        <v>30.844444444444445</v>
      </c>
      <c r="BO131" s="1">
        <f t="shared" si="69"/>
        <v>30.844444444444445</v>
      </c>
      <c r="BP131" s="1">
        <f t="shared" si="69"/>
        <v>31.35</v>
      </c>
      <c r="BQ131" s="1">
        <f t="shared" si="69"/>
        <v>31.858333333333334</v>
      </c>
      <c r="BR131" s="1">
        <f t="shared" si="69"/>
        <v>32.363888888888887</v>
      </c>
      <c r="BS131" s="1">
        <f t="shared" si="69"/>
        <v>32.87222222222222</v>
      </c>
      <c r="BT131" s="1">
        <f t="shared" si="69"/>
        <v>33.380555555555553</v>
      </c>
      <c r="BU131" s="1">
        <f t="shared" si="69"/>
        <v>33.888888888888886</v>
      </c>
      <c r="BV131" s="1">
        <f t="shared" si="69"/>
        <v>33.888888888888886</v>
      </c>
      <c r="BW131" s="1">
        <f t="shared" si="69"/>
        <v>34.394444444444446</v>
      </c>
      <c r="BX131" s="1">
        <f t="shared" si="69"/>
        <v>34.902777777777779</v>
      </c>
      <c r="BY131" s="1">
        <f t="shared" si="69"/>
        <v>35.408333333333331</v>
      </c>
      <c r="BZ131" s="1">
        <f t="shared" si="69"/>
        <v>35.916666666666664</v>
      </c>
      <c r="CA131" s="1">
        <f t="shared" si="69"/>
        <v>36.422222222222224</v>
      </c>
      <c r="CB131" s="1">
        <f t="shared" si="69"/>
        <v>36.930555555555557</v>
      </c>
      <c r="CC131" s="1">
        <f t="shared" si="73"/>
        <v>37.43888888888889</v>
      </c>
      <c r="CD131" s="1">
        <f t="shared" si="67"/>
        <v>37.947222222222223</v>
      </c>
      <c r="CE131" s="1">
        <f t="shared" si="65"/>
        <v>38.452777777777776</v>
      </c>
      <c r="CF131" s="1">
        <f t="shared" si="65"/>
        <v>38.961111111111109</v>
      </c>
      <c r="CG131" s="1">
        <f t="shared" si="65"/>
        <v>39.466666666666669</v>
      </c>
      <c r="CH131" s="1">
        <f t="shared" si="65"/>
        <v>39.975000000000001</v>
      </c>
      <c r="CI131" s="1">
        <f t="shared" si="65"/>
        <v>40.480555555555554</v>
      </c>
      <c r="CJ131" s="1">
        <f t="shared" si="65"/>
        <v>40.988888888888887</v>
      </c>
      <c r="CK131" s="1">
        <f t="shared" si="65"/>
        <v>41.49722222222222</v>
      </c>
      <c r="CL131" s="1">
        <f t="shared" si="65"/>
        <v>42.005555555555553</v>
      </c>
      <c r="CM131" s="1">
        <f t="shared" si="65"/>
        <v>42.511111111111113</v>
      </c>
      <c r="CN131" s="1">
        <f t="shared" si="65"/>
        <v>43.019444444444446</v>
      </c>
      <c r="CO131" s="1">
        <f t="shared" si="65"/>
        <v>43.524999999999999</v>
      </c>
      <c r="CP131" s="1">
        <f t="shared" si="65"/>
        <v>44.033333333333331</v>
      </c>
      <c r="CQ131" s="1">
        <f t="shared" si="65"/>
        <v>44.538888888888891</v>
      </c>
      <c r="CR131" s="1">
        <f t="shared" si="65"/>
        <v>45.047222222222224</v>
      </c>
      <c r="CS131" s="1">
        <f t="shared" si="65"/>
        <v>45.555555555555557</v>
      </c>
      <c r="CT131" s="1">
        <f t="shared" si="65"/>
        <v>46.06388888888889</v>
      </c>
      <c r="CU131" s="1">
        <f t="shared" si="66"/>
        <v>46.569444444444443</v>
      </c>
      <c r="CV131" s="1">
        <f t="shared" si="66"/>
        <v>47.077777777777776</v>
      </c>
      <c r="CW131" s="1">
        <f t="shared" si="66"/>
        <v>47.583333333333336</v>
      </c>
      <c r="CX131" s="1">
        <f t="shared" si="66"/>
        <v>48.091666666666669</v>
      </c>
      <c r="CY131" s="1">
        <f t="shared" si="66"/>
        <v>48.597222222222221</v>
      </c>
      <c r="CZ131" s="1">
        <f t="shared" si="66"/>
        <v>49.105555555555554</v>
      </c>
      <c r="DA131" s="1">
        <f t="shared" si="66"/>
        <v>49.613888888888887</v>
      </c>
      <c r="DB131" s="1">
        <f t="shared" si="66"/>
        <v>50.12222222222222</v>
      </c>
      <c r="DC131" s="1">
        <f t="shared" si="66"/>
        <v>50.12222222222222</v>
      </c>
    </row>
    <row r="132" spans="1:107" x14ac:dyDescent="0.25">
      <c r="A132">
        <f t="shared" si="74"/>
        <v>5</v>
      </c>
      <c r="B132" s="2">
        <f>yields_BRUTE!B132</f>
        <v>42194</v>
      </c>
      <c r="C132" s="1">
        <f t="shared" si="75"/>
        <v>-0.3611111111111111</v>
      </c>
      <c r="D132" s="1">
        <f t="shared" si="75"/>
        <v>-0.32222222222222224</v>
      </c>
      <c r="E132" s="1">
        <f t="shared" si="75"/>
        <v>-0.10555555555555556</v>
      </c>
      <c r="F132" s="1">
        <f t="shared" si="75"/>
        <v>0.15</v>
      </c>
      <c r="G132" s="1">
        <f t="shared" si="75"/>
        <v>0.18888888888888888</v>
      </c>
      <c r="H132" s="1">
        <f t="shared" si="75"/>
        <v>0.40277777777777779</v>
      </c>
      <c r="I132" s="1">
        <f t="shared" si="75"/>
        <v>0.40277777777777779</v>
      </c>
      <c r="J132" s="1">
        <f t="shared" si="75"/>
        <v>0.65555555555555556</v>
      </c>
      <c r="K132" s="1">
        <f t="shared" si="75"/>
        <v>0.69444444444444442</v>
      </c>
      <c r="L132" s="1">
        <f t="shared" si="75"/>
        <v>0.91111111111111109</v>
      </c>
      <c r="M132" s="1">
        <f t="shared" si="75"/>
        <v>1.1666666666666667</v>
      </c>
      <c r="N132" s="1">
        <f t="shared" si="75"/>
        <v>1.1666666666666667</v>
      </c>
      <c r="O132" s="1">
        <f t="shared" si="75"/>
        <v>1.2055555555555555</v>
      </c>
      <c r="P132" s="1">
        <f t="shared" si="75"/>
        <v>1.4194444444444445</v>
      </c>
      <c r="Q132" s="1">
        <f t="shared" si="75"/>
        <v>1.7083333333333333</v>
      </c>
      <c r="R132" s="1">
        <f t="shared" si="70"/>
        <v>1.925</v>
      </c>
      <c r="S132" s="1">
        <f t="shared" si="70"/>
        <v>2.2194444444444446</v>
      </c>
      <c r="T132" s="1">
        <f t="shared" si="70"/>
        <v>2.4333333333333331</v>
      </c>
      <c r="U132" s="1">
        <f t="shared" si="70"/>
        <v>2.7222222222222223</v>
      </c>
      <c r="V132" s="1">
        <f t="shared" si="70"/>
        <v>2.9388888888888891</v>
      </c>
      <c r="W132" s="1">
        <f t="shared" si="70"/>
        <v>3.2333333333333334</v>
      </c>
      <c r="X132" s="1">
        <f t="shared" si="70"/>
        <v>3.4472222222222224</v>
      </c>
      <c r="Y132" s="1">
        <f t="shared" si="70"/>
        <v>3.7361111111111112</v>
      </c>
      <c r="Z132" s="1">
        <f t="shared" si="70"/>
        <v>3.9527777777777779</v>
      </c>
      <c r="AA132" s="1">
        <f t="shared" si="70"/>
        <v>4.2472222222222218</v>
      </c>
      <c r="AB132" s="1">
        <f t="shared" si="70"/>
        <v>4.4611111111111112</v>
      </c>
      <c r="AC132" s="1">
        <f t="shared" si="70"/>
        <v>4.7527777777777782</v>
      </c>
      <c r="AD132" s="1">
        <f t="shared" si="70"/>
        <v>4.9694444444444441</v>
      </c>
      <c r="AE132" s="1">
        <f t="shared" si="70"/>
        <v>4.9694444444444441</v>
      </c>
      <c r="AF132" s="3">
        <f t="shared" si="70"/>
        <v>5.2638888888888893</v>
      </c>
      <c r="AG132" s="1">
        <f t="shared" si="70"/>
        <v>5.4777777777777779</v>
      </c>
      <c r="AH132" s="1">
        <f t="shared" si="71"/>
        <v>5.7666666666666666</v>
      </c>
      <c r="AI132" s="1">
        <f t="shared" si="68"/>
        <v>5.7666666666666666</v>
      </c>
      <c r="AJ132" s="1">
        <f t="shared" si="68"/>
        <v>5.9833333333333334</v>
      </c>
      <c r="AK132" s="1">
        <f t="shared" si="68"/>
        <v>5.9833333333333334</v>
      </c>
      <c r="AL132" s="1">
        <f t="shared" si="68"/>
        <v>6.4916666666666663</v>
      </c>
      <c r="AM132" s="1">
        <f t="shared" si="68"/>
        <v>6.9972222222222218</v>
      </c>
      <c r="AN132" s="1">
        <f t="shared" si="68"/>
        <v>6.9972222222222218</v>
      </c>
      <c r="AO132" s="1">
        <f t="shared" si="68"/>
        <v>7.5055555555555555</v>
      </c>
      <c r="AP132" s="1">
        <f t="shared" si="68"/>
        <v>8.0111111111111111</v>
      </c>
      <c r="AQ132" s="1">
        <f t="shared" si="68"/>
        <v>8.0111111111111111</v>
      </c>
      <c r="AR132" s="1">
        <f t="shared" si="68"/>
        <v>8.5194444444444439</v>
      </c>
      <c r="AS132" s="1">
        <f t="shared" si="68"/>
        <v>9.0277777777777786</v>
      </c>
      <c r="AT132" s="1">
        <f t="shared" si="68"/>
        <v>9.5361111111111114</v>
      </c>
      <c r="AU132" s="1">
        <f t="shared" si="68"/>
        <v>10.041666666666666</v>
      </c>
      <c r="AV132" s="1">
        <f t="shared" si="68"/>
        <v>10.041666666666666</v>
      </c>
      <c r="AW132" s="1">
        <f t="shared" si="68"/>
        <v>14.608333333333333</v>
      </c>
      <c r="AX132" s="1">
        <f t="shared" si="68"/>
        <v>15.113888888888889</v>
      </c>
      <c r="AY132" s="1">
        <f t="shared" si="72"/>
        <v>15.622222222222222</v>
      </c>
      <c r="AZ132" s="1">
        <f t="shared" si="72"/>
        <v>16.127777777777776</v>
      </c>
      <c r="BA132" s="1">
        <f t="shared" si="72"/>
        <v>16.636111111111113</v>
      </c>
      <c r="BB132" s="1">
        <f t="shared" si="72"/>
        <v>17.144444444444446</v>
      </c>
      <c r="BC132" s="1">
        <f t="shared" si="72"/>
        <v>17.652777777777779</v>
      </c>
      <c r="BD132" s="1">
        <f t="shared" si="72"/>
        <v>18.158333333333335</v>
      </c>
      <c r="BE132" s="1">
        <f t="shared" si="72"/>
        <v>18.158333333333335</v>
      </c>
      <c r="BF132" s="1">
        <f t="shared" si="72"/>
        <v>26.783333333333335</v>
      </c>
      <c r="BG132" s="1">
        <f t="shared" si="72"/>
        <v>27.288888888888888</v>
      </c>
      <c r="BH132" s="1">
        <f t="shared" si="72"/>
        <v>27.797222222222221</v>
      </c>
      <c r="BI132" s="1">
        <f t="shared" si="72"/>
        <v>28.302777777777777</v>
      </c>
      <c r="BJ132" s="1">
        <f t="shared" si="72"/>
        <v>28.81111111111111</v>
      </c>
      <c r="BK132" s="1">
        <f t="shared" si="72"/>
        <v>29.319444444444443</v>
      </c>
      <c r="BL132" s="1">
        <f t="shared" si="72"/>
        <v>29.827777777777779</v>
      </c>
      <c r="BM132" s="1">
        <f t="shared" si="69"/>
        <v>30.333333333333332</v>
      </c>
      <c r="BN132" s="1">
        <f t="shared" si="69"/>
        <v>30.841666666666665</v>
      </c>
      <c r="BO132" s="1">
        <f t="shared" si="69"/>
        <v>30.841666666666665</v>
      </c>
      <c r="BP132" s="1">
        <f t="shared" si="69"/>
        <v>31.347222222222221</v>
      </c>
      <c r="BQ132" s="1">
        <f t="shared" si="69"/>
        <v>31.855555555555554</v>
      </c>
      <c r="BR132" s="1">
        <f t="shared" si="69"/>
        <v>32.361111111111114</v>
      </c>
      <c r="BS132" s="1">
        <f t="shared" si="69"/>
        <v>32.869444444444447</v>
      </c>
      <c r="BT132" s="1">
        <f t="shared" si="69"/>
        <v>33.37777777777778</v>
      </c>
      <c r="BU132" s="1">
        <f t="shared" si="69"/>
        <v>33.886111111111113</v>
      </c>
      <c r="BV132" s="1">
        <f t="shared" si="69"/>
        <v>33.886111111111113</v>
      </c>
      <c r="BW132" s="1">
        <f t="shared" si="69"/>
        <v>34.391666666666666</v>
      </c>
      <c r="BX132" s="1">
        <f t="shared" si="69"/>
        <v>34.9</v>
      </c>
      <c r="BY132" s="1">
        <f t="shared" si="69"/>
        <v>35.405555555555559</v>
      </c>
      <c r="BZ132" s="1">
        <f t="shared" si="69"/>
        <v>35.913888888888891</v>
      </c>
      <c r="CA132" s="1">
        <f t="shared" si="69"/>
        <v>36.419444444444444</v>
      </c>
      <c r="CB132" s="1">
        <f t="shared" si="69"/>
        <v>36.927777777777777</v>
      </c>
      <c r="CC132" s="1">
        <f t="shared" si="73"/>
        <v>37.43611111111111</v>
      </c>
      <c r="CD132" s="1">
        <f t="shared" si="67"/>
        <v>37.944444444444443</v>
      </c>
      <c r="CE132" s="1">
        <f t="shared" si="65"/>
        <v>38.450000000000003</v>
      </c>
      <c r="CF132" s="1">
        <f t="shared" si="65"/>
        <v>38.958333333333336</v>
      </c>
      <c r="CG132" s="1">
        <f t="shared" si="65"/>
        <v>39.463888888888889</v>
      </c>
      <c r="CH132" s="1">
        <f t="shared" si="65"/>
        <v>39.972222222222221</v>
      </c>
      <c r="CI132" s="1">
        <f t="shared" si="65"/>
        <v>40.477777777777774</v>
      </c>
      <c r="CJ132" s="1">
        <f t="shared" si="65"/>
        <v>40.986111111111114</v>
      </c>
      <c r="CK132" s="1">
        <f t="shared" si="65"/>
        <v>41.494444444444447</v>
      </c>
      <c r="CL132" s="1">
        <f t="shared" si="65"/>
        <v>42.00277777777778</v>
      </c>
      <c r="CM132" s="1">
        <f t="shared" si="65"/>
        <v>42.508333333333333</v>
      </c>
      <c r="CN132" s="1">
        <f t="shared" si="65"/>
        <v>43.016666666666666</v>
      </c>
      <c r="CO132" s="1">
        <f t="shared" si="65"/>
        <v>43.522222222222226</v>
      </c>
      <c r="CP132" s="1">
        <f t="shared" si="65"/>
        <v>44.030555555555559</v>
      </c>
      <c r="CQ132" s="1">
        <f t="shared" si="65"/>
        <v>44.536111111111111</v>
      </c>
      <c r="CR132" s="1">
        <f t="shared" si="65"/>
        <v>45.044444444444444</v>
      </c>
      <c r="CS132" s="1">
        <f t="shared" si="65"/>
        <v>45.552777777777777</v>
      </c>
      <c r="CT132" s="1">
        <f t="shared" si="65"/>
        <v>46.06111111111111</v>
      </c>
      <c r="CU132" s="1">
        <f t="shared" si="66"/>
        <v>46.56666666666667</v>
      </c>
      <c r="CV132" s="1">
        <f t="shared" si="66"/>
        <v>47.075000000000003</v>
      </c>
      <c r="CW132" s="1">
        <f t="shared" si="66"/>
        <v>47.580555555555556</v>
      </c>
      <c r="CX132" s="1">
        <f t="shared" si="66"/>
        <v>48.088888888888889</v>
      </c>
      <c r="CY132" s="1">
        <f t="shared" si="66"/>
        <v>48.594444444444441</v>
      </c>
      <c r="CZ132" s="1">
        <f t="shared" si="66"/>
        <v>49.102777777777774</v>
      </c>
      <c r="DA132" s="1">
        <f t="shared" si="66"/>
        <v>49.611111111111114</v>
      </c>
      <c r="DB132" s="1">
        <f t="shared" si="66"/>
        <v>50.119444444444447</v>
      </c>
      <c r="DC132" s="1">
        <f t="shared" si="66"/>
        <v>50.119444444444447</v>
      </c>
    </row>
    <row r="133" spans="1:107" x14ac:dyDescent="0.25">
      <c r="A133">
        <f t="shared" si="74"/>
        <v>6</v>
      </c>
      <c r="B133" s="2">
        <f>yields_BRUTE!B133</f>
        <v>42195</v>
      </c>
      <c r="C133" s="1">
        <f t="shared" si="75"/>
        <v>-0.36388888888888887</v>
      </c>
      <c r="D133" s="1">
        <f t="shared" si="75"/>
        <v>-0.32500000000000001</v>
      </c>
      <c r="E133" s="1">
        <f t="shared" si="75"/>
        <v>-0.10833333333333334</v>
      </c>
      <c r="F133" s="1">
        <f t="shared" si="75"/>
        <v>0.14722222222222223</v>
      </c>
      <c r="G133" s="1">
        <f t="shared" si="75"/>
        <v>0.18611111111111112</v>
      </c>
      <c r="H133" s="1">
        <f t="shared" si="75"/>
        <v>0.4</v>
      </c>
      <c r="I133" s="1">
        <f t="shared" si="75"/>
        <v>0.4</v>
      </c>
      <c r="J133" s="1">
        <f t="shared" si="75"/>
        <v>0.65277777777777779</v>
      </c>
      <c r="K133" s="1">
        <f t="shared" si="75"/>
        <v>0.69166666666666665</v>
      </c>
      <c r="L133" s="1">
        <f t="shared" si="75"/>
        <v>0.90833333333333333</v>
      </c>
      <c r="M133" s="1">
        <f t="shared" si="75"/>
        <v>1.163888888888889</v>
      </c>
      <c r="N133" s="1">
        <f t="shared" si="75"/>
        <v>1.163888888888889</v>
      </c>
      <c r="O133" s="1">
        <f t="shared" si="75"/>
        <v>1.2027777777777777</v>
      </c>
      <c r="P133" s="1">
        <f t="shared" si="75"/>
        <v>1.4166666666666667</v>
      </c>
      <c r="Q133" s="1">
        <f t="shared" si="75"/>
        <v>1.7055555555555555</v>
      </c>
      <c r="R133" s="1">
        <f t="shared" si="70"/>
        <v>1.9222222222222223</v>
      </c>
      <c r="S133" s="1">
        <f t="shared" si="70"/>
        <v>2.2166666666666668</v>
      </c>
      <c r="T133" s="1">
        <f t="shared" si="70"/>
        <v>2.4305555555555554</v>
      </c>
      <c r="U133" s="1">
        <f t="shared" si="70"/>
        <v>2.7194444444444446</v>
      </c>
      <c r="V133" s="1">
        <f t="shared" si="70"/>
        <v>2.9361111111111109</v>
      </c>
      <c r="W133" s="1">
        <f t="shared" si="70"/>
        <v>3.2305555555555556</v>
      </c>
      <c r="X133" s="1">
        <f t="shared" si="70"/>
        <v>3.4444444444444446</v>
      </c>
      <c r="Y133" s="1">
        <f t="shared" si="70"/>
        <v>3.7333333333333334</v>
      </c>
      <c r="Z133" s="1">
        <f t="shared" si="70"/>
        <v>3.95</v>
      </c>
      <c r="AA133" s="1">
        <f t="shared" si="70"/>
        <v>4.2444444444444445</v>
      </c>
      <c r="AB133" s="1">
        <f t="shared" si="70"/>
        <v>4.458333333333333</v>
      </c>
      <c r="AC133" s="1">
        <f t="shared" si="70"/>
        <v>4.75</v>
      </c>
      <c r="AD133" s="1">
        <f t="shared" si="70"/>
        <v>4.9666666666666668</v>
      </c>
      <c r="AE133" s="1">
        <f t="shared" si="70"/>
        <v>4.9666666666666668</v>
      </c>
      <c r="AF133" s="3">
        <f t="shared" si="70"/>
        <v>5.2611111111111111</v>
      </c>
      <c r="AG133" s="1">
        <f t="shared" si="70"/>
        <v>5.4749999999999996</v>
      </c>
      <c r="AH133" s="1">
        <f t="shared" si="71"/>
        <v>5.7638888888888893</v>
      </c>
      <c r="AI133" s="1">
        <f t="shared" si="68"/>
        <v>5.7638888888888893</v>
      </c>
      <c r="AJ133" s="1">
        <f t="shared" si="68"/>
        <v>5.9805555555555552</v>
      </c>
      <c r="AK133" s="1">
        <f t="shared" si="68"/>
        <v>5.9805555555555552</v>
      </c>
      <c r="AL133" s="1">
        <f t="shared" si="68"/>
        <v>6.4888888888888889</v>
      </c>
      <c r="AM133" s="1">
        <f t="shared" si="68"/>
        <v>6.9944444444444445</v>
      </c>
      <c r="AN133" s="1">
        <f t="shared" si="68"/>
        <v>6.9944444444444445</v>
      </c>
      <c r="AO133" s="1">
        <f t="shared" si="68"/>
        <v>7.5027777777777782</v>
      </c>
      <c r="AP133" s="1">
        <f t="shared" si="68"/>
        <v>8.0083333333333329</v>
      </c>
      <c r="AQ133" s="1">
        <f t="shared" si="68"/>
        <v>8.0083333333333329</v>
      </c>
      <c r="AR133" s="1">
        <f t="shared" si="68"/>
        <v>8.5166666666666675</v>
      </c>
      <c r="AS133" s="1">
        <f t="shared" si="68"/>
        <v>9.0250000000000004</v>
      </c>
      <c r="AT133" s="1">
        <f t="shared" si="68"/>
        <v>9.5333333333333332</v>
      </c>
      <c r="AU133" s="1">
        <f t="shared" si="68"/>
        <v>10.03888888888889</v>
      </c>
      <c r="AV133" s="1">
        <f t="shared" si="68"/>
        <v>10.03888888888889</v>
      </c>
      <c r="AW133" s="1">
        <f t="shared" si="68"/>
        <v>14.605555555555556</v>
      </c>
      <c r="AX133" s="1">
        <f t="shared" si="68"/>
        <v>15.111111111111111</v>
      </c>
      <c r="AY133" s="1">
        <f t="shared" si="72"/>
        <v>15.619444444444444</v>
      </c>
      <c r="AZ133" s="1">
        <f t="shared" si="72"/>
        <v>16.125</v>
      </c>
      <c r="BA133" s="1">
        <f t="shared" si="72"/>
        <v>16.633333333333333</v>
      </c>
      <c r="BB133" s="1">
        <f t="shared" si="72"/>
        <v>17.141666666666666</v>
      </c>
      <c r="BC133" s="1">
        <f t="shared" si="72"/>
        <v>17.649999999999999</v>
      </c>
      <c r="BD133" s="1">
        <f t="shared" si="72"/>
        <v>18.155555555555555</v>
      </c>
      <c r="BE133" s="1">
        <f t="shared" si="72"/>
        <v>18.155555555555555</v>
      </c>
      <c r="BF133" s="1">
        <f t="shared" si="72"/>
        <v>26.780555555555555</v>
      </c>
      <c r="BG133" s="1">
        <f t="shared" si="72"/>
        <v>27.286111111111111</v>
      </c>
      <c r="BH133" s="1">
        <f t="shared" si="72"/>
        <v>27.794444444444444</v>
      </c>
      <c r="BI133" s="1">
        <f t="shared" si="72"/>
        <v>28.3</v>
      </c>
      <c r="BJ133" s="1">
        <f t="shared" si="72"/>
        <v>28.808333333333334</v>
      </c>
      <c r="BK133" s="1">
        <f t="shared" si="72"/>
        <v>29.316666666666666</v>
      </c>
      <c r="BL133" s="1">
        <f t="shared" si="72"/>
        <v>29.824999999999999</v>
      </c>
      <c r="BM133" s="1">
        <f t="shared" si="69"/>
        <v>30.330555555555556</v>
      </c>
      <c r="BN133" s="1">
        <f t="shared" si="69"/>
        <v>30.838888888888889</v>
      </c>
      <c r="BO133" s="1">
        <f t="shared" si="69"/>
        <v>30.838888888888889</v>
      </c>
      <c r="BP133" s="1">
        <f t="shared" si="69"/>
        <v>31.344444444444445</v>
      </c>
      <c r="BQ133" s="1">
        <f t="shared" si="69"/>
        <v>31.852777777777778</v>
      </c>
      <c r="BR133" s="1">
        <f t="shared" si="69"/>
        <v>32.358333333333334</v>
      </c>
      <c r="BS133" s="1">
        <f t="shared" si="69"/>
        <v>32.866666666666667</v>
      </c>
      <c r="BT133" s="1">
        <f t="shared" si="69"/>
        <v>33.375</v>
      </c>
      <c r="BU133" s="1">
        <f t="shared" si="69"/>
        <v>33.883333333333333</v>
      </c>
      <c r="BV133" s="1">
        <f t="shared" si="69"/>
        <v>33.883333333333333</v>
      </c>
      <c r="BW133" s="1">
        <f t="shared" si="69"/>
        <v>34.388888888888886</v>
      </c>
      <c r="BX133" s="1">
        <f t="shared" si="69"/>
        <v>34.897222222222226</v>
      </c>
      <c r="BY133" s="1">
        <f t="shared" si="69"/>
        <v>35.402777777777779</v>
      </c>
      <c r="BZ133" s="1">
        <f t="shared" si="69"/>
        <v>35.911111111111111</v>
      </c>
      <c r="CA133" s="1">
        <f t="shared" si="69"/>
        <v>36.416666666666664</v>
      </c>
      <c r="CB133" s="1">
        <f t="shared" si="69"/>
        <v>36.924999999999997</v>
      </c>
      <c r="CC133" s="1">
        <f t="shared" si="73"/>
        <v>37.43333333333333</v>
      </c>
      <c r="CD133" s="1">
        <f t="shared" si="67"/>
        <v>37.94166666666667</v>
      </c>
      <c r="CE133" s="1">
        <f t="shared" si="65"/>
        <v>38.447222222222223</v>
      </c>
      <c r="CF133" s="1">
        <f t="shared" si="65"/>
        <v>38.955555555555556</v>
      </c>
      <c r="CG133" s="1">
        <f t="shared" si="65"/>
        <v>39.461111111111109</v>
      </c>
      <c r="CH133" s="1">
        <f t="shared" si="65"/>
        <v>39.969444444444441</v>
      </c>
      <c r="CI133" s="1">
        <f t="shared" si="65"/>
        <v>40.475000000000001</v>
      </c>
      <c r="CJ133" s="1">
        <f t="shared" si="65"/>
        <v>40.983333333333334</v>
      </c>
      <c r="CK133" s="1">
        <f t="shared" si="65"/>
        <v>41.491666666666667</v>
      </c>
      <c r="CL133" s="1">
        <f t="shared" si="65"/>
        <v>42</v>
      </c>
      <c r="CM133" s="1">
        <f t="shared" si="65"/>
        <v>42.505555555555553</v>
      </c>
      <c r="CN133" s="1">
        <f t="shared" si="65"/>
        <v>43.013888888888886</v>
      </c>
      <c r="CO133" s="1">
        <f t="shared" si="65"/>
        <v>43.519444444444446</v>
      </c>
      <c r="CP133" s="1">
        <f t="shared" si="65"/>
        <v>44.027777777777779</v>
      </c>
      <c r="CQ133" s="1">
        <f t="shared" si="65"/>
        <v>44.533333333333331</v>
      </c>
      <c r="CR133" s="1">
        <f t="shared" si="65"/>
        <v>45.041666666666664</v>
      </c>
      <c r="CS133" s="1">
        <f t="shared" si="65"/>
        <v>45.55</v>
      </c>
      <c r="CT133" s="1">
        <f t="shared" si="65"/>
        <v>46.05833333333333</v>
      </c>
      <c r="CU133" s="1">
        <f t="shared" si="66"/>
        <v>46.56388888888889</v>
      </c>
      <c r="CV133" s="1">
        <f t="shared" si="66"/>
        <v>47.072222222222223</v>
      </c>
      <c r="CW133" s="1">
        <f t="shared" si="66"/>
        <v>47.577777777777776</v>
      </c>
      <c r="CX133" s="1">
        <f t="shared" si="66"/>
        <v>48.086111111111109</v>
      </c>
      <c r="CY133" s="1">
        <f t="shared" si="66"/>
        <v>48.591666666666669</v>
      </c>
      <c r="CZ133" s="1">
        <f t="shared" si="66"/>
        <v>49.1</v>
      </c>
      <c r="DA133" s="1">
        <f t="shared" si="66"/>
        <v>49.608333333333334</v>
      </c>
      <c r="DB133" s="1">
        <f t="shared" si="66"/>
        <v>50.116666666666667</v>
      </c>
      <c r="DC133" s="1">
        <f t="shared" si="66"/>
        <v>50.116666666666667</v>
      </c>
    </row>
    <row r="134" spans="1:107" x14ac:dyDescent="0.25">
      <c r="A134">
        <f t="shared" si="74"/>
        <v>2</v>
      </c>
      <c r="B134" s="2">
        <f>yields_BRUTE!B134</f>
        <v>42198</v>
      </c>
      <c r="C134" s="1">
        <f t="shared" si="75"/>
        <v>-0.37222222222222223</v>
      </c>
      <c r="D134" s="1">
        <f t="shared" si="75"/>
        <v>-0.33333333333333331</v>
      </c>
      <c r="E134" s="1">
        <f t="shared" si="75"/>
        <v>-0.11666666666666667</v>
      </c>
      <c r="F134" s="1">
        <f t="shared" si="75"/>
        <v>0.1388888888888889</v>
      </c>
      <c r="G134" s="1">
        <f t="shared" si="75"/>
        <v>0.17777777777777778</v>
      </c>
      <c r="H134" s="1">
        <f t="shared" si="75"/>
        <v>0.39166666666666666</v>
      </c>
      <c r="I134" s="1">
        <f t="shared" si="75"/>
        <v>0.39166666666666666</v>
      </c>
      <c r="J134" s="1">
        <f t="shared" si="75"/>
        <v>0.64444444444444449</v>
      </c>
      <c r="K134" s="1">
        <f t="shared" si="75"/>
        <v>0.68333333333333335</v>
      </c>
      <c r="L134" s="1">
        <f t="shared" si="75"/>
        <v>0.9</v>
      </c>
      <c r="M134" s="1">
        <f t="shared" si="75"/>
        <v>1.1555555555555554</v>
      </c>
      <c r="N134" s="1">
        <f t="shared" si="75"/>
        <v>1.1555555555555554</v>
      </c>
      <c r="O134" s="1">
        <f t="shared" si="75"/>
        <v>1.1944444444444444</v>
      </c>
      <c r="P134" s="1">
        <f t="shared" si="75"/>
        <v>1.4083333333333334</v>
      </c>
      <c r="Q134" s="1">
        <f t="shared" si="75"/>
        <v>1.6972222222222222</v>
      </c>
      <c r="R134" s="1">
        <f t="shared" si="70"/>
        <v>1.913888888888889</v>
      </c>
      <c r="S134" s="1">
        <f t="shared" si="70"/>
        <v>2.2083333333333335</v>
      </c>
      <c r="T134" s="1">
        <f t="shared" si="70"/>
        <v>2.4222222222222221</v>
      </c>
      <c r="U134" s="1">
        <f t="shared" si="70"/>
        <v>2.7111111111111112</v>
      </c>
      <c r="V134" s="1">
        <f t="shared" si="70"/>
        <v>2.9277777777777776</v>
      </c>
      <c r="W134" s="1">
        <f t="shared" si="70"/>
        <v>3.2222222222222223</v>
      </c>
      <c r="X134" s="1">
        <f t="shared" si="70"/>
        <v>3.4361111111111109</v>
      </c>
      <c r="Y134" s="1">
        <f t="shared" si="70"/>
        <v>3.7250000000000001</v>
      </c>
      <c r="Z134" s="1">
        <f t="shared" si="70"/>
        <v>3.9416666666666669</v>
      </c>
      <c r="AA134" s="1">
        <f t="shared" si="70"/>
        <v>4.2361111111111107</v>
      </c>
      <c r="AB134" s="1">
        <f t="shared" si="70"/>
        <v>4.45</v>
      </c>
      <c r="AC134" s="1">
        <f t="shared" si="70"/>
        <v>4.7416666666666663</v>
      </c>
      <c r="AD134" s="1">
        <f t="shared" si="70"/>
        <v>4.958333333333333</v>
      </c>
      <c r="AE134" s="1">
        <f t="shared" si="70"/>
        <v>4.958333333333333</v>
      </c>
      <c r="AF134" s="3">
        <f t="shared" si="70"/>
        <v>5.2527777777777782</v>
      </c>
      <c r="AG134" s="1">
        <f t="shared" si="70"/>
        <v>5.4666666666666668</v>
      </c>
      <c r="AH134" s="1">
        <f t="shared" si="71"/>
        <v>5.7555555555555555</v>
      </c>
      <c r="AI134" s="1">
        <f t="shared" si="68"/>
        <v>5.7555555555555555</v>
      </c>
      <c r="AJ134" s="1">
        <f t="shared" si="68"/>
        <v>5.9722222222222223</v>
      </c>
      <c r="AK134" s="1">
        <f t="shared" si="68"/>
        <v>5.9722222222222223</v>
      </c>
      <c r="AL134" s="1">
        <f t="shared" si="68"/>
        <v>6.4805555555555552</v>
      </c>
      <c r="AM134" s="1">
        <f t="shared" si="68"/>
        <v>6.9861111111111107</v>
      </c>
      <c r="AN134" s="1">
        <f t="shared" si="68"/>
        <v>6.9861111111111107</v>
      </c>
      <c r="AO134" s="1">
        <f t="shared" si="68"/>
        <v>7.4944444444444445</v>
      </c>
      <c r="AP134" s="1">
        <f t="shared" si="68"/>
        <v>8</v>
      </c>
      <c r="AQ134" s="1">
        <f t="shared" si="68"/>
        <v>8</v>
      </c>
      <c r="AR134" s="1">
        <f t="shared" si="68"/>
        <v>8.5083333333333329</v>
      </c>
      <c r="AS134" s="1">
        <f t="shared" si="68"/>
        <v>9.0166666666666675</v>
      </c>
      <c r="AT134" s="1">
        <f t="shared" si="68"/>
        <v>9.5250000000000004</v>
      </c>
      <c r="AU134" s="1">
        <f t="shared" si="68"/>
        <v>10.030555555555555</v>
      </c>
      <c r="AV134" s="1">
        <f t="shared" si="68"/>
        <v>10.030555555555555</v>
      </c>
      <c r="AW134" s="1">
        <f t="shared" si="68"/>
        <v>14.597222222222221</v>
      </c>
      <c r="AX134" s="1">
        <f t="shared" si="68"/>
        <v>15.102777777777778</v>
      </c>
      <c r="AY134" s="1">
        <f t="shared" si="72"/>
        <v>15.611111111111111</v>
      </c>
      <c r="AZ134" s="1">
        <f t="shared" si="72"/>
        <v>16.116666666666667</v>
      </c>
      <c r="BA134" s="1">
        <f t="shared" si="72"/>
        <v>16.625</v>
      </c>
      <c r="BB134" s="1">
        <f t="shared" si="72"/>
        <v>17.133333333333333</v>
      </c>
      <c r="BC134" s="1">
        <f t="shared" si="72"/>
        <v>17.641666666666666</v>
      </c>
      <c r="BD134" s="1">
        <f t="shared" si="72"/>
        <v>18.147222222222222</v>
      </c>
      <c r="BE134" s="1">
        <f t="shared" si="72"/>
        <v>18.147222222222222</v>
      </c>
      <c r="BF134" s="1">
        <f t="shared" si="72"/>
        <v>26.772222222222222</v>
      </c>
      <c r="BG134" s="1">
        <f t="shared" si="72"/>
        <v>27.277777777777779</v>
      </c>
      <c r="BH134" s="1">
        <f t="shared" si="72"/>
        <v>27.786111111111111</v>
      </c>
      <c r="BI134" s="1">
        <f t="shared" si="72"/>
        <v>28.291666666666668</v>
      </c>
      <c r="BJ134" s="1">
        <f t="shared" si="72"/>
        <v>28.8</v>
      </c>
      <c r="BK134" s="1">
        <f t="shared" si="72"/>
        <v>29.308333333333334</v>
      </c>
      <c r="BL134" s="1">
        <f t="shared" si="72"/>
        <v>29.816666666666666</v>
      </c>
      <c r="BM134" s="1">
        <f t="shared" si="69"/>
        <v>30.322222222222223</v>
      </c>
      <c r="BN134" s="1">
        <f t="shared" si="69"/>
        <v>30.830555555555556</v>
      </c>
      <c r="BO134" s="1">
        <f t="shared" si="69"/>
        <v>30.830555555555556</v>
      </c>
      <c r="BP134" s="1">
        <f t="shared" si="69"/>
        <v>31.336111111111112</v>
      </c>
      <c r="BQ134" s="1">
        <f t="shared" si="69"/>
        <v>31.844444444444445</v>
      </c>
      <c r="BR134" s="1">
        <f t="shared" si="69"/>
        <v>32.35</v>
      </c>
      <c r="BS134" s="1">
        <f t="shared" si="69"/>
        <v>32.858333333333334</v>
      </c>
      <c r="BT134" s="1">
        <f t="shared" si="69"/>
        <v>33.366666666666667</v>
      </c>
      <c r="BU134" s="1">
        <f t="shared" si="69"/>
        <v>33.875</v>
      </c>
      <c r="BV134" s="1">
        <f t="shared" si="69"/>
        <v>33.875</v>
      </c>
      <c r="BW134" s="1">
        <f t="shared" si="69"/>
        <v>34.380555555555553</v>
      </c>
      <c r="BX134" s="1">
        <f t="shared" si="69"/>
        <v>34.888888888888886</v>
      </c>
      <c r="BY134" s="1">
        <f t="shared" si="69"/>
        <v>35.394444444444446</v>
      </c>
      <c r="BZ134" s="1">
        <f t="shared" si="69"/>
        <v>35.902777777777779</v>
      </c>
      <c r="CA134" s="1">
        <f t="shared" si="69"/>
        <v>36.408333333333331</v>
      </c>
      <c r="CB134" s="1">
        <f t="shared" si="69"/>
        <v>36.916666666666664</v>
      </c>
      <c r="CC134" s="1">
        <f t="shared" si="73"/>
        <v>37.424999999999997</v>
      </c>
      <c r="CD134" s="1">
        <f t="shared" si="67"/>
        <v>37.93333333333333</v>
      </c>
      <c r="CE134" s="1">
        <f t="shared" si="65"/>
        <v>38.43888888888889</v>
      </c>
      <c r="CF134" s="1">
        <f t="shared" si="65"/>
        <v>38.947222222222223</v>
      </c>
      <c r="CG134" s="1">
        <f t="shared" si="65"/>
        <v>39.452777777777776</v>
      </c>
      <c r="CH134" s="1">
        <f t="shared" si="65"/>
        <v>39.961111111111109</v>
      </c>
      <c r="CI134" s="1">
        <f t="shared" si="65"/>
        <v>40.466666666666669</v>
      </c>
      <c r="CJ134" s="1">
        <f t="shared" si="65"/>
        <v>40.975000000000001</v>
      </c>
      <c r="CK134" s="1">
        <f t="shared" si="65"/>
        <v>41.483333333333334</v>
      </c>
      <c r="CL134" s="1">
        <f t="shared" si="65"/>
        <v>41.991666666666667</v>
      </c>
      <c r="CM134" s="1">
        <f t="shared" si="65"/>
        <v>42.49722222222222</v>
      </c>
      <c r="CN134" s="1">
        <f t="shared" si="65"/>
        <v>43.005555555555553</v>
      </c>
      <c r="CO134" s="1">
        <f t="shared" si="65"/>
        <v>43.511111111111113</v>
      </c>
      <c r="CP134" s="1">
        <f t="shared" si="65"/>
        <v>44.019444444444446</v>
      </c>
      <c r="CQ134" s="1">
        <f t="shared" si="65"/>
        <v>44.524999999999999</v>
      </c>
      <c r="CR134" s="1">
        <f t="shared" si="65"/>
        <v>45.033333333333331</v>
      </c>
      <c r="CS134" s="1">
        <f t="shared" si="65"/>
        <v>45.541666666666664</v>
      </c>
      <c r="CT134" s="1">
        <f t="shared" si="65"/>
        <v>46.05</v>
      </c>
      <c r="CU134" s="1">
        <f t="shared" si="66"/>
        <v>46.555555555555557</v>
      </c>
      <c r="CV134" s="1">
        <f t="shared" si="66"/>
        <v>47.06388888888889</v>
      </c>
      <c r="CW134" s="1">
        <f t="shared" si="66"/>
        <v>47.569444444444443</v>
      </c>
      <c r="CX134" s="1">
        <f t="shared" si="66"/>
        <v>48.077777777777776</v>
      </c>
      <c r="CY134" s="1">
        <f t="shared" si="66"/>
        <v>48.583333333333336</v>
      </c>
      <c r="CZ134" s="1">
        <f t="shared" si="66"/>
        <v>49.091666666666669</v>
      </c>
      <c r="DA134" s="1">
        <f t="shared" si="66"/>
        <v>49.6</v>
      </c>
      <c r="DB134" s="1">
        <f t="shared" si="66"/>
        <v>50.108333333333334</v>
      </c>
      <c r="DC134" s="1">
        <f t="shared" si="66"/>
        <v>50.108333333333334</v>
      </c>
    </row>
    <row r="135" spans="1:107" x14ac:dyDescent="0.25">
      <c r="A135">
        <f t="shared" si="74"/>
        <v>3</v>
      </c>
      <c r="B135" s="2">
        <f>yields_BRUTE!B135</f>
        <v>42199</v>
      </c>
      <c r="C135" s="1">
        <f t="shared" si="75"/>
        <v>-0.375</v>
      </c>
      <c r="D135" s="1">
        <f t="shared" si="75"/>
        <v>-0.33611111111111114</v>
      </c>
      <c r="E135" s="1">
        <f t="shared" si="75"/>
        <v>-0.11944444444444445</v>
      </c>
      <c r="F135" s="1">
        <f t="shared" si="75"/>
        <v>0.1361111111111111</v>
      </c>
      <c r="G135" s="1">
        <f t="shared" si="75"/>
        <v>0.17499999999999999</v>
      </c>
      <c r="H135" s="1">
        <f t="shared" si="75"/>
        <v>0.3888888888888889</v>
      </c>
      <c r="I135" s="1">
        <f t="shared" si="75"/>
        <v>0.3888888888888889</v>
      </c>
      <c r="J135" s="1">
        <f t="shared" si="75"/>
        <v>0.64166666666666672</v>
      </c>
      <c r="K135" s="1">
        <f t="shared" si="75"/>
        <v>0.68055555555555558</v>
      </c>
      <c r="L135" s="1">
        <f t="shared" si="75"/>
        <v>0.89722222222222225</v>
      </c>
      <c r="M135" s="1">
        <f t="shared" si="75"/>
        <v>1.1527777777777777</v>
      </c>
      <c r="N135" s="1">
        <f t="shared" si="75"/>
        <v>1.1527777777777777</v>
      </c>
      <c r="O135" s="1">
        <f t="shared" si="75"/>
        <v>1.1916666666666667</v>
      </c>
      <c r="P135" s="1">
        <f t="shared" si="75"/>
        <v>1.4055555555555554</v>
      </c>
      <c r="Q135" s="1">
        <f t="shared" si="75"/>
        <v>1.6944444444444444</v>
      </c>
      <c r="R135" s="1">
        <f t="shared" si="70"/>
        <v>1.9111111111111112</v>
      </c>
      <c r="S135" s="1">
        <f t="shared" si="70"/>
        <v>2.2055555555555557</v>
      </c>
      <c r="T135" s="1">
        <f t="shared" si="70"/>
        <v>2.4194444444444443</v>
      </c>
      <c r="U135" s="1">
        <f t="shared" si="70"/>
        <v>2.7083333333333335</v>
      </c>
      <c r="V135" s="1">
        <f t="shared" si="70"/>
        <v>2.9249999999999998</v>
      </c>
      <c r="W135" s="1">
        <f t="shared" si="70"/>
        <v>3.2194444444444446</v>
      </c>
      <c r="X135" s="1">
        <f t="shared" si="70"/>
        <v>3.4333333333333331</v>
      </c>
      <c r="Y135" s="1">
        <f t="shared" si="70"/>
        <v>3.7222222222222223</v>
      </c>
      <c r="Z135" s="1">
        <f t="shared" si="70"/>
        <v>3.9388888888888891</v>
      </c>
      <c r="AA135" s="1">
        <f t="shared" si="70"/>
        <v>4.2333333333333334</v>
      </c>
      <c r="AB135" s="1">
        <f t="shared" si="70"/>
        <v>4.447222222222222</v>
      </c>
      <c r="AC135" s="1">
        <f t="shared" si="70"/>
        <v>4.7388888888888889</v>
      </c>
      <c r="AD135" s="1">
        <f t="shared" si="70"/>
        <v>4.9555555555555557</v>
      </c>
      <c r="AE135" s="1">
        <f t="shared" si="70"/>
        <v>4.9555555555555557</v>
      </c>
      <c r="AF135" s="3">
        <f t="shared" si="70"/>
        <v>5.25</v>
      </c>
      <c r="AG135" s="1">
        <f t="shared" si="70"/>
        <v>5.4638888888888886</v>
      </c>
      <c r="AH135" s="1">
        <f t="shared" si="71"/>
        <v>5.7527777777777782</v>
      </c>
      <c r="AI135" s="1">
        <f t="shared" si="68"/>
        <v>5.7527777777777782</v>
      </c>
      <c r="AJ135" s="1">
        <f t="shared" si="68"/>
        <v>5.9694444444444441</v>
      </c>
      <c r="AK135" s="1">
        <f t="shared" si="68"/>
        <v>5.9694444444444441</v>
      </c>
      <c r="AL135" s="1">
        <f t="shared" si="68"/>
        <v>6.4777777777777779</v>
      </c>
      <c r="AM135" s="1">
        <f t="shared" si="68"/>
        <v>6.9833333333333334</v>
      </c>
      <c r="AN135" s="1">
        <f t="shared" si="68"/>
        <v>6.9833333333333334</v>
      </c>
      <c r="AO135" s="1">
        <f t="shared" si="68"/>
        <v>7.4916666666666663</v>
      </c>
      <c r="AP135" s="1">
        <f t="shared" si="68"/>
        <v>7.9972222222222218</v>
      </c>
      <c r="AQ135" s="1">
        <f t="shared" si="68"/>
        <v>7.9972222222222218</v>
      </c>
      <c r="AR135" s="1">
        <f t="shared" si="68"/>
        <v>8.5055555555555564</v>
      </c>
      <c r="AS135" s="1">
        <f t="shared" si="68"/>
        <v>9.0138888888888893</v>
      </c>
      <c r="AT135" s="1">
        <f t="shared" si="68"/>
        <v>9.5222222222222221</v>
      </c>
      <c r="AU135" s="1">
        <f t="shared" si="68"/>
        <v>10.027777777777779</v>
      </c>
      <c r="AV135" s="1">
        <f t="shared" si="68"/>
        <v>10.027777777777779</v>
      </c>
      <c r="AW135" s="1">
        <f t="shared" si="68"/>
        <v>14.594444444444445</v>
      </c>
      <c r="AX135" s="1">
        <f t="shared" si="68"/>
        <v>15.1</v>
      </c>
      <c r="AY135" s="1">
        <f t="shared" si="72"/>
        <v>15.608333333333333</v>
      </c>
      <c r="AZ135" s="1">
        <f t="shared" si="72"/>
        <v>16.113888888888887</v>
      </c>
      <c r="BA135" s="1">
        <f t="shared" si="72"/>
        <v>16.622222222222224</v>
      </c>
      <c r="BB135" s="1">
        <f t="shared" si="72"/>
        <v>17.130555555555556</v>
      </c>
      <c r="BC135" s="1">
        <f t="shared" si="72"/>
        <v>17.638888888888889</v>
      </c>
      <c r="BD135" s="1">
        <f t="shared" si="72"/>
        <v>18.144444444444446</v>
      </c>
      <c r="BE135" s="1">
        <f t="shared" si="72"/>
        <v>18.144444444444446</v>
      </c>
      <c r="BF135" s="1">
        <f t="shared" si="72"/>
        <v>26.769444444444446</v>
      </c>
      <c r="BG135" s="1">
        <f t="shared" si="72"/>
        <v>27.274999999999999</v>
      </c>
      <c r="BH135" s="1">
        <f t="shared" si="72"/>
        <v>27.783333333333335</v>
      </c>
      <c r="BI135" s="1">
        <f t="shared" si="72"/>
        <v>28.288888888888888</v>
      </c>
      <c r="BJ135" s="1">
        <f t="shared" si="72"/>
        <v>28.797222222222221</v>
      </c>
      <c r="BK135" s="1">
        <f t="shared" si="72"/>
        <v>29.305555555555557</v>
      </c>
      <c r="BL135" s="1">
        <f t="shared" si="72"/>
        <v>29.81388888888889</v>
      </c>
      <c r="BM135" s="1">
        <f t="shared" si="69"/>
        <v>30.319444444444443</v>
      </c>
      <c r="BN135" s="1">
        <f t="shared" si="69"/>
        <v>30.827777777777779</v>
      </c>
      <c r="BO135" s="1">
        <f t="shared" si="69"/>
        <v>30.827777777777779</v>
      </c>
      <c r="BP135" s="1">
        <f t="shared" si="69"/>
        <v>31.333333333333332</v>
      </c>
      <c r="BQ135" s="1">
        <f t="shared" si="69"/>
        <v>31.841666666666665</v>
      </c>
      <c r="BR135" s="1">
        <f t="shared" si="69"/>
        <v>32.347222222222221</v>
      </c>
      <c r="BS135" s="1">
        <f t="shared" si="69"/>
        <v>32.855555555555554</v>
      </c>
      <c r="BT135" s="1">
        <f t="shared" si="69"/>
        <v>33.363888888888887</v>
      </c>
      <c r="BU135" s="1">
        <f t="shared" si="69"/>
        <v>33.87222222222222</v>
      </c>
      <c r="BV135" s="1">
        <f t="shared" si="69"/>
        <v>33.87222222222222</v>
      </c>
      <c r="BW135" s="1">
        <f t="shared" si="69"/>
        <v>34.37777777777778</v>
      </c>
      <c r="BX135" s="1">
        <f t="shared" si="69"/>
        <v>34.886111111111113</v>
      </c>
      <c r="BY135" s="1">
        <f t="shared" si="69"/>
        <v>35.391666666666666</v>
      </c>
      <c r="BZ135" s="1">
        <f t="shared" si="69"/>
        <v>35.9</v>
      </c>
      <c r="CA135" s="1">
        <f t="shared" si="69"/>
        <v>36.405555555555559</v>
      </c>
      <c r="CB135" s="1">
        <f t="shared" si="69"/>
        <v>36.913888888888891</v>
      </c>
      <c r="CC135" s="1">
        <f t="shared" si="73"/>
        <v>37.422222222222224</v>
      </c>
      <c r="CD135" s="1">
        <f t="shared" si="67"/>
        <v>37.930555555555557</v>
      </c>
      <c r="CE135" s="1">
        <f t="shared" si="65"/>
        <v>38.43611111111111</v>
      </c>
      <c r="CF135" s="1">
        <f t="shared" si="65"/>
        <v>38.944444444444443</v>
      </c>
      <c r="CG135" s="1">
        <f t="shared" si="65"/>
        <v>39.450000000000003</v>
      </c>
      <c r="CH135" s="1">
        <f t="shared" si="65"/>
        <v>39.958333333333336</v>
      </c>
      <c r="CI135" s="1">
        <f t="shared" si="65"/>
        <v>40.463888888888889</v>
      </c>
      <c r="CJ135" s="1">
        <f t="shared" si="65"/>
        <v>40.972222222222221</v>
      </c>
      <c r="CK135" s="1">
        <f t="shared" si="65"/>
        <v>41.480555555555554</v>
      </c>
      <c r="CL135" s="1">
        <f t="shared" si="65"/>
        <v>41.988888888888887</v>
      </c>
      <c r="CM135" s="1">
        <f t="shared" si="65"/>
        <v>42.494444444444447</v>
      </c>
      <c r="CN135" s="1">
        <f t="shared" si="65"/>
        <v>43.00277777777778</v>
      </c>
      <c r="CO135" s="1">
        <f t="shared" si="65"/>
        <v>43.508333333333333</v>
      </c>
      <c r="CP135" s="1">
        <f t="shared" si="65"/>
        <v>44.016666666666666</v>
      </c>
      <c r="CQ135" s="1">
        <f t="shared" si="65"/>
        <v>44.522222222222226</v>
      </c>
      <c r="CR135" s="1">
        <f t="shared" si="65"/>
        <v>45.030555555555559</v>
      </c>
      <c r="CS135" s="1">
        <f t="shared" si="65"/>
        <v>45.538888888888891</v>
      </c>
      <c r="CT135" s="1">
        <f t="shared" si="65"/>
        <v>46.047222222222224</v>
      </c>
      <c r="CU135" s="1">
        <f t="shared" si="66"/>
        <v>46.552777777777777</v>
      </c>
      <c r="CV135" s="1">
        <f t="shared" si="66"/>
        <v>47.06111111111111</v>
      </c>
      <c r="CW135" s="1">
        <f t="shared" si="66"/>
        <v>47.56666666666667</v>
      </c>
      <c r="CX135" s="1">
        <f t="shared" si="66"/>
        <v>48.075000000000003</v>
      </c>
      <c r="CY135" s="1">
        <f t="shared" si="66"/>
        <v>48.580555555555556</v>
      </c>
      <c r="CZ135" s="1">
        <f t="shared" si="66"/>
        <v>49.088888888888889</v>
      </c>
      <c r="DA135" s="1">
        <f t="shared" si="66"/>
        <v>49.597222222222221</v>
      </c>
      <c r="DB135" s="1">
        <f t="shared" si="66"/>
        <v>50.105555555555554</v>
      </c>
      <c r="DC135" s="1">
        <f t="shared" si="66"/>
        <v>50.105555555555554</v>
      </c>
    </row>
    <row r="136" spans="1:107" x14ac:dyDescent="0.25">
      <c r="A136">
        <f t="shared" si="74"/>
        <v>4</v>
      </c>
      <c r="B136" s="2">
        <f>yields_BRUTE!B136</f>
        <v>42200</v>
      </c>
      <c r="C136" s="1">
        <f t="shared" si="75"/>
        <v>-0.37777777777777777</v>
      </c>
      <c r="D136" s="1">
        <f t="shared" si="75"/>
        <v>-0.33888888888888891</v>
      </c>
      <c r="E136" s="1">
        <f t="shared" si="75"/>
        <v>-0.12222222222222222</v>
      </c>
      <c r="F136" s="1">
        <f t="shared" si="75"/>
        <v>0.13333333333333333</v>
      </c>
      <c r="G136" s="1">
        <f t="shared" si="75"/>
        <v>0.17222222222222222</v>
      </c>
      <c r="H136" s="1">
        <f t="shared" si="75"/>
        <v>0.38611111111111113</v>
      </c>
      <c r="I136" s="1">
        <f t="shared" si="75"/>
        <v>0.38611111111111113</v>
      </c>
      <c r="J136" s="1">
        <f t="shared" si="75"/>
        <v>0.63888888888888884</v>
      </c>
      <c r="K136" s="1">
        <f t="shared" si="75"/>
        <v>0.67777777777777781</v>
      </c>
      <c r="L136" s="1">
        <f t="shared" si="75"/>
        <v>0.89444444444444449</v>
      </c>
      <c r="M136" s="1">
        <f t="shared" si="75"/>
        <v>1.1499999999999999</v>
      </c>
      <c r="N136" s="1">
        <f t="shared" si="75"/>
        <v>1.1499999999999999</v>
      </c>
      <c r="O136" s="1">
        <f t="shared" si="75"/>
        <v>1.1888888888888889</v>
      </c>
      <c r="P136" s="1">
        <f t="shared" si="75"/>
        <v>1.4027777777777777</v>
      </c>
      <c r="Q136" s="1">
        <f t="shared" si="75"/>
        <v>1.6916666666666667</v>
      </c>
      <c r="R136" s="1">
        <f t="shared" si="70"/>
        <v>1.9083333333333334</v>
      </c>
      <c r="S136" s="1">
        <f t="shared" si="70"/>
        <v>2.2027777777777779</v>
      </c>
      <c r="T136" s="1">
        <f t="shared" si="70"/>
        <v>2.4166666666666665</v>
      </c>
      <c r="U136" s="1">
        <f t="shared" si="70"/>
        <v>2.7055555555555557</v>
      </c>
      <c r="V136" s="1">
        <f t="shared" si="70"/>
        <v>2.9222222222222221</v>
      </c>
      <c r="W136" s="1">
        <f t="shared" si="70"/>
        <v>3.2166666666666668</v>
      </c>
      <c r="X136" s="1">
        <f t="shared" si="70"/>
        <v>3.4305555555555554</v>
      </c>
      <c r="Y136" s="1">
        <f t="shared" si="70"/>
        <v>3.7194444444444446</v>
      </c>
      <c r="Z136" s="1">
        <f t="shared" si="70"/>
        <v>3.9361111111111109</v>
      </c>
      <c r="AA136" s="1">
        <f t="shared" si="70"/>
        <v>4.2305555555555552</v>
      </c>
      <c r="AB136" s="1">
        <f t="shared" si="70"/>
        <v>4.4444444444444446</v>
      </c>
      <c r="AC136" s="1">
        <f t="shared" si="70"/>
        <v>4.7361111111111107</v>
      </c>
      <c r="AD136" s="1">
        <f t="shared" si="70"/>
        <v>4.9527777777777775</v>
      </c>
      <c r="AE136" s="1">
        <f t="shared" si="70"/>
        <v>4.9527777777777775</v>
      </c>
      <c r="AF136" s="3">
        <f t="shared" si="70"/>
        <v>5.2472222222222218</v>
      </c>
      <c r="AG136" s="1">
        <f t="shared" si="70"/>
        <v>5.4611111111111112</v>
      </c>
      <c r="AH136" s="1">
        <f t="shared" si="71"/>
        <v>5.75</v>
      </c>
      <c r="AI136" s="1">
        <f t="shared" si="68"/>
        <v>5.75</v>
      </c>
      <c r="AJ136" s="1">
        <f t="shared" si="68"/>
        <v>5.9666666666666668</v>
      </c>
      <c r="AK136" s="1">
        <f t="shared" si="68"/>
        <v>5.9666666666666668</v>
      </c>
      <c r="AL136" s="1">
        <f t="shared" si="68"/>
        <v>6.4749999999999996</v>
      </c>
      <c r="AM136" s="1">
        <f t="shared" si="68"/>
        <v>6.9805555555555552</v>
      </c>
      <c r="AN136" s="1">
        <f t="shared" si="68"/>
        <v>6.9805555555555552</v>
      </c>
      <c r="AO136" s="1">
        <f t="shared" si="68"/>
        <v>7.4888888888888889</v>
      </c>
      <c r="AP136" s="1">
        <f t="shared" si="68"/>
        <v>7.9944444444444445</v>
      </c>
      <c r="AQ136" s="1">
        <f t="shared" si="68"/>
        <v>7.9944444444444445</v>
      </c>
      <c r="AR136" s="1">
        <f t="shared" si="68"/>
        <v>8.5027777777777782</v>
      </c>
      <c r="AS136" s="1">
        <f t="shared" si="68"/>
        <v>9.0111111111111111</v>
      </c>
      <c r="AT136" s="1">
        <f t="shared" si="68"/>
        <v>9.5194444444444439</v>
      </c>
      <c r="AU136" s="1">
        <f t="shared" si="68"/>
        <v>10.025</v>
      </c>
      <c r="AV136" s="1">
        <f t="shared" si="68"/>
        <v>10.025</v>
      </c>
      <c r="AW136" s="1">
        <f t="shared" si="68"/>
        <v>14.591666666666667</v>
      </c>
      <c r="AX136" s="1">
        <f t="shared" si="68"/>
        <v>15.097222222222221</v>
      </c>
      <c r="AY136" s="1">
        <f t="shared" si="72"/>
        <v>15.605555555555556</v>
      </c>
      <c r="AZ136" s="1">
        <f t="shared" si="72"/>
        <v>16.111111111111111</v>
      </c>
      <c r="BA136" s="1">
        <f t="shared" si="72"/>
        <v>16.619444444444444</v>
      </c>
      <c r="BB136" s="1">
        <f t="shared" si="72"/>
        <v>17.127777777777776</v>
      </c>
      <c r="BC136" s="1">
        <f t="shared" si="72"/>
        <v>17.636111111111113</v>
      </c>
      <c r="BD136" s="1">
        <f t="shared" si="72"/>
        <v>18.141666666666666</v>
      </c>
      <c r="BE136" s="1">
        <f t="shared" si="72"/>
        <v>18.141666666666666</v>
      </c>
      <c r="BF136" s="1">
        <f t="shared" si="72"/>
        <v>26.766666666666666</v>
      </c>
      <c r="BG136" s="1">
        <f t="shared" si="72"/>
        <v>27.272222222222222</v>
      </c>
      <c r="BH136" s="1">
        <f t="shared" si="72"/>
        <v>27.780555555555555</v>
      </c>
      <c r="BI136" s="1">
        <f t="shared" si="72"/>
        <v>28.286111111111111</v>
      </c>
      <c r="BJ136" s="1">
        <f t="shared" si="72"/>
        <v>28.794444444444444</v>
      </c>
      <c r="BK136" s="1">
        <f t="shared" si="72"/>
        <v>29.302777777777777</v>
      </c>
      <c r="BL136" s="1">
        <f t="shared" si="72"/>
        <v>29.81111111111111</v>
      </c>
      <c r="BM136" s="1">
        <f t="shared" si="69"/>
        <v>30.316666666666666</v>
      </c>
      <c r="BN136" s="1">
        <f t="shared" si="69"/>
        <v>30.824999999999999</v>
      </c>
      <c r="BO136" s="1">
        <f t="shared" si="69"/>
        <v>30.824999999999999</v>
      </c>
      <c r="BP136" s="1">
        <f t="shared" si="69"/>
        <v>31.330555555555556</v>
      </c>
      <c r="BQ136" s="1">
        <f t="shared" si="69"/>
        <v>31.838888888888889</v>
      </c>
      <c r="BR136" s="1">
        <f t="shared" si="69"/>
        <v>32.344444444444441</v>
      </c>
      <c r="BS136" s="1">
        <f t="shared" si="69"/>
        <v>32.852777777777774</v>
      </c>
      <c r="BT136" s="1">
        <f t="shared" si="69"/>
        <v>33.361111111111114</v>
      </c>
      <c r="BU136" s="1">
        <f t="shared" si="69"/>
        <v>33.869444444444447</v>
      </c>
      <c r="BV136" s="1">
        <f t="shared" si="69"/>
        <v>33.869444444444447</v>
      </c>
      <c r="BW136" s="1">
        <f t="shared" si="69"/>
        <v>34.375</v>
      </c>
      <c r="BX136" s="1">
        <f t="shared" si="69"/>
        <v>34.883333333333333</v>
      </c>
      <c r="BY136" s="1">
        <f t="shared" si="69"/>
        <v>35.388888888888886</v>
      </c>
      <c r="BZ136" s="1">
        <f t="shared" si="69"/>
        <v>35.897222222222226</v>
      </c>
      <c r="CA136" s="1">
        <f t="shared" si="69"/>
        <v>36.402777777777779</v>
      </c>
      <c r="CB136" s="1">
        <f t="shared" si="69"/>
        <v>36.911111111111111</v>
      </c>
      <c r="CC136" s="1">
        <f t="shared" si="73"/>
        <v>37.419444444444444</v>
      </c>
      <c r="CD136" s="1">
        <f t="shared" si="67"/>
        <v>37.927777777777777</v>
      </c>
      <c r="CE136" s="1">
        <f t="shared" si="65"/>
        <v>38.43333333333333</v>
      </c>
      <c r="CF136" s="1">
        <f t="shared" si="65"/>
        <v>38.94166666666667</v>
      </c>
      <c r="CG136" s="1">
        <f t="shared" si="65"/>
        <v>39.447222222222223</v>
      </c>
      <c r="CH136" s="1">
        <f t="shared" si="65"/>
        <v>39.955555555555556</v>
      </c>
      <c r="CI136" s="1">
        <f t="shared" si="65"/>
        <v>40.461111111111109</v>
      </c>
      <c r="CJ136" s="1">
        <f t="shared" si="65"/>
        <v>40.969444444444441</v>
      </c>
      <c r="CK136" s="1">
        <f t="shared" si="65"/>
        <v>41.477777777777774</v>
      </c>
      <c r="CL136" s="1">
        <f t="shared" si="65"/>
        <v>41.986111111111114</v>
      </c>
      <c r="CM136" s="1">
        <f t="shared" si="65"/>
        <v>42.491666666666667</v>
      </c>
      <c r="CN136" s="1">
        <f t="shared" si="65"/>
        <v>43</v>
      </c>
      <c r="CO136" s="1">
        <f t="shared" si="65"/>
        <v>43.505555555555553</v>
      </c>
      <c r="CP136" s="1">
        <f t="shared" si="65"/>
        <v>44.013888888888886</v>
      </c>
      <c r="CQ136" s="1">
        <f t="shared" si="65"/>
        <v>44.519444444444446</v>
      </c>
      <c r="CR136" s="1">
        <f t="shared" si="65"/>
        <v>45.027777777777779</v>
      </c>
      <c r="CS136" s="1">
        <f t="shared" si="65"/>
        <v>45.536111111111111</v>
      </c>
      <c r="CT136" s="1">
        <f t="shared" si="65"/>
        <v>46.044444444444444</v>
      </c>
      <c r="CU136" s="1">
        <f t="shared" si="66"/>
        <v>46.55</v>
      </c>
      <c r="CV136" s="1">
        <f t="shared" si="66"/>
        <v>47.05833333333333</v>
      </c>
      <c r="CW136" s="1">
        <f t="shared" si="66"/>
        <v>47.56388888888889</v>
      </c>
      <c r="CX136" s="1">
        <f t="shared" si="66"/>
        <v>48.072222222222223</v>
      </c>
      <c r="CY136" s="1">
        <f t="shared" si="66"/>
        <v>48.577777777777776</v>
      </c>
      <c r="CZ136" s="1">
        <f t="shared" si="66"/>
        <v>49.086111111111109</v>
      </c>
      <c r="DA136" s="1">
        <f t="shared" si="66"/>
        <v>49.594444444444441</v>
      </c>
      <c r="DB136" s="1">
        <f t="shared" si="66"/>
        <v>50.102777777777774</v>
      </c>
      <c r="DC136" s="1">
        <f t="shared" si="66"/>
        <v>50.102777777777774</v>
      </c>
    </row>
    <row r="137" spans="1:107" x14ac:dyDescent="0.25">
      <c r="A137">
        <f t="shared" si="74"/>
        <v>5</v>
      </c>
      <c r="B137" s="2">
        <f>yields_BRUTE!B137</f>
        <v>42201</v>
      </c>
      <c r="C137" s="1">
        <f t="shared" si="75"/>
        <v>-0.38055555555555554</v>
      </c>
      <c r="D137" s="1">
        <f t="shared" si="75"/>
        <v>-0.34166666666666667</v>
      </c>
      <c r="E137" s="1">
        <f t="shared" si="75"/>
        <v>-0.125</v>
      </c>
      <c r="F137" s="1">
        <f t="shared" si="75"/>
        <v>0.13055555555555556</v>
      </c>
      <c r="G137" s="1">
        <f t="shared" si="75"/>
        <v>0.16944444444444445</v>
      </c>
      <c r="H137" s="1">
        <f t="shared" si="75"/>
        <v>0.38333333333333336</v>
      </c>
      <c r="I137" s="1">
        <f t="shared" si="75"/>
        <v>0.38333333333333336</v>
      </c>
      <c r="J137" s="1">
        <f t="shared" si="75"/>
        <v>0.63611111111111107</v>
      </c>
      <c r="K137" s="1">
        <f t="shared" si="75"/>
        <v>0.67500000000000004</v>
      </c>
      <c r="L137" s="1">
        <f t="shared" si="75"/>
        <v>0.89166666666666672</v>
      </c>
      <c r="M137" s="1">
        <f t="shared" si="75"/>
        <v>1.1472222222222221</v>
      </c>
      <c r="N137" s="1">
        <f t="shared" si="75"/>
        <v>1.1472222222222221</v>
      </c>
      <c r="O137" s="1">
        <f t="shared" si="75"/>
        <v>1.1861111111111111</v>
      </c>
      <c r="P137" s="1">
        <f t="shared" si="75"/>
        <v>1.4</v>
      </c>
      <c r="Q137" s="1">
        <f t="shared" si="75"/>
        <v>1.6888888888888889</v>
      </c>
      <c r="R137" s="1">
        <f t="shared" si="70"/>
        <v>1.9055555555555554</v>
      </c>
      <c r="S137" s="1">
        <f t="shared" si="70"/>
        <v>2.2000000000000002</v>
      </c>
      <c r="T137" s="1">
        <f t="shared" si="70"/>
        <v>2.4138888888888888</v>
      </c>
      <c r="U137" s="1">
        <f t="shared" si="70"/>
        <v>2.7027777777777779</v>
      </c>
      <c r="V137" s="1">
        <f t="shared" si="70"/>
        <v>2.9194444444444443</v>
      </c>
      <c r="W137" s="1">
        <f t="shared" si="70"/>
        <v>3.213888888888889</v>
      </c>
      <c r="X137" s="1">
        <f t="shared" si="70"/>
        <v>3.4277777777777776</v>
      </c>
      <c r="Y137" s="1">
        <f t="shared" si="70"/>
        <v>3.7166666666666668</v>
      </c>
      <c r="Z137" s="1">
        <f t="shared" si="70"/>
        <v>3.9333333333333331</v>
      </c>
      <c r="AA137" s="1">
        <f t="shared" si="70"/>
        <v>4.2277777777777779</v>
      </c>
      <c r="AB137" s="1">
        <f t="shared" si="70"/>
        <v>4.4416666666666664</v>
      </c>
      <c r="AC137" s="1">
        <f t="shared" si="70"/>
        <v>4.7333333333333334</v>
      </c>
      <c r="AD137" s="1">
        <f t="shared" si="70"/>
        <v>4.95</v>
      </c>
      <c r="AE137" s="1">
        <f t="shared" si="70"/>
        <v>4.95</v>
      </c>
      <c r="AF137" s="3">
        <f t="shared" si="70"/>
        <v>5.2444444444444445</v>
      </c>
      <c r="AG137" s="1">
        <f t="shared" si="70"/>
        <v>5.458333333333333</v>
      </c>
      <c r="AH137" s="1">
        <f t="shared" si="71"/>
        <v>5.7472222222222218</v>
      </c>
      <c r="AI137" s="1">
        <f t="shared" si="68"/>
        <v>5.7472222222222218</v>
      </c>
      <c r="AJ137" s="1">
        <f t="shared" si="68"/>
        <v>5.9638888888888886</v>
      </c>
      <c r="AK137" s="1">
        <f t="shared" si="68"/>
        <v>5.9638888888888886</v>
      </c>
      <c r="AL137" s="1">
        <f t="shared" si="68"/>
        <v>6.4722222222222223</v>
      </c>
      <c r="AM137" s="1">
        <f t="shared" si="68"/>
        <v>6.9777777777777779</v>
      </c>
      <c r="AN137" s="1">
        <f t="shared" si="68"/>
        <v>6.9777777777777779</v>
      </c>
      <c r="AO137" s="1">
        <f t="shared" si="68"/>
        <v>7.4861111111111107</v>
      </c>
      <c r="AP137" s="1">
        <f t="shared" si="68"/>
        <v>7.9916666666666663</v>
      </c>
      <c r="AQ137" s="1">
        <f t="shared" si="68"/>
        <v>7.9916666666666663</v>
      </c>
      <c r="AR137" s="1">
        <f t="shared" si="68"/>
        <v>8.5</v>
      </c>
      <c r="AS137" s="1">
        <f t="shared" si="68"/>
        <v>9.0083333333333329</v>
      </c>
      <c r="AT137" s="1">
        <f t="shared" si="68"/>
        <v>9.5166666666666675</v>
      </c>
      <c r="AU137" s="1">
        <f t="shared" si="68"/>
        <v>10.022222222222222</v>
      </c>
      <c r="AV137" s="1">
        <f t="shared" si="68"/>
        <v>10.022222222222222</v>
      </c>
      <c r="AW137" s="1">
        <f t="shared" si="68"/>
        <v>14.588888888888889</v>
      </c>
      <c r="AX137" s="1">
        <f t="shared" si="68"/>
        <v>15.094444444444445</v>
      </c>
      <c r="AY137" s="1">
        <f t="shared" si="72"/>
        <v>15.602777777777778</v>
      </c>
      <c r="AZ137" s="1">
        <f t="shared" si="72"/>
        <v>16.108333333333334</v>
      </c>
      <c r="BA137" s="1">
        <f t="shared" si="72"/>
        <v>16.616666666666667</v>
      </c>
      <c r="BB137" s="1">
        <f t="shared" si="72"/>
        <v>17.125</v>
      </c>
      <c r="BC137" s="1">
        <f t="shared" si="72"/>
        <v>17.633333333333333</v>
      </c>
      <c r="BD137" s="1">
        <f t="shared" si="72"/>
        <v>18.138888888888889</v>
      </c>
      <c r="BE137" s="1">
        <f t="shared" si="72"/>
        <v>18.138888888888889</v>
      </c>
      <c r="BF137" s="1">
        <f t="shared" si="72"/>
        <v>26.763888888888889</v>
      </c>
      <c r="BG137" s="1">
        <f t="shared" si="72"/>
        <v>27.269444444444446</v>
      </c>
      <c r="BH137" s="1">
        <f t="shared" si="72"/>
        <v>27.777777777777779</v>
      </c>
      <c r="BI137" s="1">
        <f t="shared" si="72"/>
        <v>28.283333333333335</v>
      </c>
      <c r="BJ137" s="1">
        <f t="shared" si="72"/>
        <v>28.791666666666668</v>
      </c>
      <c r="BK137" s="1">
        <f t="shared" si="72"/>
        <v>29.3</v>
      </c>
      <c r="BL137" s="1">
        <f t="shared" si="72"/>
        <v>29.808333333333334</v>
      </c>
      <c r="BM137" s="1">
        <f t="shared" si="69"/>
        <v>30.31388888888889</v>
      </c>
      <c r="BN137" s="1">
        <f t="shared" si="69"/>
        <v>30.822222222222223</v>
      </c>
      <c r="BO137" s="1">
        <f t="shared" si="69"/>
        <v>30.822222222222223</v>
      </c>
      <c r="BP137" s="1">
        <f t="shared" si="69"/>
        <v>31.327777777777779</v>
      </c>
      <c r="BQ137" s="1">
        <f t="shared" si="69"/>
        <v>31.836111111111112</v>
      </c>
      <c r="BR137" s="1">
        <f t="shared" si="69"/>
        <v>32.341666666666669</v>
      </c>
      <c r="BS137" s="1">
        <f t="shared" si="69"/>
        <v>32.85</v>
      </c>
      <c r="BT137" s="1">
        <f t="shared" si="69"/>
        <v>33.358333333333334</v>
      </c>
      <c r="BU137" s="1">
        <f t="shared" si="69"/>
        <v>33.866666666666667</v>
      </c>
      <c r="BV137" s="1">
        <f t="shared" si="69"/>
        <v>33.866666666666667</v>
      </c>
      <c r="BW137" s="1">
        <f t="shared" si="69"/>
        <v>34.37222222222222</v>
      </c>
      <c r="BX137" s="1">
        <f t="shared" si="69"/>
        <v>34.880555555555553</v>
      </c>
      <c r="BY137" s="1">
        <f t="shared" si="69"/>
        <v>35.386111111111113</v>
      </c>
      <c r="BZ137" s="1">
        <f t="shared" si="69"/>
        <v>35.894444444444446</v>
      </c>
      <c r="CA137" s="1">
        <f t="shared" si="69"/>
        <v>36.4</v>
      </c>
      <c r="CB137" s="1">
        <f t="shared" si="69"/>
        <v>36.908333333333331</v>
      </c>
      <c r="CC137" s="1">
        <f t="shared" si="73"/>
        <v>37.416666666666664</v>
      </c>
      <c r="CD137" s="1">
        <f t="shared" si="67"/>
        <v>37.924999999999997</v>
      </c>
      <c r="CE137" s="1">
        <f t="shared" si="65"/>
        <v>38.430555555555557</v>
      </c>
      <c r="CF137" s="1">
        <f t="shared" si="65"/>
        <v>38.93888888888889</v>
      </c>
      <c r="CG137" s="1">
        <f t="shared" si="65"/>
        <v>39.444444444444443</v>
      </c>
      <c r="CH137" s="1">
        <f t="shared" si="65"/>
        <v>39.952777777777776</v>
      </c>
      <c r="CI137" s="1">
        <f t="shared" si="65"/>
        <v>40.458333333333336</v>
      </c>
      <c r="CJ137" s="1">
        <f t="shared" si="65"/>
        <v>40.966666666666669</v>
      </c>
      <c r="CK137" s="1">
        <f t="shared" si="65"/>
        <v>41.475000000000001</v>
      </c>
      <c r="CL137" s="1">
        <f t="shared" si="65"/>
        <v>41.983333333333334</v>
      </c>
      <c r="CM137" s="1">
        <f t="shared" si="65"/>
        <v>42.488888888888887</v>
      </c>
      <c r="CN137" s="1">
        <f t="shared" si="65"/>
        <v>42.99722222222222</v>
      </c>
      <c r="CO137" s="1">
        <f t="shared" si="65"/>
        <v>43.50277777777778</v>
      </c>
      <c r="CP137" s="1">
        <f t="shared" si="65"/>
        <v>44.011111111111113</v>
      </c>
      <c r="CQ137" s="1">
        <f t="shared" si="65"/>
        <v>44.516666666666666</v>
      </c>
      <c r="CR137" s="1">
        <f t="shared" si="65"/>
        <v>45.024999999999999</v>
      </c>
      <c r="CS137" s="1">
        <f t="shared" si="65"/>
        <v>45.533333333333331</v>
      </c>
      <c r="CT137" s="1">
        <f t="shared" si="65"/>
        <v>46.041666666666664</v>
      </c>
      <c r="CU137" s="1">
        <f t="shared" si="66"/>
        <v>46.547222222222224</v>
      </c>
      <c r="CV137" s="1">
        <f t="shared" si="66"/>
        <v>47.055555555555557</v>
      </c>
      <c r="CW137" s="1">
        <f t="shared" si="66"/>
        <v>47.56111111111111</v>
      </c>
      <c r="CX137" s="1">
        <f t="shared" si="66"/>
        <v>48.069444444444443</v>
      </c>
      <c r="CY137" s="1">
        <f t="shared" si="66"/>
        <v>48.575000000000003</v>
      </c>
      <c r="CZ137" s="1">
        <f t="shared" si="66"/>
        <v>49.083333333333336</v>
      </c>
      <c r="DA137" s="1">
        <f t="shared" si="66"/>
        <v>49.591666666666669</v>
      </c>
      <c r="DB137" s="1">
        <f t="shared" si="66"/>
        <v>50.1</v>
      </c>
      <c r="DC137" s="1">
        <f t="shared" si="66"/>
        <v>50.1</v>
      </c>
    </row>
    <row r="138" spans="1:107" x14ac:dyDescent="0.25">
      <c r="A138">
        <f t="shared" si="74"/>
        <v>6</v>
      </c>
      <c r="B138" s="2">
        <f>yields_BRUTE!B138</f>
        <v>42202</v>
      </c>
      <c r="C138" s="1">
        <f t="shared" si="75"/>
        <v>-0.38333333333333336</v>
      </c>
      <c r="D138" s="1">
        <f t="shared" si="75"/>
        <v>-0.34444444444444444</v>
      </c>
      <c r="E138" s="1">
        <f t="shared" si="75"/>
        <v>-0.12777777777777777</v>
      </c>
      <c r="F138" s="1">
        <f t="shared" si="75"/>
        <v>0.12777777777777777</v>
      </c>
      <c r="G138" s="1">
        <f t="shared" si="75"/>
        <v>0.16666666666666666</v>
      </c>
      <c r="H138" s="1">
        <f t="shared" si="75"/>
        <v>0.38055555555555554</v>
      </c>
      <c r="I138" s="1">
        <f t="shared" si="75"/>
        <v>0.38055555555555554</v>
      </c>
      <c r="J138" s="1">
        <f t="shared" si="75"/>
        <v>0.6333333333333333</v>
      </c>
      <c r="K138" s="1">
        <f t="shared" si="75"/>
        <v>0.67222222222222228</v>
      </c>
      <c r="L138" s="1">
        <f t="shared" si="75"/>
        <v>0.88888888888888884</v>
      </c>
      <c r="M138" s="1">
        <f t="shared" si="75"/>
        <v>1.1444444444444444</v>
      </c>
      <c r="N138" s="1">
        <f t="shared" si="75"/>
        <v>1.1444444444444444</v>
      </c>
      <c r="O138" s="1">
        <f t="shared" si="75"/>
        <v>1.1833333333333333</v>
      </c>
      <c r="P138" s="1">
        <f t="shared" si="75"/>
        <v>1.3972222222222221</v>
      </c>
      <c r="Q138" s="1">
        <f t="shared" si="75"/>
        <v>1.6861111111111111</v>
      </c>
      <c r="R138" s="1">
        <f t="shared" si="70"/>
        <v>1.9027777777777777</v>
      </c>
      <c r="S138" s="1">
        <f t="shared" si="70"/>
        <v>2.1972222222222224</v>
      </c>
      <c r="T138" s="1">
        <f t="shared" si="70"/>
        <v>2.411111111111111</v>
      </c>
      <c r="U138" s="1">
        <f t="shared" si="70"/>
        <v>2.7</v>
      </c>
      <c r="V138" s="1">
        <f t="shared" si="70"/>
        <v>2.9166666666666665</v>
      </c>
      <c r="W138" s="1">
        <f t="shared" si="70"/>
        <v>3.2111111111111112</v>
      </c>
      <c r="X138" s="1">
        <f t="shared" si="70"/>
        <v>3.4249999999999998</v>
      </c>
      <c r="Y138" s="1">
        <f t="shared" si="70"/>
        <v>3.713888888888889</v>
      </c>
      <c r="Z138" s="1">
        <f t="shared" si="70"/>
        <v>3.9305555555555554</v>
      </c>
      <c r="AA138" s="1">
        <f t="shared" si="70"/>
        <v>4.2249999999999996</v>
      </c>
      <c r="AB138" s="1">
        <f t="shared" si="70"/>
        <v>4.4388888888888891</v>
      </c>
      <c r="AC138" s="1">
        <f t="shared" si="70"/>
        <v>4.7305555555555552</v>
      </c>
      <c r="AD138" s="1">
        <f t="shared" si="70"/>
        <v>4.947222222222222</v>
      </c>
      <c r="AE138" s="1">
        <f t="shared" si="70"/>
        <v>4.947222222222222</v>
      </c>
      <c r="AF138" s="3">
        <f t="shared" si="70"/>
        <v>5.2416666666666663</v>
      </c>
      <c r="AG138" s="1">
        <f t="shared" si="70"/>
        <v>5.4555555555555557</v>
      </c>
      <c r="AH138" s="1">
        <f t="shared" si="71"/>
        <v>5.7444444444444445</v>
      </c>
      <c r="AI138" s="1">
        <f t="shared" si="68"/>
        <v>5.7444444444444445</v>
      </c>
      <c r="AJ138" s="1">
        <f t="shared" si="68"/>
        <v>5.9611111111111112</v>
      </c>
      <c r="AK138" s="1">
        <f t="shared" si="68"/>
        <v>5.9611111111111112</v>
      </c>
      <c r="AL138" s="1">
        <f t="shared" si="68"/>
        <v>6.4694444444444441</v>
      </c>
      <c r="AM138" s="1">
        <f t="shared" si="68"/>
        <v>6.9749999999999996</v>
      </c>
      <c r="AN138" s="1">
        <f t="shared" si="68"/>
        <v>6.9749999999999996</v>
      </c>
      <c r="AO138" s="1">
        <f t="shared" si="68"/>
        <v>7.4833333333333334</v>
      </c>
      <c r="AP138" s="1">
        <f t="shared" si="68"/>
        <v>7.9888888888888889</v>
      </c>
      <c r="AQ138" s="1">
        <f t="shared" si="68"/>
        <v>7.9888888888888889</v>
      </c>
      <c r="AR138" s="1">
        <f t="shared" si="68"/>
        <v>8.4972222222222218</v>
      </c>
      <c r="AS138" s="1">
        <f t="shared" si="68"/>
        <v>9.0055555555555564</v>
      </c>
      <c r="AT138" s="1">
        <f t="shared" si="68"/>
        <v>9.5138888888888893</v>
      </c>
      <c r="AU138" s="1">
        <f t="shared" si="68"/>
        <v>10.019444444444444</v>
      </c>
      <c r="AV138" s="1">
        <f t="shared" si="68"/>
        <v>10.019444444444444</v>
      </c>
      <c r="AW138" s="1">
        <f t="shared" si="68"/>
        <v>14.58611111111111</v>
      </c>
      <c r="AX138" s="1">
        <f t="shared" si="68"/>
        <v>15.091666666666667</v>
      </c>
      <c r="AY138" s="1">
        <f t="shared" si="72"/>
        <v>15.6</v>
      </c>
      <c r="AZ138" s="1">
        <f t="shared" si="72"/>
        <v>16.105555555555554</v>
      </c>
      <c r="BA138" s="1">
        <f t="shared" si="72"/>
        <v>16.613888888888887</v>
      </c>
      <c r="BB138" s="1">
        <f t="shared" si="72"/>
        <v>17.122222222222224</v>
      </c>
      <c r="BC138" s="1">
        <f t="shared" si="72"/>
        <v>17.630555555555556</v>
      </c>
      <c r="BD138" s="1">
        <f t="shared" si="72"/>
        <v>18.136111111111113</v>
      </c>
      <c r="BE138" s="1">
        <f t="shared" si="72"/>
        <v>18.136111111111113</v>
      </c>
      <c r="BF138" s="1">
        <f t="shared" si="72"/>
        <v>26.761111111111113</v>
      </c>
      <c r="BG138" s="1">
        <f t="shared" si="72"/>
        <v>27.266666666666666</v>
      </c>
      <c r="BH138" s="1">
        <f t="shared" si="72"/>
        <v>27.774999999999999</v>
      </c>
      <c r="BI138" s="1">
        <f t="shared" si="72"/>
        <v>28.280555555555555</v>
      </c>
      <c r="BJ138" s="1">
        <f t="shared" si="72"/>
        <v>28.788888888888888</v>
      </c>
      <c r="BK138" s="1">
        <f t="shared" si="72"/>
        <v>29.297222222222221</v>
      </c>
      <c r="BL138" s="1">
        <f t="shared" si="72"/>
        <v>29.805555555555557</v>
      </c>
      <c r="BM138" s="1">
        <f t="shared" si="69"/>
        <v>30.31111111111111</v>
      </c>
      <c r="BN138" s="1">
        <f t="shared" si="69"/>
        <v>30.819444444444443</v>
      </c>
      <c r="BO138" s="1">
        <f t="shared" si="69"/>
        <v>30.819444444444443</v>
      </c>
      <c r="BP138" s="1">
        <f t="shared" si="69"/>
        <v>31.324999999999999</v>
      </c>
      <c r="BQ138" s="1">
        <f t="shared" si="69"/>
        <v>31.833333333333332</v>
      </c>
      <c r="BR138" s="1">
        <f t="shared" si="69"/>
        <v>32.338888888888889</v>
      </c>
      <c r="BS138" s="1">
        <f t="shared" si="69"/>
        <v>32.847222222222221</v>
      </c>
      <c r="BT138" s="1">
        <f t="shared" si="69"/>
        <v>33.355555555555554</v>
      </c>
      <c r="BU138" s="1">
        <f t="shared" si="69"/>
        <v>33.863888888888887</v>
      </c>
      <c r="BV138" s="1">
        <f t="shared" si="69"/>
        <v>33.863888888888887</v>
      </c>
      <c r="BW138" s="1">
        <f t="shared" si="69"/>
        <v>34.369444444444447</v>
      </c>
      <c r="BX138" s="1">
        <f t="shared" si="69"/>
        <v>34.87777777777778</v>
      </c>
      <c r="BY138" s="1">
        <f t="shared" si="69"/>
        <v>35.383333333333333</v>
      </c>
      <c r="BZ138" s="1">
        <f t="shared" si="69"/>
        <v>35.891666666666666</v>
      </c>
      <c r="CA138" s="1">
        <f t="shared" si="69"/>
        <v>36.397222222222226</v>
      </c>
      <c r="CB138" s="1">
        <f t="shared" si="69"/>
        <v>36.905555555555559</v>
      </c>
      <c r="CC138" s="1">
        <f t="shared" si="73"/>
        <v>37.413888888888891</v>
      </c>
      <c r="CD138" s="1">
        <f t="shared" si="67"/>
        <v>37.922222222222224</v>
      </c>
      <c r="CE138" s="1">
        <f t="shared" si="65"/>
        <v>38.427777777777777</v>
      </c>
      <c r="CF138" s="1">
        <f t="shared" si="65"/>
        <v>38.93611111111111</v>
      </c>
      <c r="CG138" s="1">
        <f t="shared" si="65"/>
        <v>39.44166666666667</v>
      </c>
      <c r="CH138" s="1">
        <f t="shared" si="65"/>
        <v>39.950000000000003</v>
      </c>
      <c r="CI138" s="1">
        <f t="shared" si="65"/>
        <v>40.455555555555556</v>
      </c>
      <c r="CJ138" s="1">
        <f t="shared" si="65"/>
        <v>40.963888888888889</v>
      </c>
      <c r="CK138" s="1">
        <f t="shared" si="65"/>
        <v>41.472222222222221</v>
      </c>
      <c r="CL138" s="1">
        <f t="shared" si="65"/>
        <v>41.980555555555554</v>
      </c>
      <c r="CM138" s="1">
        <f t="shared" si="65"/>
        <v>42.486111111111114</v>
      </c>
      <c r="CN138" s="1">
        <f t="shared" si="65"/>
        <v>42.994444444444447</v>
      </c>
      <c r="CO138" s="1">
        <f t="shared" si="65"/>
        <v>43.5</v>
      </c>
      <c r="CP138" s="1">
        <f t="shared" si="65"/>
        <v>44.008333333333333</v>
      </c>
      <c r="CQ138" s="1">
        <f t="shared" si="65"/>
        <v>44.513888888888886</v>
      </c>
      <c r="CR138" s="1">
        <f t="shared" si="65"/>
        <v>45.022222222222226</v>
      </c>
      <c r="CS138" s="1">
        <f t="shared" si="65"/>
        <v>45.530555555555559</v>
      </c>
      <c r="CT138" s="1">
        <f t="shared" si="65"/>
        <v>46.038888888888891</v>
      </c>
      <c r="CU138" s="1">
        <f t="shared" si="66"/>
        <v>46.544444444444444</v>
      </c>
      <c r="CV138" s="1">
        <f t="shared" si="66"/>
        <v>47.052777777777777</v>
      </c>
      <c r="CW138" s="1">
        <f t="shared" si="66"/>
        <v>47.55833333333333</v>
      </c>
      <c r="CX138" s="1">
        <f t="shared" si="66"/>
        <v>48.06666666666667</v>
      </c>
      <c r="CY138" s="1">
        <f t="shared" si="66"/>
        <v>48.572222222222223</v>
      </c>
      <c r="CZ138" s="1">
        <f t="shared" si="66"/>
        <v>49.080555555555556</v>
      </c>
      <c r="DA138" s="1">
        <f t="shared" si="66"/>
        <v>49.588888888888889</v>
      </c>
      <c r="DB138" s="1">
        <f t="shared" si="66"/>
        <v>50.097222222222221</v>
      </c>
      <c r="DC138" s="1">
        <f t="shared" si="66"/>
        <v>50.097222222222221</v>
      </c>
    </row>
    <row r="139" spans="1:107" x14ac:dyDescent="0.25">
      <c r="A139">
        <f t="shared" si="74"/>
        <v>2</v>
      </c>
      <c r="B139" s="2">
        <f>yields_BRUTE!B139</f>
        <v>42205</v>
      </c>
      <c r="C139" s="1">
        <f t="shared" si="75"/>
        <v>-0.39166666666666666</v>
      </c>
      <c r="D139" s="1">
        <f t="shared" si="75"/>
        <v>-0.3527777777777778</v>
      </c>
      <c r="E139" s="1">
        <f t="shared" si="75"/>
        <v>-0.1361111111111111</v>
      </c>
      <c r="F139" s="1">
        <f t="shared" si="75"/>
        <v>0.11944444444444445</v>
      </c>
      <c r="G139" s="1">
        <f t="shared" si="75"/>
        <v>0.15833333333333333</v>
      </c>
      <c r="H139" s="1">
        <f t="shared" si="75"/>
        <v>0.37222222222222223</v>
      </c>
      <c r="I139" s="1">
        <f t="shared" si="75"/>
        <v>0.37222222222222223</v>
      </c>
      <c r="J139" s="1">
        <f t="shared" si="75"/>
        <v>0.625</v>
      </c>
      <c r="K139" s="1">
        <f t="shared" si="75"/>
        <v>0.66388888888888886</v>
      </c>
      <c r="L139" s="1">
        <f t="shared" si="75"/>
        <v>0.88055555555555554</v>
      </c>
      <c r="M139" s="1">
        <f t="shared" si="75"/>
        <v>1.1361111111111111</v>
      </c>
      <c r="N139" s="1">
        <f t="shared" si="75"/>
        <v>1.1361111111111111</v>
      </c>
      <c r="O139" s="1">
        <f t="shared" si="75"/>
        <v>1.175</v>
      </c>
      <c r="P139" s="1">
        <f t="shared" si="75"/>
        <v>1.3888888888888888</v>
      </c>
      <c r="Q139" s="1">
        <f t="shared" si="75"/>
        <v>1.6777777777777778</v>
      </c>
      <c r="R139" s="1">
        <f t="shared" si="70"/>
        <v>1.8944444444444444</v>
      </c>
      <c r="S139" s="1">
        <f t="shared" si="70"/>
        <v>2.1888888888888891</v>
      </c>
      <c r="T139" s="1">
        <f t="shared" si="70"/>
        <v>2.4027777777777777</v>
      </c>
      <c r="U139" s="1">
        <f t="shared" si="70"/>
        <v>2.6916666666666669</v>
      </c>
      <c r="V139" s="1">
        <f t="shared" si="70"/>
        <v>2.9083333333333332</v>
      </c>
      <c r="W139" s="1">
        <f t="shared" si="70"/>
        <v>3.2027777777777779</v>
      </c>
      <c r="X139" s="1">
        <f t="shared" si="70"/>
        <v>3.4166666666666665</v>
      </c>
      <c r="Y139" s="1">
        <f t="shared" si="70"/>
        <v>3.7055555555555557</v>
      </c>
      <c r="Z139" s="1">
        <f t="shared" si="70"/>
        <v>3.9222222222222221</v>
      </c>
      <c r="AA139" s="1">
        <f t="shared" si="70"/>
        <v>4.2166666666666668</v>
      </c>
      <c r="AB139" s="1">
        <f t="shared" si="70"/>
        <v>4.4305555555555554</v>
      </c>
      <c r="AC139" s="1">
        <f t="shared" si="70"/>
        <v>4.7222222222222223</v>
      </c>
      <c r="AD139" s="1">
        <f t="shared" si="70"/>
        <v>4.9388888888888891</v>
      </c>
      <c r="AE139" s="1">
        <f t="shared" si="70"/>
        <v>4.9388888888888891</v>
      </c>
      <c r="AF139" s="3">
        <f t="shared" si="70"/>
        <v>5.2333333333333334</v>
      </c>
      <c r="AG139" s="1">
        <f t="shared" si="70"/>
        <v>5.447222222222222</v>
      </c>
      <c r="AH139" s="1">
        <f t="shared" si="71"/>
        <v>5.7361111111111107</v>
      </c>
      <c r="AI139" s="1">
        <f t="shared" si="68"/>
        <v>5.7361111111111107</v>
      </c>
      <c r="AJ139" s="1">
        <f t="shared" si="68"/>
        <v>5.9527777777777775</v>
      </c>
      <c r="AK139" s="1">
        <f t="shared" si="68"/>
        <v>5.9527777777777775</v>
      </c>
      <c r="AL139" s="1">
        <f t="shared" si="68"/>
        <v>6.4611111111111112</v>
      </c>
      <c r="AM139" s="1">
        <f t="shared" si="68"/>
        <v>6.9666666666666668</v>
      </c>
      <c r="AN139" s="1">
        <f t="shared" si="68"/>
        <v>6.9666666666666668</v>
      </c>
      <c r="AO139" s="1">
        <f t="shared" si="68"/>
        <v>7.4749999999999996</v>
      </c>
      <c r="AP139" s="1">
        <f t="shared" si="68"/>
        <v>7.9805555555555552</v>
      </c>
      <c r="AQ139" s="1">
        <f t="shared" si="68"/>
        <v>7.9805555555555552</v>
      </c>
      <c r="AR139" s="1">
        <f t="shared" si="68"/>
        <v>8.4888888888888889</v>
      </c>
      <c r="AS139" s="1">
        <f t="shared" si="68"/>
        <v>8.9972222222222218</v>
      </c>
      <c r="AT139" s="1">
        <f t="shared" si="68"/>
        <v>9.5055555555555564</v>
      </c>
      <c r="AU139" s="1">
        <f t="shared" si="68"/>
        <v>10.011111111111111</v>
      </c>
      <c r="AV139" s="1">
        <f t="shared" si="68"/>
        <v>10.011111111111111</v>
      </c>
      <c r="AW139" s="1">
        <f t="shared" si="68"/>
        <v>14.577777777777778</v>
      </c>
      <c r="AX139" s="1">
        <f t="shared" si="68"/>
        <v>15.083333333333334</v>
      </c>
      <c r="AY139" s="1">
        <f t="shared" si="72"/>
        <v>15.591666666666667</v>
      </c>
      <c r="AZ139" s="1">
        <f t="shared" si="72"/>
        <v>16.097222222222221</v>
      </c>
      <c r="BA139" s="1">
        <f t="shared" si="72"/>
        <v>16.605555555555554</v>
      </c>
      <c r="BB139" s="1">
        <f t="shared" si="72"/>
        <v>17.113888888888887</v>
      </c>
      <c r="BC139" s="1">
        <f t="shared" si="72"/>
        <v>17.622222222222224</v>
      </c>
      <c r="BD139" s="1">
        <f t="shared" si="72"/>
        <v>18.127777777777776</v>
      </c>
      <c r="BE139" s="1">
        <f t="shared" si="72"/>
        <v>18.127777777777776</v>
      </c>
      <c r="BF139" s="1">
        <f t="shared" si="72"/>
        <v>26.752777777777776</v>
      </c>
      <c r="BG139" s="1">
        <f t="shared" si="72"/>
        <v>27.258333333333333</v>
      </c>
      <c r="BH139" s="1">
        <f t="shared" si="72"/>
        <v>27.766666666666666</v>
      </c>
      <c r="BI139" s="1">
        <f t="shared" si="72"/>
        <v>28.272222222222222</v>
      </c>
      <c r="BJ139" s="1">
        <f t="shared" si="72"/>
        <v>28.780555555555555</v>
      </c>
      <c r="BK139" s="1">
        <f t="shared" si="72"/>
        <v>29.288888888888888</v>
      </c>
      <c r="BL139" s="1">
        <f t="shared" si="72"/>
        <v>29.797222222222221</v>
      </c>
      <c r="BM139" s="1">
        <f t="shared" si="69"/>
        <v>30.302777777777777</v>
      </c>
      <c r="BN139" s="1">
        <f t="shared" si="69"/>
        <v>30.81111111111111</v>
      </c>
      <c r="BO139" s="1">
        <f t="shared" si="69"/>
        <v>30.81111111111111</v>
      </c>
      <c r="BP139" s="1">
        <f t="shared" si="69"/>
        <v>31.316666666666666</v>
      </c>
      <c r="BQ139" s="1">
        <f t="shared" si="69"/>
        <v>31.824999999999999</v>
      </c>
      <c r="BR139" s="1">
        <f t="shared" si="69"/>
        <v>32.330555555555556</v>
      </c>
      <c r="BS139" s="1">
        <f t="shared" si="69"/>
        <v>32.838888888888889</v>
      </c>
      <c r="BT139" s="1">
        <f t="shared" si="69"/>
        <v>33.347222222222221</v>
      </c>
      <c r="BU139" s="1">
        <f t="shared" si="69"/>
        <v>33.855555555555554</v>
      </c>
      <c r="BV139" s="1">
        <f t="shared" si="69"/>
        <v>33.855555555555554</v>
      </c>
      <c r="BW139" s="1">
        <f t="shared" si="69"/>
        <v>34.361111111111114</v>
      </c>
      <c r="BX139" s="1">
        <f t="shared" si="69"/>
        <v>34.869444444444447</v>
      </c>
      <c r="BY139" s="1">
        <f t="shared" si="69"/>
        <v>35.375</v>
      </c>
      <c r="BZ139" s="1">
        <f t="shared" si="69"/>
        <v>35.883333333333333</v>
      </c>
      <c r="CA139" s="1">
        <f t="shared" si="69"/>
        <v>36.388888888888886</v>
      </c>
      <c r="CB139" s="1">
        <f t="shared" si="69"/>
        <v>36.897222222222226</v>
      </c>
      <c r="CC139" s="1">
        <f t="shared" si="73"/>
        <v>37.405555555555559</v>
      </c>
      <c r="CD139" s="1">
        <f t="shared" si="67"/>
        <v>37.913888888888891</v>
      </c>
      <c r="CE139" s="1">
        <f t="shared" si="65"/>
        <v>38.419444444444444</v>
      </c>
      <c r="CF139" s="1">
        <f t="shared" si="65"/>
        <v>38.927777777777777</v>
      </c>
      <c r="CG139" s="1">
        <f t="shared" si="65"/>
        <v>39.43333333333333</v>
      </c>
      <c r="CH139" s="1">
        <f t="shared" si="65"/>
        <v>39.94166666666667</v>
      </c>
      <c r="CI139" s="1">
        <f t="shared" si="65"/>
        <v>40.447222222222223</v>
      </c>
      <c r="CJ139" s="1">
        <f t="shared" si="65"/>
        <v>40.955555555555556</v>
      </c>
      <c r="CK139" s="1">
        <f t="shared" si="65"/>
        <v>41.463888888888889</v>
      </c>
      <c r="CL139" s="1">
        <f t="shared" si="65"/>
        <v>41.972222222222221</v>
      </c>
      <c r="CM139" s="1">
        <f t="shared" si="65"/>
        <v>42.477777777777774</v>
      </c>
      <c r="CN139" s="1">
        <f t="shared" si="65"/>
        <v>42.986111111111114</v>
      </c>
      <c r="CO139" s="1">
        <f t="shared" si="65"/>
        <v>43.491666666666667</v>
      </c>
      <c r="CP139" s="1">
        <f t="shared" si="65"/>
        <v>44</v>
      </c>
      <c r="CQ139" s="1">
        <f t="shared" si="65"/>
        <v>44.505555555555553</v>
      </c>
      <c r="CR139" s="1">
        <f t="shared" si="65"/>
        <v>45.013888888888886</v>
      </c>
      <c r="CS139" s="1">
        <f t="shared" si="65"/>
        <v>45.522222222222226</v>
      </c>
      <c r="CT139" s="1">
        <f t="shared" si="65"/>
        <v>46.030555555555559</v>
      </c>
      <c r="CU139" s="1">
        <f t="shared" si="66"/>
        <v>46.536111111111111</v>
      </c>
      <c r="CV139" s="1">
        <f t="shared" si="66"/>
        <v>47.044444444444444</v>
      </c>
      <c r="CW139" s="1">
        <f t="shared" si="66"/>
        <v>47.55</v>
      </c>
      <c r="CX139" s="1">
        <f t="shared" si="66"/>
        <v>48.05833333333333</v>
      </c>
      <c r="CY139" s="1">
        <f t="shared" si="66"/>
        <v>48.56388888888889</v>
      </c>
      <c r="CZ139" s="1">
        <f t="shared" si="66"/>
        <v>49.072222222222223</v>
      </c>
      <c r="DA139" s="1">
        <f t="shared" si="66"/>
        <v>49.580555555555556</v>
      </c>
      <c r="DB139" s="1">
        <f t="shared" si="66"/>
        <v>50.088888888888889</v>
      </c>
      <c r="DC139" s="1">
        <f t="shared" si="66"/>
        <v>50.088888888888889</v>
      </c>
    </row>
    <row r="140" spans="1:107" x14ac:dyDescent="0.25">
      <c r="A140">
        <f t="shared" si="74"/>
        <v>3</v>
      </c>
      <c r="B140" s="2">
        <f>yields_BRUTE!B140</f>
        <v>42206</v>
      </c>
      <c r="C140" s="1">
        <f t="shared" si="75"/>
        <v>-0.39444444444444443</v>
      </c>
      <c r="D140" s="1">
        <f t="shared" si="75"/>
        <v>-0.35555555555555557</v>
      </c>
      <c r="E140" s="1">
        <f t="shared" si="75"/>
        <v>-0.1388888888888889</v>
      </c>
      <c r="F140" s="1">
        <f t="shared" si="75"/>
        <v>0.11666666666666667</v>
      </c>
      <c r="G140" s="1">
        <f t="shared" si="75"/>
        <v>0.15555555555555556</v>
      </c>
      <c r="H140" s="1">
        <f t="shared" si="75"/>
        <v>0.36944444444444446</v>
      </c>
      <c r="I140" s="1">
        <f t="shared" si="75"/>
        <v>0.36944444444444446</v>
      </c>
      <c r="J140" s="1">
        <f t="shared" si="75"/>
        <v>0.62222222222222223</v>
      </c>
      <c r="K140" s="1">
        <f t="shared" si="75"/>
        <v>0.66111111111111109</v>
      </c>
      <c r="L140" s="1">
        <f t="shared" si="75"/>
        <v>0.87777777777777777</v>
      </c>
      <c r="M140" s="1">
        <f t="shared" si="75"/>
        <v>1.1333333333333333</v>
      </c>
      <c r="N140" s="1">
        <f t="shared" si="75"/>
        <v>1.1333333333333333</v>
      </c>
      <c r="O140" s="1">
        <f t="shared" si="75"/>
        <v>1.1722222222222223</v>
      </c>
      <c r="P140" s="1">
        <f t="shared" si="75"/>
        <v>1.3861111111111111</v>
      </c>
      <c r="Q140" s="1">
        <f t="shared" si="75"/>
        <v>1.675</v>
      </c>
      <c r="R140" s="1">
        <f t="shared" si="70"/>
        <v>1.8916666666666666</v>
      </c>
      <c r="S140" s="1">
        <f t="shared" si="70"/>
        <v>2.1861111111111109</v>
      </c>
      <c r="T140" s="1">
        <f t="shared" si="70"/>
        <v>2.4</v>
      </c>
      <c r="U140" s="1">
        <f t="shared" si="70"/>
        <v>2.6888888888888891</v>
      </c>
      <c r="V140" s="1">
        <f t="shared" si="70"/>
        <v>2.9055555555555554</v>
      </c>
      <c r="W140" s="1">
        <f t="shared" si="70"/>
        <v>3.2</v>
      </c>
      <c r="X140" s="1">
        <f t="shared" si="70"/>
        <v>3.4138888888888888</v>
      </c>
      <c r="Y140" s="1">
        <f t="shared" si="70"/>
        <v>3.7027777777777779</v>
      </c>
      <c r="Z140" s="1">
        <f t="shared" si="70"/>
        <v>3.9194444444444443</v>
      </c>
      <c r="AA140" s="1">
        <f t="shared" si="70"/>
        <v>4.2138888888888886</v>
      </c>
      <c r="AB140" s="1">
        <f t="shared" si="70"/>
        <v>4.427777777777778</v>
      </c>
      <c r="AC140" s="1">
        <f t="shared" si="70"/>
        <v>4.7194444444444441</v>
      </c>
      <c r="AD140" s="1">
        <f t="shared" si="70"/>
        <v>4.9361111111111109</v>
      </c>
      <c r="AE140" s="1">
        <f t="shared" si="70"/>
        <v>4.9361111111111109</v>
      </c>
      <c r="AF140" s="3">
        <f t="shared" si="70"/>
        <v>5.2305555555555552</v>
      </c>
      <c r="AG140" s="1">
        <f t="shared" si="70"/>
        <v>5.4444444444444446</v>
      </c>
      <c r="AH140" s="1">
        <f t="shared" si="71"/>
        <v>5.7333333333333334</v>
      </c>
      <c r="AI140" s="1">
        <f t="shared" si="68"/>
        <v>5.7333333333333334</v>
      </c>
      <c r="AJ140" s="1">
        <f t="shared" si="68"/>
        <v>5.95</v>
      </c>
      <c r="AK140" s="1">
        <f t="shared" si="68"/>
        <v>5.95</v>
      </c>
      <c r="AL140" s="1">
        <f t="shared" si="68"/>
        <v>6.458333333333333</v>
      </c>
      <c r="AM140" s="1">
        <f t="shared" si="68"/>
        <v>6.9638888888888886</v>
      </c>
      <c r="AN140" s="1">
        <f t="shared" si="68"/>
        <v>6.9638888888888886</v>
      </c>
      <c r="AO140" s="1">
        <f t="shared" si="68"/>
        <v>7.4722222222222223</v>
      </c>
      <c r="AP140" s="1">
        <f t="shared" si="68"/>
        <v>7.9777777777777779</v>
      </c>
      <c r="AQ140" s="1">
        <f t="shared" si="68"/>
        <v>7.9777777777777779</v>
      </c>
      <c r="AR140" s="1">
        <f t="shared" si="68"/>
        <v>8.4861111111111107</v>
      </c>
      <c r="AS140" s="1">
        <f t="shared" si="68"/>
        <v>8.9944444444444436</v>
      </c>
      <c r="AT140" s="1">
        <f t="shared" si="68"/>
        <v>9.5027777777777782</v>
      </c>
      <c r="AU140" s="1">
        <f t="shared" si="68"/>
        <v>10.008333333333333</v>
      </c>
      <c r="AV140" s="1">
        <f t="shared" si="68"/>
        <v>10.008333333333333</v>
      </c>
      <c r="AW140" s="1">
        <f t="shared" si="68"/>
        <v>14.574999999999999</v>
      </c>
      <c r="AX140" s="1">
        <f t="shared" si="68"/>
        <v>15.080555555555556</v>
      </c>
      <c r="AY140" s="1">
        <f t="shared" si="72"/>
        <v>15.588888888888889</v>
      </c>
      <c r="AZ140" s="1">
        <f t="shared" si="72"/>
        <v>16.094444444444445</v>
      </c>
      <c r="BA140" s="1">
        <f t="shared" si="72"/>
        <v>16.602777777777778</v>
      </c>
      <c r="BB140" s="1">
        <f t="shared" si="72"/>
        <v>17.111111111111111</v>
      </c>
      <c r="BC140" s="1">
        <f t="shared" si="72"/>
        <v>17.619444444444444</v>
      </c>
      <c r="BD140" s="1">
        <f t="shared" si="72"/>
        <v>18.125</v>
      </c>
      <c r="BE140" s="1">
        <f t="shared" si="72"/>
        <v>18.125</v>
      </c>
      <c r="BF140" s="1">
        <f t="shared" si="72"/>
        <v>26.75</v>
      </c>
      <c r="BG140" s="1">
        <f t="shared" si="72"/>
        <v>27.255555555555556</v>
      </c>
      <c r="BH140" s="1">
        <f t="shared" si="72"/>
        <v>27.763888888888889</v>
      </c>
      <c r="BI140" s="1">
        <f t="shared" si="72"/>
        <v>28.269444444444446</v>
      </c>
      <c r="BJ140" s="1">
        <f t="shared" si="72"/>
        <v>28.777777777777779</v>
      </c>
      <c r="BK140" s="1">
        <f t="shared" si="72"/>
        <v>29.286111111111111</v>
      </c>
      <c r="BL140" s="1">
        <f t="shared" si="72"/>
        <v>29.794444444444444</v>
      </c>
      <c r="BM140" s="1">
        <f t="shared" si="69"/>
        <v>30.3</v>
      </c>
      <c r="BN140" s="1">
        <f t="shared" si="69"/>
        <v>30.808333333333334</v>
      </c>
      <c r="BO140" s="1">
        <f t="shared" si="69"/>
        <v>30.808333333333334</v>
      </c>
      <c r="BP140" s="1">
        <f t="shared" si="69"/>
        <v>31.31388888888889</v>
      </c>
      <c r="BQ140" s="1">
        <f t="shared" si="69"/>
        <v>31.822222222222223</v>
      </c>
      <c r="BR140" s="1">
        <f t="shared" si="69"/>
        <v>32.327777777777776</v>
      </c>
      <c r="BS140" s="1">
        <f t="shared" si="69"/>
        <v>32.836111111111109</v>
      </c>
      <c r="BT140" s="1">
        <f t="shared" si="69"/>
        <v>33.344444444444441</v>
      </c>
      <c r="BU140" s="1">
        <f t="shared" si="69"/>
        <v>33.852777777777774</v>
      </c>
      <c r="BV140" s="1">
        <f t="shared" si="69"/>
        <v>33.852777777777774</v>
      </c>
      <c r="BW140" s="1">
        <f t="shared" si="69"/>
        <v>34.358333333333334</v>
      </c>
      <c r="BX140" s="1">
        <f t="shared" si="69"/>
        <v>34.866666666666667</v>
      </c>
      <c r="BY140" s="1">
        <f t="shared" si="69"/>
        <v>35.37222222222222</v>
      </c>
      <c r="BZ140" s="1">
        <f t="shared" si="69"/>
        <v>35.880555555555553</v>
      </c>
      <c r="CA140" s="1">
        <f t="shared" si="69"/>
        <v>36.386111111111113</v>
      </c>
      <c r="CB140" s="1">
        <f t="shared" si="69"/>
        <v>36.894444444444446</v>
      </c>
      <c r="CC140" s="1">
        <f t="shared" si="73"/>
        <v>37.402777777777779</v>
      </c>
      <c r="CD140" s="1">
        <f t="shared" si="67"/>
        <v>37.911111111111111</v>
      </c>
      <c r="CE140" s="1">
        <f t="shared" si="65"/>
        <v>38.416666666666664</v>
      </c>
      <c r="CF140" s="1">
        <f t="shared" si="65"/>
        <v>38.924999999999997</v>
      </c>
      <c r="CG140" s="1">
        <f t="shared" si="65"/>
        <v>39.430555555555557</v>
      </c>
      <c r="CH140" s="1">
        <f t="shared" si="65"/>
        <v>39.93888888888889</v>
      </c>
      <c r="CI140" s="1">
        <f t="shared" si="65"/>
        <v>40.444444444444443</v>
      </c>
      <c r="CJ140" s="1">
        <f t="shared" si="65"/>
        <v>40.952777777777776</v>
      </c>
      <c r="CK140" s="1">
        <f t="shared" si="65"/>
        <v>41.461111111111109</v>
      </c>
      <c r="CL140" s="1">
        <f t="shared" si="65"/>
        <v>41.969444444444441</v>
      </c>
      <c r="CM140" s="1">
        <f t="shared" si="65"/>
        <v>42.475000000000001</v>
      </c>
      <c r="CN140" s="1">
        <f t="shared" si="65"/>
        <v>42.983333333333334</v>
      </c>
      <c r="CO140" s="1">
        <f t="shared" si="65"/>
        <v>43.488888888888887</v>
      </c>
      <c r="CP140" s="1">
        <f t="shared" si="65"/>
        <v>43.99722222222222</v>
      </c>
      <c r="CQ140" s="1">
        <f t="shared" si="65"/>
        <v>44.50277777777778</v>
      </c>
      <c r="CR140" s="1">
        <f t="shared" si="65"/>
        <v>45.011111111111113</v>
      </c>
      <c r="CS140" s="1">
        <f t="shared" si="65"/>
        <v>45.519444444444446</v>
      </c>
      <c r="CT140" s="1">
        <f t="shared" si="65"/>
        <v>46.027777777777779</v>
      </c>
      <c r="CU140" s="1">
        <f t="shared" si="66"/>
        <v>46.533333333333331</v>
      </c>
      <c r="CV140" s="1">
        <f t="shared" si="66"/>
        <v>47.041666666666664</v>
      </c>
      <c r="CW140" s="1">
        <f t="shared" si="66"/>
        <v>47.547222222222224</v>
      </c>
      <c r="CX140" s="1">
        <f t="shared" si="66"/>
        <v>48.055555555555557</v>
      </c>
      <c r="CY140" s="1">
        <f t="shared" si="66"/>
        <v>48.56111111111111</v>
      </c>
      <c r="CZ140" s="1">
        <f t="shared" si="66"/>
        <v>49.069444444444443</v>
      </c>
      <c r="DA140" s="1">
        <f t="shared" si="66"/>
        <v>49.577777777777776</v>
      </c>
      <c r="DB140" s="1">
        <f t="shared" si="66"/>
        <v>50.086111111111109</v>
      </c>
      <c r="DC140" s="1">
        <f t="shared" si="66"/>
        <v>50.086111111111109</v>
      </c>
    </row>
    <row r="141" spans="1:107" x14ac:dyDescent="0.25">
      <c r="A141">
        <f t="shared" si="74"/>
        <v>4</v>
      </c>
      <c r="B141" s="2">
        <f>yields_BRUTE!B141</f>
        <v>42207</v>
      </c>
      <c r="C141" s="1">
        <f t="shared" si="75"/>
        <v>-0.3972222222222222</v>
      </c>
      <c r="D141" s="1">
        <f t="shared" si="75"/>
        <v>-0.35833333333333334</v>
      </c>
      <c r="E141" s="1">
        <f t="shared" si="75"/>
        <v>-0.14166666666666666</v>
      </c>
      <c r="F141" s="1">
        <f t="shared" si="75"/>
        <v>0.11388888888888889</v>
      </c>
      <c r="G141" s="1">
        <f t="shared" si="75"/>
        <v>0.15277777777777779</v>
      </c>
      <c r="H141" s="1">
        <f t="shared" si="75"/>
        <v>0.36666666666666664</v>
      </c>
      <c r="I141" s="1">
        <f t="shared" si="75"/>
        <v>0.36666666666666664</v>
      </c>
      <c r="J141" s="1">
        <f t="shared" si="75"/>
        <v>0.61944444444444446</v>
      </c>
      <c r="K141" s="1">
        <f t="shared" si="75"/>
        <v>0.65833333333333333</v>
      </c>
      <c r="L141" s="1">
        <f t="shared" si="75"/>
        <v>0.875</v>
      </c>
      <c r="M141" s="1">
        <f t="shared" si="75"/>
        <v>1.1305555555555555</v>
      </c>
      <c r="N141" s="1">
        <f t="shared" si="75"/>
        <v>1.1305555555555555</v>
      </c>
      <c r="O141" s="1">
        <f t="shared" si="75"/>
        <v>1.1694444444444445</v>
      </c>
      <c r="P141" s="1">
        <f t="shared" si="75"/>
        <v>1.3833333333333333</v>
      </c>
      <c r="Q141" s="1">
        <f t="shared" si="75"/>
        <v>1.6722222222222223</v>
      </c>
      <c r="R141" s="1">
        <f t="shared" si="70"/>
        <v>1.8888888888888888</v>
      </c>
      <c r="S141" s="1">
        <f t="shared" si="70"/>
        <v>2.1833333333333331</v>
      </c>
      <c r="T141" s="1">
        <f t="shared" si="70"/>
        <v>2.3972222222222221</v>
      </c>
      <c r="U141" s="1">
        <f t="shared" si="70"/>
        <v>2.6861111111111109</v>
      </c>
      <c r="V141" s="1">
        <f t="shared" si="70"/>
        <v>2.9027777777777777</v>
      </c>
      <c r="W141" s="1">
        <f t="shared" si="70"/>
        <v>3.1972222222222224</v>
      </c>
      <c r="X141" s="1">
        <f t="shared" si="70"/>
        <v>3.411111111111111</v>
      </c>
      <c r="Y141" s="1">
        <f t="shared" si="70"/>
        <v>3.7</v>
      </c>
      <c r="Z141" s="1">
        <f t="shared" si="70"/>
        <v>3.9166666666666665</v>
      </c>
      <c r="AA141" s="1">
        <f t="shared" si="70"/>
        <v>4.2111111111111112</v>
      </c>
      <c r="AB141" s="1">
        <f t="shared" si="70"/>
        <v>4.4249999999999998</v>
      </c>
      <c r="AC141" s="1">
        <f t="shared" si="70"/>
        <v>4.7166666666666668</v>
      </c>
      <c r="AD141" s="1">
        <f t="shared" si="70"/>
        <v>4.9333333333333336</v>
      </c>
      <c r="AE141" s="1">
        <f t="shared" si="70"/>
        <v>4.9333333333333336</v>
      </c>
      <c r="AF141" s="3">
        <f t="shared" si="70"/>
        <v>5.2277777777777779</v>
      </c>
      <c r="AG141" s="1">
        <f t="shared" si="70"/>
        <v>5.4416666666666664</v>
      </c>
      <c r="AH141" s="1">
        <f t="shared" si="71"/>
        <v>5.7305555555555552</v>
      </c>
      <c r="AI141" s="1">
        <f t="shared" si="68"/>
        <v>5.7305555555555552</v>
      </c>
      <c r="AJ141" s="1">
        <f t="shared" si="68"/>
        <v>5.947222222222222</v>
      </c>
      <c r="AK141" s="1">
        <f t="shared" si="68"/>
        <v>5.947222222222222</v>
      </c>
      <c r="AL141" s="1">
        <f t="shared" si="68"/>
        <v>6.4555555555555557</v>
      </c>
      <c r="AM141" s="1">
        <f t="shared" si="68"/>
        <v>6.9611111111111112</v>
      </c>
      <c r="AN141" s="1">
        <f t="shared" si="68"/>
        <v>6.9611111111111112</v>
      </c>
      <c r="AO141" s="1">
        <f t="shared" si="68"/>
        <v>7.4694444444444441</v>
      </c>
      <c r="AP141" s="1">
        <f t="shared" si="68"/>
        <v>7.9749999999999996</v>
      </c>
      <c r="AQ141" s="1">
        <f t="shared" si="68"/>
        <v>7.9749999999999996</v>
      </c>
      <c r="AR141" s="1">
        <f t="shared" si="68"/>
        <v>8.4833333333333325</v>
      </c>
      <c r="AS141" s="1">
        <f t="shared" si="68"/>
        <v>8.9916666666666671</v>
      </c>
      <c r="AT141" s="1">
        <f t="shared" si="68"/>
        <v>9.5</v>
      </c>
      <c r="AU141" s="1">
        <f t="shared" si="68"/>
        <v>10.005555555555556</v>
      </c>
      <c r="AV141" s="1">
        <f t="shared" si="68"/>
        <v>10.005555555555556</v>
      </c>
      <c r="AW141" s="1">
        <f t="shared" si="68"/>
        <v>14.572222222222223</v>
      </c>
      <c r="AX141" s="1">
        <f t="shared" si="68"/>
        <v>15.077777777777778</v>
      </c>
      <c r="AY141" s="1">
        <f t="shared" si="72"/>
        <v>15.58611111111111</v>
      </c>
      <c r="AZ141" s="1">
        <f t="shared" si="72"/>
        <v>16.091666666666665</v>
      </c>
      <c r="BA141" s="1">
        <f t="shared" si="72"/>
        <v>16.600000000000001</v>
      </c>
      <c r="BB141" s="1">
        <f t="shared" si="72"/>
        <v>17.108333333333334</v>
      </c>
      <c r="BC141" s="1">
        <f t="shared" si="72"/>
        <v>17.616666666666667</v>
      </c>
      <c r="BD141" s="1">
        <f t="shared" si="72"/>
        <v>18.122222222222224</v>
      </c>
      <c r="BE141" s="1">
        <f t="shared" si="72"/>
        <v>18.122222222222224</v>
      </c>
      <c r="BF141" s="1">
        <f t="shared" si="72"/>
        <v>26.747222222222224</v>
      </c>
      <c r="BG141" s="1">
        <f t="shared" si="72"/>
        <v>27.252777777777776</v>
      </c>
      <c r="BH141" s="1">
        <f t="shared" si="72"/>
        <v>27.761111111111113</v>
      </c>
      <c r="BI141" s="1">
        <f t="shared" si="72"/>
        <v>28.266666666666666</v>
      </c>
      <c r="BJ141" s="1">
        <f t="shared" si="72"/>
        <v>28.774999999999999</v>
      </c>
      <c r="BK141" s="1">
        <f t="shared" si="72"/>
        <v>29.283333333333335</v>
      </c>
      <c r="BL141" s="1">
        <f t="shared" si="72"/>
        <v>29.791666666666668</v>
      </c>
      <c r="BM141" s="1">
        <f t="shared" si="69"/>
        <v>30.297222222222221</v>
      </c>
      <c r="BN141" s="1">
        <f t="shared" si="69"/>
        <v>30.805555555555557</v>
      </c>
      <c r="BO141" s="1">
        <f t="shared" si="69"/>
        <v>30.805555555555557</v>
      </c>
      <c r="BP141" s="1">
        <f t="shared" si="69"/>
        <v>31.31111111111111</v>
      </c>
      <c r="BQ141" s="1">
        <f t="shared" si="69"/>
        <v>31.819444444444443</v>
      </c>
      <c r="BR141" s="1">
        <f t="shared" si="69"/>
        <v>32.325000000000003</v>
      </c>
      <c r="BS141" s="1">
        <f t="shared" si="69"/>
        <v>32.833333333333336</v>
      </c>
      <c r="BT141" s="1">
        <f t="shared" si="69"/>
        <v>33.341666666666669</v>
      </c>
      <c r="BU141" s="1">
        <f t="shared" si="69"/>
        <v>33.85</v>
      </c>
      <c r="BV141" s="1">
        <f t="shared" si="69"/>
        <v>33.85</v>
      </c>
      <c r="BW141" s="1">
        <f t="shared" si="69"/>
        <v>34.355555555555554</v>
      </c>
      <c r="BX141" s="1">
        <f t="shared" si="69"/>
        <v>34.863888888888887</v>
      </c>
      <c r="BY141" s="1">
        <f t="shared" si="69"/>
        <v>35.369444444444447</v>
      </c>
      <c r="BZ141" s="1">
        <f t="shared" si="69"/>
        <v>35.87777777777778</v>
      </c>
      <c r="CA141" s="1">
        <f t="shared" si="69"/>
        <v>36.383333333333333</v>
      </c>
      <c r="CB141" s="1">
        <f t="shared" si="69"/>
        <v>36.891666666666666</v>
      </c>
      <c r="CC141" s="1">
        <f t="shared" si="73"/>
        <v>37.4</v>
      </c>
      <c r="CD141" s="1">
        <f t="shared" si="67"/>
        <v>37.908333333333331</v>
      </c>
      <c r="CE141" s="1">
        <f t="shared" si="65"/>
        <v>38.413888888888891</v>
      </c>
      <c r="CF141" s="1">
        <f t="shared" si="65"/>
        <v>38.922222222222224</v>
      </c>
      <c r="CG141" s="1">
        <f t="shared" si="65"/>
        <v>39.427777777777777</v>
      </c>
      <c r="CH141" s="1">
        <f t="shared" si="65"/>
        <v>39.93611111111111</v>
      </c>
      <c r="CI141" s="1">
        <f t="shared" si="65"/>
        <v>40.44166666666667</v>
      </c>
      <c r="CJ141" s="1">
        <f t="shared" si="65"/>
        <v>40.950000000000003</v>
      </c>
      <c r="CK141" s="1">
        <f t="shared" si="65"/>
        <v>41.458333333333336</v>
      </c>
      <c r="CL141" s="1">
        <f t="shared" si="65"/>
        <v>41.966666666666669</v>
      </c>
      <c r="CM141" s="1">
        <f t="shared" si="65"/>
        <v>42.472222222222221</v>
      </c>
      <c r="CN141" s="1">
        <f t="shared" si="65"/>
        <v>42.980555555555554</v>
      </c>
      <c r="CO141" s="1">
        <f t="shared" si="65"/>
        <v>43.486111111111114</v>
      </c>
      <c r="CP141" s="1">
        <f t="shared" si="65"/>
        <v>43.994444444444447</v>
      </c>
      <c r="CQ141" s="1">
        <f t="shared" si="65"/>
        <v>44.5</v>
      </c>
      <c r="CR141" s="1">
        <f t="shared" si="65"/>
        <v>45.008333333333333</v>
      </c>
      <c r="CS141" s="1">
        <f t="shared" si="65"/>
        <v>45.516666666666666</v>
      </c>
      <c r="CT141" s="1">
        <f t="shared" ref="CT141:DC156" si="76">(CT$1-$B141)/360</f>
        <v>46.024999999999999</v>
      </c>
      <c r="CU141" s="1">
        <f t="shared" si="66"/>
        <v>46.530555555555559</v>
      </c>
      <c r="CV141" s="1">
        <f t="shared" si="66"/>
        <v>47.038888888888891</v>
      </c>
      <c r="CW141" s="1">
        <f t="shared" si="66"/>
        <v>47.544444444444444</v>
      </c>
      <c r="CX141" s="1">
        <f t="shared" si="66"/>
        <v>48.052777777777777</v>
      </c>
      <c r="CY141" s="1">
        <f t="shared" si="66"/>
        <v>48.55833333333333</v>
      </c>
      <c r="CZ141" s="1">
        <f t="shared" si="66"/>
        <v>49.06666666666667</v>
      </c>
      <c r="DA141" s="1">
        <f t="shared" si="66"/>
        <v>49.575000000000003</v>
      </c>
      <c r="DB141" s="1">
        <f t="shared" si="66"/>
        <v>50.083333333333336</v>
      </c>
      <c r="DC141" s="1">
        <f t="shared" si="66"/>
        <v>50.083333333333336</v>
      </c>
    </row>
    <row r="142" spans="1:107" x14ac:dyDescent="0.25">
      <c r="A142">
        <f t="shared" si="74"/>
        <v>5</v>
      </c>
      <c r="B142" s="2">
        <f>yields_BRUTE!B142</f>
        <v>42208</v>
      </c>
      <c r="C142" s="1">
        <f t="shared" si="75"/>
        <v>-0.4</v>
      </c>
      <c r="D142" s="1">
        <f t="shared" si="75"/>
        <v>-0.3611111111111111</v>
      </c>
      <c r="E142" s="1">
        <f t="shared" si="75"/>
        <v>-0.14444444444444443</v>
      </c>
      <c r="F142" s="1">
        <f t="shared" si="75"/>
        <v>0.1111111111111111</v>
      </c>
      <c r="G142" s="1">
        <f t="shared" si="75"/>
        <v>0.15</v>
      </c>
      <c r="H142" s="1">
        <f t="shared" si="75"/>
        <v>0.36388888888888887</v>
      </c>
      <c r="I142" s="1">
        <f t="shared" si="75"/>
        <v>0.36388888888888887</v>
      </c>
      <c r="J142" s="1">
        <f t="shared" si="75"/>
        <v>0.6166666666666667</v>
      </c>
      <c r="K142" s="1">
        <f t="shared" si="75"/>
        <v>0.65555555555555556</v>
      </c>
      <c r="L142" s="1">
        <f t="shared" si="75"/>
        <v>0.87222222222222223</v>
      </c>
      <c r="M142" s="1">
        <f t="shared" si="75"/>
        <v>1.1277777777777778</v>
      </c>
      <c r="N142" s="1">
        <f t="shared" si="75"/>
        <v>1.1277777777777778</v>
      </c>
      <c r="O142" s="1">
        <f t="shared" si="75"/>
        <v>1.1666666666666667</v>
      </c>
      <c r="P142" s="1">
        <f t="shared" si="75"/>
        <v>1.3805555555555555</v>
      </c>
      <c r="Q142" s="1">
        <f t="shared" si="75"/>
        <v>1.6694444444444445</v>
      </c>
      <c r="R142" s="1">
        <f t="shared" si="70"/>
        <v>1.8861111111111111</v>
      </c>
      <c r="S142" s="1">
        <f t="shared" si="70"/>
        <v>2.1805555555555554</v>
      </c>
      <c r="T142" s="1">
        <f t="shared" si="70"/>
        <v>2.3944444444444444</v>
      </c>
      <c r="U142" s="1">
        <f t="shared" si="70"/>
        <v>2.6833333333333331</v>
      </c>
      <c r="V142" s="1">
        <f t="shared" si="70"/>
        <v>2.9</v>
      </c>
      <c r="W142" s="1">
        <f t="shared" si="70"/>
        <v>3.1944444444444446</v>
      </c>
      <c r="X142" s="1">
        <f t="shared" si="70"/>
        <v>3.4083333333333332</v>
      </c>
      <c r="Y142" s="1">
        <f t="shared" si="70"/>
        <v>3.6972222222222224</v>
      </c>
      <c r="Z142" s="1">
        <f t="shared" si="70"/>
        <v>3.9138888888888888</v>
      </c>
      <c r="AA142" s="1">
        <f t="shared" si="70"/>
        <v>4.208333333333333</v>
      </c>
      <c r="AB142" s="1">
        <f t="shared" si="70"/>
        <v>4.4222222222222225</v>
      </c>
      <c r="AC142" s="1">
        <f t="shared" si="70"/>
        <v>4.7138888888888886</v>
      </c>
      <c r="AD142" s="1">
        <f t="shared" si="70"/>
        <v>4.9305555555555554</v>
      </c>
      <c r="AE142" s="1">
        <f t="shared" si="70"/>
        <v>4.9305555555555554</v>
      </c>
      <c r="AF142" s="3">
        <f t="shared" si="70"/>
        <v>5.2249999999999996</v>
      </c>
      <c r="AG142" s="1">
        <f t="shared" si="70"/>
        <v>5.4388888888888891</v>
      </c>
      <c r="AH142" s="1">
        <f t="shared" si="71"/>
        <v>5.7277777777777779</v>
      </c>
      <c r="AI142" s="1">
        <f t="shared" si="68"/>
        <v>5.7277777777777779</v>
      </c>
      <c r="AJ142" s="1">
        <f t="shared" si="68"/>
        <v>5.9444444444444446</v>
      </c>
      <c r="AK142" s="1">
        <f t="shared" si="68"/>
        <v>5.9444444444444446</v>
      </c>
      <c r="AL142" s="1">
        <f t="shared" si="68"/>
        <v>6.4527777777777775</v>
      </c>
      <c r="AM142" s="1">
        <f t="shared" si="68"/>
        <v>6.958333333333333</v>
      </c>
      <c r="AN142" s="1">
        <f t="shared" si="68"/>
        <v>6.958333333333333</v>
      </c>
      <c r="AO142" s="1">
        <f t="shared" si="68"/>
        <v>7.4666666666666668</v>
      </c>
      <c r="AP142" s="1">
        <f t="shared" si="68"/>
        <v>7.9722222222222223</v>
      </c>
      <c r="AQ142" s="1">
        <f t="shared" si="68"/>
        <v>7.9722222222222223</v>
      </c>
      <c r="AR142" s="1">
        <f t="shared" si="68"/>
        <v>8.4805555555555561</v>
      </c>
      <c r="AS142" s="1">
        <f t="shared" si="68"/>
        <v>8.9888888888888889</v>
      </c>
      <c r="AT142" s="1">
        <f t="shared" si="68"/>
        <v>9.4972222222222218</v>
      </c>
      <c r="AU142" s="1">
        <f t="shared" si="68"/>
        <v>10.002777777777778</v>
      </c>
      <c r="AV142" s="1">
        <f t="shared" si="68"/>
        <v>10.002777777777778</v>
      </c>
      <c r="AW142" s="1">
        <f t="shared" si="68"/>
        <v>14.569444444444445</v>
      </c>
      <c r="AX142" s="1">
        <f t="shared" si="68"/>
        <v>15.074999999999999</v>
      </c>
      <c r="AY142" s="1">
        <f t="shared" si="72"/>
        <v>15.583333333333334</v>
      </c>
      <c r="AZ142" s="1">
        <f t="shared" si="72"/>
        <v>16.088888888888889</v>
      </c>
      <c r="BA142" s="1">
        <f t="shared" si="72"/>
        <v>16.597222222222221</v>
      </c>
      <c r="BB142" s="1">
        <f t="shared" si="72"/>
        <v>17.105555555555554</v>
      </c>
      <c r="BC142" s="1">
        <f t="shared" si="72"/>
        <v>17.613888888888887</v>
      </c>
      <c r="BD142" s="1">
        <f t="shared" si="72"/>
        <v>18.119444444444444</v>
      </c>
      <c r="BE142" s="1">
        <f t="shared" si="72"/>
        <v>18.119444444444444</v>
      </c>
      <c r="BF142" s="1">
        <f t="shared" si="72"/>
        <v>26.744444444444444</v>
      </c>
      <c r="BG142" s="1">
        <f t="shared" si="72"/>
        <v>27.25</v>
      </c>
      <c r="BH142" s="1">
        <f t="shared" si="72"/>
        <v>27.758333333333333</v>
      </c>
      <c r="BI142" s="1">
        <f t="shared" si="72"/>
        <v>28.263888888888889</v>
      </c>
      <c r="BJ142" s="1">
        <f t="shared" si="72"/>
        <v>28.772222222222222</v>
      </c>
      <c r="BK142" s="1">
        <f t="shared" si="72"/>
        <v>29.280555555555555</v>
      </c>
      <c r="BL142" s="1">
        <f t="shared" si="72"/>
        <v>29.788888888888888</v>
      </c>
      <c r="BM142" s="1">
        <f t="shared" si="69"/>
        <v>30.294444444444444</v>
      </c>
      <c r="BN142" s="1">
        <f t="shared" si="69"/>
        <v>30.802777777777777</v>
      </c>
      <c r="BO142" s="1">
        <f t="shared" si="69"/>
        <v>30.802777777777777</v>
      </c>
      <c r="BP142" s="1">
        <f t="shared" si="69"/>
        <v>31.308333333333334</v>
      </c>
      <c r="BQ142" s="1">
        <f t="shared" si="69"/>
        <v>31.816666666666666</v>
      </c>
      <c r="BR142" s="1">
        <f t="shared" si="69"/>
        <v>32.322222222222223</v>
      </c>
      <c r="BS142" s="1">
        <f t="shared" si="69"/>
        <v>32.830555555555556</v>
      </c>
      <c r="BT142" s="1">
        <f t="shared" si="69"/>
        <v>33.338888888888889</v>
      </c>
      <c r="BU142" s="1">
        <f t="shared" si="69"/>
        <v>33.847222222222221</v>
      </c>
      <c r="BV142" s="1">
        <f t="shared" si="69"/>
        <v>33.847222222222221</v>
      </c>
      <c r="BW142" s="1">
        <f t="shared" si="69"/>
        <v>34.352777777777774</v>
      </c>
      <c r="BX142" s="1">
        <f t="shared" si="69"/>
        <v>34.861111111111114</v>
      </c>
      <c r="BY142" s="1">
        <f t="shared" si="69"/>
        <v>35.366666666666667</v>
      </c>
      <c r="BZ142" s="1">
        <f t="shared" si="69"/>
        <v>35.875</v>
      </c>
      <c r="CA142" s="1">
        <f t="shared" si="69"/>
        <v>36.380555555555553</v>
      </c>
      <c r="CB142" s="1">
        <f t="shared" si="69"/>
        <v>36.888888888888886</v>
      </c>
      <c r="CC142" s="1">
        <f t="shared" si="73"/>
        <v>37.397222222222226</v>
      </c>
      <c r="CD142" s="1">
        <f t="shared" si="67"/>
        <v>37.905555555555559</v>
      </c>
      <c r="CE142" s="1">
        <f t="shared" si="67"/>
        <v>38.411111111111111</v>
      </c>
      <c r="CF142" s="1">
        <f t="shared" si="67"/>
        <v>38.919444444444444</v>
      </c>
      <c r="CG142" s="1">
        <f t="shared" si="67"/>
        <v>39.424999999999997</v>
      </c>
      <c r="CH142" s="1">
        <f t="shared" si="67"/>
        <v>39.93333333333333</v>
      </c>
      <c r="CI142" s="1">
        <f t="shared" si="67"/>
        <v>40.43888888888889</v>
      </c>
      <c r="CJ142" s="1">
        <f t="shared" si="67"/>
        <v>40.947222222222223</v>
      </c>
      <c r="CK142" s="1">
        <f t="shared" si="67"/>
        <v>41.455555555555556</v>
      </c>
      <c r="CL142" s="1">
        <f t="shared" si="67"/>
        <v>41.963888888888889</v>
      </c>
      <c r="CM142" s="1">
        <f t="shared" si="67"/>
        <v>42.469444444444441</v>
      </c>
      <c r="CN142" s="1">
        <f t="shared" si="67"/>
        <v>42.977777777777774</v>
      </c>
      <c r="CO142" s="1">
        <f t="shared" si="67"/>
        <v>43.483333333333334</v>
      </c>
      <c r="CP142" s="1">
        <f t="shared" si="67"/>
        <v>43.991666666666667</v>
      </c>
      <c r="CQ142" s="1">
        <f t="shared" si="67"/>
        <v>44.49722222222222</v>
      </c>
      <c r="CR142" s="1">
        <f t="shared" si="67"/>
        <v>45.005555555555553</v>
      </c>
      <c r="CS142" s="1">
        <f t="shared" si="67"/>
        <v>45.513888888888886</v>
      </c>
      <c r="CT142" s="1">
        <f t="shared" si="76"/>
        <v>46.022222222222226</v>
      </c>
      <c r="CU142" s="1">
        <f t="shared" si="76"/>
        <v>46.527777777777779</v>
      </c>
      <c r="CV142" s="1">
        <f t="shared" si="76"/>
        <v>47.036111111111111</v>
      </c>
      <c r="CW142" s="1">
        <f t="shared" si="76"/>
        <v>47.541666666666664</v>
      </c>
      <c r="CX142" s="1">
        <f t="shared" si="76"/>
        <v>48.05</v>
      </c>
      <c r="CY142" s="1">
        <f t="shared" si="76"/>
        <v>48.555555555555557</v>
      </c>
      <c r="CZ142" s="1">
        <f t="shared" si="76"/>
        <v>49.06388888888889</v>
      </c>
      <c r="DA142" s="1">
        <f t="shared" si="76"/>
        <v>49.572222222222223</v>
      </c>
      <c r="DB142" s="1">
        <f t="shared" si="76"/>
        <v>50.080555555555556</v>
      </c>
      <c r="DC142" s="1">
        <f t="shared" si="76"/>
        <v>50.080555555555556</v>
      </c>
    </row>
    <row r="143" spans="1:107" x14ac:dyDescent="0.25">
      <c r="A143">
        <f t="shared" si="74"/>
        <v>6</v>
      </c>
      <c r="B143" s="2">
        <f>yields_BRUTE!B143</f>
        <v>42209</v>
      </c>
      <c r="C143" s="1">
        <f t="shared" si="75"/>
        <v>-0.40277777777777779</v>
      </c>
      <c r="D143" s="1">
        <f t="shared" si="75"/>
        <v>-0.36388888888888887</v>
      </c>
      <c r="E143" s="1">
        <f t="shared" si="75"/>
        <v>-0.14722222222222223</v>
      </c>
      <c r="F143" s="1">
        <f t="shared" si="75"/>
        <v>0.10833333333333334</v>
      </c>
      <c r="G143" s="1">
        <f t="shared" si="75"/>
        <v>0.14722222222222223</v>
      </c>
      <c r="H143" s="1">
        <f t="shared" si="75"/>
        <v>0.3611111111111111</v>
      </c>
      <c r="I143" s="1">
        <f t="shared" si="75"/>
        <v>0.3611111111111111</v>
      </c>
      <c r="J143" s="1">
        <f t="shared" si="75"/>
        <v>0.61388888888888893</v>
      </c>
      <c r="K143" s="1">
        <f t="shared" si="75"/>
        <v>0.65277777777777779</v>
      </c>
      <c r="L143" s="1">
        <f t="shared" si="75"/>
        <v>0.86944444444444446</v>
      </c>
      <c r="M143" s="1">
        <f t="shared" si="75"/>
        <v>1.125</v>
      </c>
      <c r="N143" s="1">
        <f t="shared" si="75"/>
        <v>1.125</v>
      </c>
      <c r="O143" s="1">
        <f t="shared" si="75"/>
        <v>1.163888888888889</v>
      </c>
      <c r="P143" s="1">
        <f t="shared" si="75"/>
        <v>1.3777777777777778</v>
      </c>
      <c r="Q143" s="1">
        <f t="shared" si="75"/>
        <v>1.6666666666666667</v>
      </c>
      <c r="R143" s="1">
        <f t="shared" si="70"/>
        <v>1.8833333333333333</v>
      </c>
      <c r="S143" s="1">
        <f t="shared" si="70"/>
        <v>2.1777777777777776</v>
      </c>
      <c r="T143" s="1">
        <f t="shared" si="70"/>
        <v>2.3916666666666666</v>
      </c>
      <c r="U143" s="1">
        <f t="shared" si="70"/>
        <v>2.6805555555555554</v>
      </c>
      <c r="V143" s="1">
        <f t="shared" si="70"/>
        <v>2.8972222222222221</v>
      </c>
      <c r="W143" s="1">
        <f t="shared" si="70"/>
        <v>3.1916666666666669</v>
      </c>
      <c r="X143" s="1">
        <f t="shared" si="70"/>
        <v>3.4055555555555554</v>
      </c>
      <c r="Y143" s="1">
        <f t="shared" si="70"/>
        <v>3.6944444444444446</v>
      </c>
      <c r="Z143" s="1">
        <f t="shared" si="70"/>
        <v>3.911111111111111</v>
      </c>
      <c r="AA143" s="1">
        <f t="shared" si="70"/>
        <v>4.2055555555555557</v>
      </c>
      <c r="AB143" s="1">
        <f t="shared" si="70"/>
        <v>4.4194444444444443</v>
      </c>
      <c r="AC143" s="1">
        <f t="shared" si="70"/>
        <v>4.7111111111111112</v>
      </c>
      <c r="AD143" s="1">
        <f t="shared" si="70"/>
        <v>4.927777777777778</v>
      </c>
      <c r="AE143" s="1">
        <f t="shared" si="70"/>
        <v>4.927777777777778</v>
      </c>
      <c r="AF143" s="3">
        <f t="shared" si="70"/>
        <v>5.2222222222222223</v>
      </c>
      <c r="AG143" s="1">
        <f t="shared" si="70"/>
        <v>5.4361111111111109</v>
      </c>
      <c r="AH143" s="1">
        <f t="shared" si="71"/>
        <v>5.7249999999999996</v>
      </c>
      <c r="AI143" s="1">
        <f t="shared" si="68"/>
        <v>5.7249999999999996</v>
      </c>
      <c r="AJ143" s="1">
        <f t="shared" si="68"/>
        <v>5.9416666666666664</v>
      </c>
      <c r="AK143" s="1">
        <f t="shared" si="68"/>
        <v>5.9416666666666664</v>
      </c>
      <c r="AL143" s="1">
        <f t="shared" si="68"/>
        <v>6.45</v>
      </c>
      <c r="AM143" s="1">
        <f t="shared" si="68"/>
        <v>6.9555555555555557</v>
      </c>
      <c r="AN143" s="1">
        <f t="shared" si="68"/>
        <v>6.9555555555555557</v>
      </c>
      <c r="AO143" s="1">
        <f t="shared" si="68"/>
        <v>7.4638888888888886</v>
      </c>
      <c r="AP143" s="1">
        <f t="shared" si="68"/>
        <v>7.9694444444444441</v>
      </c>
      <c r="AQ143" s="1">
        <f t="shared" si="68"/>
        <v>7.9694444444444441</v>
      </c>
      <c r="AR143" s="1">
        <f t="shared" si="68"/>
        <v>8.4777777777777779</v>
      </c>
      <c r="AS143" s="1">
        <f t="shared" si="68"/>
        <v>8.9861111111111107</v>
      </c>
      <c r="AT143" s="1">
        <f t="shared" si="68"/>
        <v>9.4944444444444436</v>
      </c>
      <c r="AU143" s="1">
        <f t="shared" si="68"/>
        <v>10</v>
      </c>
      <c r="AV143" s="1">
        <f t="shared" si="68"/>
        <v>10</v>
      </c>
      <c r="AW143" s="1">
        <f t="shared" si="68"/>
        <v>14.566666666666666</v>
      </c>
      <c r="AX143" s="1">
        <f t="shared" si="68"/>
        <v>15.072222222222223</v>
      </c>
      <c r="AY143" s="1">
        <f t="shared" si="72"/>
        <v>15.580555555555556</v>
      </c>
      <c r="AZ143" s="1">
        <f t="shared" si="72"/>
        <v>16.086111111111112</v>
      </c>
      <c r="BA143" s="1">
        <f t="shared" si="72"/>
        <v>16.594444444444445</v>
      </c>
      <c r="BB143" s="1">
        <f t="shared" si="72"/>
        <v>17.102777777777778</v>
      </c>
      <c r="BC143" s="1">
        <f t="shared" si="72"/>
        <v>17.611111111111111</v>
      </c>
      <c r="BD143" s="1">
        <f t="shared" si="72"/>
        <v>18.116666666666667</v>
      </c>
      <c r="BE143" s="1">
        <f t="shared" si="72"/>
        <v>18.116666666666667</v>
      </c>
      <c r="BF143" s="1">
        <f t="shared" si="72"/>
        <v>26.741666666666667</v>
      </c>
      <c r="BG143" s="1">
        <f t="shared" si="72"/>
        <v>27.247222222222224</v>
      </c>
      <c r="BH143" s="1">
        <f t="shared" si="72"/>
        <v>27.755555555555556</v>
      </c>
      <c r="BI143" s="1">
        <f t="shared" si="72"/>
        <v>28.261111111111113</v>
      </c>
      <c r="BJ143" s="1">
        <f t="shared" si="72"/>
        <v>28.769444444444446</v>
      </c>
      <c r="BK143" s="1">
        <f t="shared" si="72"/>
        <v>29.277777777777779</v>
      </c>
      <c r="BL143" s="1">
        <f t="shared" si="72"/>
        <v>29.786111111111111</v>
      </c>
      <c r="BM143" s="1">
        <f t="shared" si="69"/>
        <v>30.291666666666668</v>
      </c>
      <c r="BN143" s="1">
        <f t="shared" si="69"/>
        <v>30.8</v>
      </c>
      <c r="BO143" s="1">
        <f t="shared" si="69"/>
        <v>30.8</v>
      </c>
      <c r="BP143" s="1">
        <f t="shared" si="69"/>
        <v>31.305555555555557</v>
      </c>
      <c r="BQ143" s="1">
        <f t="shared" si="69"/>
        <v>31.81388888888889</v>
      </c>
      <c r="BR143" s="1">
        <f t="shared" si="69"/>
        <v>32.319444444444443</v>
      </c>
      <c r="BS143" s="1">
        <f t="shared" si="69"/>
        <v>32.827777777777776</v>
      </c>
      <c r="BT143" s="1">
        <f t="shared" si="69"/>
        <v>33.336111111111109</v>
      </c>
      <c r="BU143" s="1">
        <f t="shared" si="69"/>
        <v>33.844444444444441</v>
      </c>
      <c r="BV143" s="1">
        <f t="shared" si="69"/>
        <v>33.844444444444441</v>
      </c>
      <c r="BW143" s="1">
        <f t="shared" si="69"/>
        <v>34.35</v>
      </c>
      <c r="BX143" s="1">
        <f t="shared" si="69"/>
        <v>34.858333333333334</v>
      </c>
      <c r="BY143" s="1">
        <f t="shared" si="69"/>
        <v>35.363888888888887</v>
      </c>
      <c r="BZ143" s="1">
        <f t="shared" si="69"/>
        <v>35.87222222222222</v>
      </c>
      <c r="CA143" s="1">
        <f t="shared" si="69"/>
        <v>36.37777777777778</v>
      </c>
      <c r="CB143" s="1">
        <f t="shared" si="69"/>
        <v>36.886111111111113</v>
      </c>
      <c r="CC143" s="1">
        <f t="shared" si="73"/>
        <v>37.394444444444446</v>
      </c>
      <c r="CD143" s="1">
        <f t="shared" si="73"/>
        <v>37.902777777777779</v>
      </c>
      <c r="CE143" s="1">
        <f t="shared" si="73"/>
        <v>38.408333333333331</v>
      </c>
      <c r="CF143" s="1">
        <f t="shared" si="73"/>
        <v>38.916666666666664</v>
      </c>
      <c r="CG143" s="1">
        <f t="shared" si="73"/>
        <v>39.422222222222224</v>
      </c>
      <c r="CH143" s="1">
        <f t="shared" si="73"/>
        <v>39.930555555555557</v>
      </c>
      <c r="CI143" s="1">
        <f t="shared" si="73"/>
        <v>40.43611111111111</v>
      </c>
      <c r="CJ143" s="1">
        <f t="shared" si="73"/>
        <v>40.944444444444443</v>
      </c>
      <c r="CK143" s="1">
        <f t="shared" si="73"/>
        <v>41.452777777777776</v>
      </c>
      <c r="CL143" s="1">
        <f t="shared" si="73"/>
        <v>41.961111111111109</v>
      </c>
      <c r="CM143" s="1">
        <f t="shared" si="73"/>
        <v>42.466666666666669</v>
      </c>
      <c r="CN143" s="1">
        <f t="shared" si="73"/>
        <v>42.975000000000001</v>
      </c>
      <c r="CO143" s="1">
        <f t="shared" si="73"/>
        <v>43.480555555555554</v>
      </c>
      <c r="CP143" s="1">
        <f t="shared" si="73"/>
        <v>43.988888888888887</v>
      </c>
      <c r="CQ143" s="1">
        <f t="shared" si="73"/>
        <v>44.494444444444447</v>
      </c>
      <c r="CR143" s="1">
        <f t="shared" si="73"/>
        <v>45.00277777777778</v>
      </c>
      <c r="CS143" s="1">
        <f t="shared" ref="CS143:DC158" si="77">(CS$1-$B143)/360</f>
        <v>45.511111111111113</v>
      </c>
      <c r="CT143" s="1">
        <f t="shared" si="76"/>
        <v>46.019444444444446</v>
      </c>
      <c r="CU143" s="1">
        <f t="shared" si="76"/>
        <v>46.524999999999999</v>
      </c>
      <c r="CV143" s="1">
        <f t="shared" si="76"/>
        <v>47.033333333333331</v>
      </c>
      <c r="CW143" s="1">
        <f t="shared" si="76"/>
        <v>47.538888888888891</v>
      </c>
      <c r="CX143" s="1">
        <f t="shared" si="76"/>
        <v>48.047222222222224</v>
      </c>
      <c r="CY143" s="1">
        <f t="shared" si="76"/>
        <v>48.552777777777777</v>
      </c>
      <c r="CZ143" s="1">
        <f t="shared" si="76"/>
        <v>49.06111111111111</v>
      </c>
      <c r="DA143" s="1">
        <f t="shared" si="76"/>
        <v>49.569444444444443</v>
      </c>
      <c r="DB143" s="1">
        <f t="shared" si="76"/>
        <v>50.077777777777776</v>
      </c>
      <c r="DC143" s="1">
        <f t="shared" si="76"/>
        <v>50.077777777777776</v>
      </c>
    </row>
    <row r="144" spans="1:107" x14ac:dyDescent="0.25">
      <c r="A144">
        <f t="shared" si="74"/>
        <v>2</v>
      </c>
      <c r="B144" s="2">
        <f>yields_BRUTE!B144</f>
        <v>42212</v>
      </c>
      <c r="C144" s="1">
        <f t="shared" si="75"/>
        <v>-0.41111111111111109</v>
      </c>
      <c r="D144" s="1">
        <f t="shared" si="75"/>
        <v>-0.37222222222222223</v>
      </c>
      <c r="E144" s="1">
        <f t="shared" si="75"/>
        <v>-0.15555555555555556</v>
      </c>
      <c r="F144" s="1">
        <f t="shared" si="75"/>
        <v>0.1</v>
      </c>
      <c r="G144" s="1">
        <f t="shared" si="75"/>
        <v>0.1388888888888889</v>
      </c>
      <c r="H144" s="1">
        <f t="shared" si="75"/>
        <v>0.3527777777777778</v>
      </c>
      <c r="I144" s="1">
        <f t="shared" si="75"/>
        <v>0.3527777777777778</v>
      </c>
      <c r="J144" s="1">
        <f t="shared" si="75"/>
        <v>0.60555555555555551</v>
      </c>
      <c r="K144" s="1">
        <f t="shared" si="75"/>
        <v>0.64444444444444449</v>
      </c>
      <c r="L144" s="1">
        <f t="shared" si="75"/>
        <v>0.86111111111111116</v>
      </c>
      <c r="M144" s="1">
        <f t="shared" si="75"/>
        <v>1.1166666666666667</v>
      </c>
      <c r="N144" s="1">
        <f t="shared" si="75"/>
        <v>1.1166666666666667</v>
      </c>
      <c r="O144" s="1">
        <f t="shared" si="75"/>
        <v>1.1555555555555554</v>
      </c>
      <c r="P144" s="1">
        <f t="shared" si="75"/>
        <v>1.3694444444444445</v>
      </c>
      <c r="Q144" s="1">
        <f t="shared" si="75"/>
        <v>1.6583333333333334</v>
      </c>
      <c r="R144" s="1">
        <f t="shared" si="70"/>
        <v>1.875</v>
      </c>
      <c r="S144" s="1">
        <f t="shared" si="70"/>
        <v>2.1694444444444443</v>
      </c>
      <c r="T144" s="1">
        <f t="shared" si="70"/>
        <v>2.3833333333333333</v>
      </c>
      <c r="U144" s="1">
        <f t="shared" si="70"/>
        <v>2.6722222222222221</v>
      </c>
      <c r="V144" s="1">
        <f t="shared" si="70"/>
        <v>2.8888888888888888</v>
      </c>
      <c r="W144" s="1">
        <f t="shared" si="70"/>
        <v>3.1833333333333331</v>
      </c>
      <c r="X144" s="1">
        <f t="shared" si="70"/>
        <v>3.3972222222222221</v>
      </c>
      <c r="Y144" s="1">
        <f t="shared" si="70"/>
        <v>3.6861111111111109</v>
      </c>
      <c r="Z144" s="1">
        <f t="shared" si="70"/>
        <v>3.9027777777777777</v>
      </c>
      <c r="AA144" s="1">
        <f t="shared" si="70"/>
        <v>4.197222222222222</v>
      </c>
      <c r="AB144" s="1">
        <f t="shared" si="70"/>
        <v>4.4111111111111114</v>
      </c>
      <c r="AC144" s="1">
        <f t="shared" si="70"/>
        <v>4.7027777777777775</v>
      </c>
      <c r="AD144" s="1">
        <f t="shared" si="70"/>
        <v>4.9194444444444443</v>
      </c>
      <c r="AE144" s="1">
        <f t="shared" si="70"/>
        <v>4.9194444444444443</v>
      </c>
      <c r="AF144" s="3">
        <f t="shared" si="70"/>
        <v>5.2138888888888886</v>
      </c>
      <c r="AG144" s="1">
        <f t="shared" si="70"/>
        <v>5.427777777777778</v>
      </c>
      <c r="AH144" s="1">
        <f t="shared" si="71"/>
        <v>5.7166666666666668</v>
      </c>
      <c r="AI144" s="1">
        <f t="shared" si="68"/>
        <v>5.7166666666666668</v>
      </c>
      <c r="AJ144" s="1">
        <f t="shared" si="68"/>
        <v>5.9333333333333336</v>
      </c>
      <c r="AK144" s="1">
        <f t="shared" si="68"/>
        <v>5.9333333333333336</v>
      </c>
      <c r="AL144" s="1">
        <f t="shared" si="68"/>
        <v>6.4416666666666664</v>
      </c>
      <c r="AM144" s="1">
        <f t="shared" si="68"/>
        <v>6.947222222222222</v>
      </c>
      <c r="AN144" s="1">
        <f t="shared" si="68"/>
        <v>6.947222222222222</v>
      </c>
      <c r="AO144" s="1">
        <f t="shared" si="68"/>
        <v>7.4555555555555557</v>
      </c>
      <c r="AP144" s="1">
        <f t="shared" si="68"/>
        <v>7.9611111111111112</v>
      </c>
      <c r="AQ144" s="1">
        <f t="shared" si="68"/>
        <v>7.9611111111111112</v>
      </c>
      <c r="AR144" s="1">
        <f t="shared" si="68"/>
        <v>8.469444444444445</v>
      </c>
      <c r="AS144" s="1">
        <f t="shared" si="68"/>
        <v>8.9777777777777779</v>
      </c>
      <c r="AT144" s="1">
        <f t="shared" si="68"/>
        <v>9.4861111111111107</v>
      </c>
      <c r="AU144" s="1">
        <f t="shared" si="68"/>
        <v>9.9916666666666671</v>
      </c>
      <c r="AV144" s="1">
        <f t="shared" si="68"/>
        <v>9.9916666666666671</v>
      </c>
      <c r="AW144" s="1">
        <f t="shared" si="68"/>
        <v>14.558333333333334</v>
      </c>
      <c r="AX144" s="1">
        <f t="shared" si="68"/>
        <v>15.063888888888888</v>
      </c>
      <c r="AY144" s="1">
        <f t="shared" si="72"/>
        <v>15.572222222222223</v>
      </c>
      <c r="AZ144" s="1">
        <f t="shared" si="72"/>
        <v>16.077777777777779</v>
      </c>
      <c r="BA144" s="1">
        <f t="shared" si="72"/>
        <v>16.586111111111112</v>
      </c>
      <c r="BB144" s="1">
        <f t="shared" si="72"/>
        <v>17.094444444444445</v>
      </c>
      <c r="BC144" s="1">
        <f t="shared" si="72"/>
        <v>17.602777777777778</v>
      </c>
      <c r="BD144" s="1">
        <f t="shared" si="72"/>
        <v>18.108333333333334</v>
      </c>
      <c r="BE144" s="1">
        <f t="shared" si="72"/>
        <v>18.108333333333334</v>
      </c>
      <c r="BF144" s="1">
        <f t="shared" si="72"/>
        <v>26.733333333333334</v>
      </c>
      <c r="BG144" s="1">
        <f t="shared" si="72"/>
        <v>27.238888888888887</v>
      </c>
      <c r="BH144" s="1">
        <f t="shared" si="72"/>
        <v>27.747222222222224</v>
      </c>
      <c r="BI144" s="1">
        <f t="shared" si="72"/>
        <v>28.252777777777776</v>
      </c>
      <c r="BJ144" s="1">
        <f t="shared" si="72"/>
        <v>28.761111111111113</v>
      </c>
      <c r="BK144" s="1">
        <f t="shared" si="72"/>
        <v>29.269444444444446</v>
      </c>
      <c r="BL144" s="1">
        <f t="shared" si="72"/>
        <v>29.777777777777779</v>
      </c>
      <c r="BM144" s="1">
        <f t="shared" si="69"/>
        <v>30.283333333333335</v>
      </c>
      <c r="BN144" s="1">
        <f t="shared" si="69"/>
        <v>30.791666666666668</v>
      </c>
      <c r="BO144" s="1">
        <f t="shared" si="69"/>
        <v>30.791666666666668</v>
      </c>
      <c r="BP144" s="1">
        <f t="shared" si="69"/>
        <v>31.297222222222221</v>
      </c>
      <c r="BQ144" s="1">
        <f t="shared" si="69"/>
        <v>31.805555555555557</v>
      </c>
      <c r="BR144" s="1">
        <f t="shared" si="69"/>
        <v>32.31111111111111</v>
      </c>
      <c r="BS144" s="1">
        <f t="shared" si="69"/>
        <v>32.819444444444443</v>
      </c>
      <c r="BT144" s="1">
        <f t="shared" si="69"/>
        <v>33.327777777777776</v>
      </c>
      <c r="BU144" s="1">
        <f t="shared" si="69"/>
        <v>33.836111111111109</v>
      </c>
      <c r="BV144" s="1">
        <f t="shared" si="69"/>
        <v>33.836111111111109</v>
      </c>
      <c r="BW144" s="1">
        <f t="shared" si="69"/>
        <v>34.341666666666669</v>
      </c>
      <c r="BX144" s="1">
        <f t="shared" si="69"/>
        <v>34.85</v>
      </c>
      <c r="BY144" s="1">
        <f t="shared" si="69"/>
        <v>35.355555555555554</v>
      </c>
      <c r="BZ144" s="1">
        <f t="shared" si="69"/>
        <v>35.863888888888887</v>
      </c>
      <c r="CA144" s="1">
        <f t="shared" si="69"/>
        <v>36.369444444444447</v>
      </c>
      <c r="CB144" s="1">
        <f t="shared" si="69"/>
        <v>36.87777777777778</v>
      </c>
      <c r="CC144" s="1">
        <f t="shared" si="73"/>
        <v>37.386111111111113</v>
      </c>
      <c r="CD144" s="1">
        <f t="shared" si="73"/>
        <v>37.894444444444446</v>
      </c>
      <c r="CE144" s="1">
        <f t="shared" si="73"/>
        <v>38.4</v>
      </c>
      <c r="CF144" s="1">
        <f t="shared" si="73"/>
        <v>38.908333333333331</v>
      </c>
      <c r="CG144" s="1">
        <f t="shared" si="73"/>
        <v>39.413888888888891</v>
      </c>
      <c r="CH144" s="1">
        <f t="shared" si="73"/>
        <v>39.922222222222224</v>
      </c>
      <c r="CI144" s="1">
        <f t="shared" si="73"/>
        <v>40.427777777777777</v>
      </c>
      <c r="CJ144" s="1">
        <f t="shared" si="73"/>
        <v>40.93611111111111</v>
      </c>
      <c r="CK144" s="1">
        <f t="shared" si="73"/>
        <v>41.444444444444443</v>
      </c>
      <c r="CL144" s="1">
        <f t="shared" si="73"/>
        <v>41.952777777777776</v>
      </c>
      <c r="CM144" s="1">
        <f t="shared" si="73"/>
        <v>42.458333333333336</v>
      </c>
      <c r="CN144" s="1">
        <f t="shared" si="73"/>
        <v>42.966666666666669</v>
      </c>
      <c r="CO144" s="1">
        <f t="shared" si="73"/>
        <v>43.472222222222221</v>
      </c>
      <c r="CP144" s="1">
        <f t="shared" si="73"/>
        <v>43.980555555555554</v>
      </c>
      <c r="CQ144" s="1">
        <f t="shared" si="73"/>
        <v>44.486111111111114</v>
      </c>
      <c r="CR144" s="1">
        <f t="shared" si="73"/>
        <v>44.994444444444447</v>
      </c>
      <c r="CS144" s="1">
        <f t="shared" si="77"/>
        <v>45.50277777777778</v>
      </c>
      <c r="CT144" s="1">
        <f t="shared" si="76"/>
        <v>46.011111111111113</v>
      </c>
      <c r="CU144" s="1">
        <f t="shared" si="76"/>
        <v>46.516666666666666</v>
      </c>
      <c r="CV144" s="1">
        <f t="shared" si="76"/>
        <v>47.024999999999999</v>
      </c>
      <c r="CW144" s="1">
        <f t="shared" si="76"/>
        <v>47.530555555555559</v>
      </c>
      <c r="CX144" s="1">
        <f t="shared" si="76"/>
        <v>48.038888888888891</v>
      </c>
      <c r="CY144" s="1">
        <f t="shared" si="76"/>
        <v>48.544444444444444</v>
      </c>
      <c r="CZ144" s="1">
        <f t="shared" si="76"/>
        <v>49.052777777777777</v>
      </c>
      <c r="DA144" s="1">
        <f t="shared" si="76"/>
        <v>49.56111111111111</v>
      </c>
      <c r="DB144" s="1">
        <f t="shared" si="76"/>
        <v>50.069444444444443</v>
      </c>
      <c r="DC144" s="1">
        <f t="shared" si="76"/>
        <v>50.069444444444443</v>
      </c>
    </row>
    <row r="145" spans="1:107" x14ac:dyDescent="0.25">
      <c r="A145">
        <f t="shared" si="74"/>
        <v>3</v>
      </c>
      <c r="B145" s="2">
        <f>yields_BRUTE!B145</f>
        <v>42213</v>
      </c>
      <c r="C145" s="1">
        <f t="shared" si="75"/>
        <v>-0.41388888888888886</v>
      </c>
      <c r="D145" s="1">
        <f t="shared" si="75"/>
        <v>-0.375</v>
      </c>
      <c r="E145" s="1">
        <f t="shared" si="75"/>
        <v>-0.15833333333333333</v>
      </c>
      <c r="F145" s="1">
        <f t="shared" si="75"/>
        <v>9.7222222222222224E-2</v>
      </c>
      <c r="G145" s="1">
        <f t="shared" si="75"/>
        <v>0.1361111111111111</v>
      </c>
      <c r="H145" s="1">
        <f t="shared" si="75"/>
        <v>0.35</v>
      </c>
      <c r="I145" s="1">
        <f t="shared" si="75"/>
        <v>0.35</v>
      </c>
      <c r="J145" s="1">
        <f t="shared" si="75"/>
        <v>0.60277777777777775</v>
      </c>
      <c r="K145" s="1">
        <f t="shared" si="75"/>
        <v>0.64166666666666672</v>
      </c>
      <c r="L145" s="1">
        <f t="shared" si="75"/>
        <v>0.85833333333333328</v>
      </c>
      <c r="M145" s="1">
        <f t="shared" si="75"/>
        <v>1.1138888888888889</v>
      </c>
      <c r="N145" s="1">
        <f t="shared" si="75"/>
        <v>1.1138888888888889</v>
      </c>
      <c r="O145" s="1">
        <f t="shared" si="75"/>
        <v>1.1527777777777777</v>
      </c>
      <c r="P145" s="1">
        <f t="shared" si="75"/>
        <v>1.3666666666666667</v>
      </c>
      <c r="Q145" s="1">
        <f t="shared" si="75"/>
        <v>1.6555555555555554</v>
      </c>
      <c r="R145" s="1">
        <f t="shared" si="70"/>
        <v>1.8722222222222222</v>
      </c>
      <c r="S145" s="1">
        <f t="shared" si="70"/>
        <v>2.1666666666666665</v>
      </c>
      <c r="T145" s="1">
        <f t="shared" si="70"/>
        <v>2.3805555555555555</v>
      </c>
      <c r="U145" s="1">
        <f t="shared" si="70"/>
        <v>2.6694444444444443</v>
      </c>
      <c r="V145" s="1">
        <f t="shared" si="70"/>
        <v>2.8861111111111111</v>
      </c>
      <c r="W145" s="1">
        <f t="shared" si="70"/>
        <v>3.1805555555555554</v>
      </c>
      <c r="X145" s="1">
        <f t="shared" si="70"/>
        <v>3.3944444444444444</v>
      </c>
      <c r="Y145" s="1">
        <f t="shared" si="70"/>
        <v>3.6833333333333331</v>
      </c>
      <c r="Z145" s="1">
        <f t="shared" si="70"/>
        <v>3.9</v>
      </c>
      <c r="AA145" s="1">
        <f t="shared" si="70"/>
        <v>4.1944444444444446</v>
      </c>
      <c r="AB145" s="1">
        <f t="shared" si="70"/>
        <v>4.4083333333333332</v>
      </c>
      <c r="AC145" s="1">
        <f t="shared" si="70"/>
        <v>4.7</v>
      </c>
      <c r="AD145" s="1">
        <f t="shared" si="70"/>
        <v>4.916666666666667</v>
      </c>
      <c r="AE145" s="1">
        <f t="shared" si="70"/>
        <v>4.916666666666667</v>
      </c>
      <c r="AF145" s="3">
        <f t="shared" si="70"/>
        <v>5.2111111111111112</v>
      </c>
      <c r="AG145" s="1">
        <f t="shared" ref="AG145:AV160" si="78">(AG$1-$B145)/360</f>
        <v>5.4249999999999998</v>
      </c>
      <c r="AH145" s="1">
        <f t="shared" si="71"/>
        <v>5.7138888888888886</v>
      </c>
      <c r="AI145" s="1">
        <f t="shared" si="71"/>
        <v>5.7138888888888886</v>
      </c>
      <c r="AJ145" s="1">
        <f t="shared" si="71"/>
        <v>5.9305555555555554</v>
      </c>
      <c r="AK145" s="1">
        <f t="shared" si="71"/>
        <v>5.9305555555555554</v>
      </c>
      <c r="AL145" s="1">
        <f t="shared" si="71"/>
        <v>6.4388888888888891</v>
      </c>
      <c r="AM145" s="1">
        <f t="shared" si="71"/>
        <v>6.9444444444444446</v>
      </c>
      <c r="AN145" s="1">
        <f t="shared" si="71"/>
        <v>6.9444444444444446</v>
      </c>
      <c r="AO145" s="1">
        <f t="shared" si="71"/>
        <v>7.4527777777777775</v>
      </c>
      <c r="AP145" s="1">
        <f t="shared" si="71"/>
        <v>7.958333333333333</v>
      </c>
      <c r="AQ145" s="1">
        <f t="shared" si="71"/>
        <v>7.958333333333333</v>
      </c>
      <c r="AR145" s="1">
        <f t="shared" si="71"/>
        <v>8.4666666666666668</v>
      </c>
      <c r="AS145" s="1">
        <f t="shared" si="71"/>
        <v>8.9749999999999996</v>
      </c>
      <c r="AT145" s="1">
        <f t="shared" si="71"/>
        <v>9.4833333333333325</v>
      </c>
      <c r="AU145" s="1">
        <f t="shared" si="71"/>
        <v>9.9888888888888889</v>
      </c>
      <c r="AV145" s="1">
        <f t="shared" si="71"/>
        <v>9.9888888888888889</v>
      </c>
      <c r="AW145" s="1">
        <f t="shared" si="71"/>
        <v>14.555555555555555</v>
      </c>
      <c r="AX145" s="1">
        <f t="shared" ref="AX145:BM160" si="79">(AX$1-$B145)/360</f>
        <v>15.061111111111112</v>
      </c>
      <c r="AY145" s="1">
        <f t="shared" si="72"/>
        <v>15.569444444444445</v>
      </c>
      <c r="AZ145" s="1">
        <f t="shared" si="72"/>
        <v>16.074999999999999</v>
      </c>
      <c r="BA145" s="1">
        <f t="shared" si="72"/>
        <v>16.583333333333332</v>
      </c>
      <c r="BB145" s="1">
        <f t="shared" si="72"/>
        <v>17.091666666666665</v>
      </c>
      <c r="BC145" s="1">
        <f t="shared" si="72"/>
        <v>17.600000000000001</v>
      </c>
      <c r="BD145" s="1">
        <f t="shared" si="72"/>
        <v>18.105555555555554</v>
      </c>
      <c r="BE145" s="1">
        <f t="shared" si="72"/>
        <v>18.105555555555554</v>
      </c>
      <c r="BF145" s="1">
        <f t="shared" si="72"/>
        <v>26.730555555555554</v>
      </c>
      <c r="BG145" s="1">
        <f t="shared" si="72"/>
        <v>27.236111111111111</v>
      </c>
      <c r="BH145" s="1">
        <f t="shared" si="72"/>
        <v>27.744444444444444</v>
      </c>
      <c r="BI145" s="1">
        <f t="shared" si="72"/>
        <v>28.25</v>
      </c>
      <c r="BJ145" s="1">
        <f t="shared" si="72"/>
        <v>28.758333333333333</v>
      </c>
      <c r="BK145" s="1">
        <f t="shared" si="72"/>
        <v>29.266666666666666</v>
      </c>
      <c r="BL145" s="1">
        <f t="shared" si="72"/>
        <v>29.774999999999999</v>
      </c>
      <c r="BM145" s="1">
        <f t="shared" si="72"/>
        <v>30.280555555555555</v>
      </c>
      <c r="BN145" s="1">
        <f t="shared" si="72"/>
        <v>30.788888888888888</v>
      </c>
      <c r="BO145" s="1">
        <f t="shared" ref="BO145:CD160" si="80">(BO$1-$B145)/360</f>
        <v>30.788888888888888</v>
      </c>
      <c r="BP145" s="1">
        <f t="shared" si="80"/>
        <v>31.294444444444444</v>
      </c>
      <c r="BQ145" s="1">
        <f t="shared" si="80"/>
        <v>31.802777777777777</v>
      </c>
      <c r="BR145" s="1">
        <f t="shared" si="80"/>
        <v>32.30833333333333</v>
      </c>
      <c r="BS145" s="1">
        <f t="shared" si="80"/>
        <v>32.81666666666667</v>
      </c>
      <c r="BT145" s="1">
        <f t="shared" si="80"/>
        <v>33.325000000000003</v>
      </c>
      <c r="BU145" s="1">
        <f t="shared" si="80"/>
        <v>33.833333333333336</v>
      </c>
      <c r="BV145" s="1">
        <f t="shared" si="80"/>
        <v>33.833333333333336</v>
      </c>
      <c r="BW145" s="1">
        <f t="shared" si="80"/>
        <v>34.338888888888889</v>
      </c>
      <c r="BX145" s="1">
        <f t="shared" si="80"/>
        <v>34.847222222222221</v>
      </c>
      <c r="BY145" s="1">
        <f t="shared" si="80"/>
        <v>35.352777777777774</v>
      </c>
      <c r="BZ145" s="1">
        <f t="shared" si="80"/>
        <v>35.861111111111114</v>
      </c>
      <c r="CA145" s="1">
        <f t="shared" si="80"/>
        <v>36.366666666666667</v>
      </c>
      <c r="CB145" s="1">
        <f t="shared" si="80"/>
        <v>36.875</v>
      </c>
      <c r="CC145" s="1">
        <f t="shared" si="73"/>
        <v>37.383333333333333</v>
      </c>
      <c r="CD145" s="1">
        <f t="shared" si="73"/>
        <v>37.891666666666666</v>
      </c>
      <c r="CE145" s="1">
        <f t="shared" si="73"/>
        <v>38.397222222222226</v>
      </c>
      <c r="CF145" s="1">
        <f t="shared" si="73"/>
        <v>38.905555555555559</v>
      </c>
      <c r="CG145" s="1">
        <f t="shared" si="73"/>
        <v>39.411111111111111</v>
      </c>
      <c r="CH145" s="1">
        <f t="shared" si="73"/>
        <v>39.919444444444444</v>
      </c>
      <c r="CI145" s="1">
        <f t="shared" si="73"/>
        <v>40.424999999999997</v>
      </c>
      <c r="CJ145" s="1">
        <f t="shared" si="73"/>
        <v>40.93333333333333</v>
      </c>
      <c r="CK145" s="1">
        <f t="shared" si="73"/>
        <v>41.44166666666667</v>
      </c>
      <c r="CL145" s="1">
        <f t="shared" si="73"/>
        <v>41.95</v>
      </c>
      <c r="CM145" s="1">
        <f t="shared" si="73"/>
        <v>42.455555555555556</v>
      </c>
      <c r="CN145" s="1">
        <f t="shared" si="73"/>
        <v>42.963888888888889</v>
      </c>
      <c r="CO145" s="1">
        <f t="shared" si="73"/>
        <v>43.469444444444441</v>
      </c>
      <c r="CP145" s="1">
        <f t="shared" si="73"/>
        <v>43.977777777777774</v>
      </c>
      <c r="CQ145" s="1">
        <f t="shared" si="73"/>
        <v>44.483333333333334</v>
      </c>
      <c r="CR145" s="1">
        <f t="shared" si="73"/>
        <v>44.991666666666667</v>
      </c>
      <c r="CS145" s="1">
        <f t="shared" si="77"/>
        <v>45.5</v>
      </c>
      <c r="CT145" s="1">
        <f t="shared" si="76"/>
        <v>46.008333333333333</v>
      </c>
      <c r="CU145" s="1">
        <f t="shared" si="76"/>
        <v>46.513888888888886</v>
      </c>
      <c r="CV145" s="1">
        <f t="shared" si="76"/>
        <v>47.022222222222226</v>
      </c>
      <c r="CW145" s="1">
        <f t="shared" si="76"/>
        <v>47.527777777777779</v>
      </c>
      <c r="CX145" s="1">
        <f t="shared" si="76"/>
        <v>48.036111111111111</v>
      </c>
      <c r="CY145" s="1">
        <f t="shared" si="76"/>
        <v>48.541666666666664</v>
      </c>
      <c r="CZ145" s="1">
        <f t="shared" si="76"/>
        <v>49.05</v>
      </c>
      <c r="DA145" s="1">
        <f t="shared" si="76"/>
        <v>49.55833333333333</v>
      </c>
      <c r="DB145" s="1">
        <f t="shared" si="76"/>
        <v>50.06666666666667</v>
      </c>
      <c r="DC145" s="1">
        <f t="shared" si="76"/>
        <v>50.06666666666667</v>
      </c>
    </row>
    <row r="146" spans="1:107" x14ac:dyDescent="0.25">
      <c r="A146">
        <f t="shared" si="74"/>
        <v>4</v>
      </c>
      <c r="B146" s="2">
        <f>yields_BRUTE!B146</f>
        <v>42214</v>
      </c>
      <c r="C146" s="1">
        <f t="shared" si="75"/>
        <v>-0.41666666666666669</v>
      </c>
      <c r="D146" s="1">
        <f t="shared" si="75"/>
        <v>-0.37777777777777777</v>
      </c>
      <c r="E146" s="1">
        <f t="shared" si="75"/>
        <v>-0.16111111111111112</v>
      </c>
      <c r="F146" s="1">
        <f t="shared" si="75"/>
        <v>9.4444444444444442E-2</v>
      </c>
      <c r="G146" s="1">
        <f t="shared" si="75"/>
        <v>0.13333333333333333</v>
      </c>
      <c r="H146" s="1">
        <f t="shared" si="75"/>
        <v>0.34722222222222221</v>
      </c>
      <c r="I146" s="1">
        <f t="shared" si="75"/>
        <v>0.34722222222222221</v>
      </c>
      <c r="J146" s="1">
        <f t="shared" si="75"/>
        <v>0.6</v>
      </c>
      <c r="K146" s="1">
        <f t="shared" si="75"/>
        <v>0.63888888888888884</v>
      </c>
      <c r="L146" s="1">
        <f t="shared" si="75"/>
        <v>0.85555555555555551</v>
      </c>
      <c r="M146" s="1">
        <f t="shared" si="75"/>
        <v>1.1111111111111112</v>
      </c>
      <c r="N146" s="1">
        <f t="shared" si="75"/>
        <v>1.1111111111111112</v>
      </c>
      <c r="O146" s="1">
        <f t="shared" si="75"/>
        <v>1.1499999999999999</v>
      </c>
      <c r="P146" s="1">
        <f t="shared" si="75"/>
        <v>1.3638888888888889</v>
      </c>
      <c r="Q146" s="1">
        <f t="shared" si="75"/>
        <v>1.6527777777777777</v>
      </c>
      <c r="R146" s="1">
        <f t="shared" si="75"/>
        <v>1.8694444444444445</v>
      </c>
      <c r="S146" s="1">
        <f t="shared" ref="S146:AH161" si="81">(S$1-$B146)/360</f>
        <v>2.1638888888888888</v>
      </c>
      <c r="T146" s="1">
        <f t="shared" si="81"/>
        <v>2.3777777777777778</v>
      </c>
      <c r="U146" s="1">
        <f t="shared" si="81"/>
        <v>2.6666666666666665</v>
      </c>
      <c r="V146" s="1">
        <f t="shared" si="81"/>
        <v>2.8833333333333333</v>
      </c>
      <c r="W146" s="1">
        <f t="shared" si="81"/>
        <v>3.1777777777777776</v>
      </c>
      <c r="X146" s="1">
        <f t="shared" si="81"/>
        <v>3.3916666666666666</v>
      </c>
      <c r="Y146" s="1">
        <f t="shared" si="81"/>
        <v>3.6805555555555554</v>
      </c>
      <c r="Z146" s="1">
        <f t="shared" si="81"/>
        <v>3.8972222222222221</v>
      </c>
      <c r="AA146" s="1">
        <f t="shared" si="81"/>
        <v>4.1916666666666664</v>
      </c>
      <c r="AB146" s="1">
        <f t="shared" si="81"/>
        <v>4.4055555555555559</v>
      </c>
      <c r="AC146" s="1">
        <f t="shared" si="81"/>
        <v>4.697222222222222</v>
      </c>
      <c r="AD146" s="1">
        <f t="shared" si="81"/>
        <v>4.9138888888888888</v>
      </c>
      <c r="AE146" s="1">
        <f t="shared" si="81"/>
        <v>4.9138888888888888</v>
      </c>
      <c r="AF146" s="3">
        <f t="shared" si="81"/>
        <v>5.208333333333333</v>
      </c>
      <c r="AG146" s="1">
        <f t="shared" si="78"/>
        <v>5.4222222222222225</v>
      </c>
      <c r="AH146" s="1">
        <f t="shared" si="78"/>
        <v>5.7111111111111112</v>
      </c>
      <c r="AI146" s="1">
        <f t="shared" si="78"/>
        <v>5.7111111111111112</v>
      </c>
      <c r="AJ146" s="1">
        <f t="shared" si="78"/>
        <v>5.927777777777778</v>
      </c>
      <c r="AK146" s="1">
        <f t="shared" si="78"/>
        <v>5.927777777777778</v>
      </c>
      <c r="AL146" s="1">
        <f t="shared" si="78"/>
        <v>6.4361111111111109</v>
      </c>
      <c r="AM146" s="1">
        <f t="shared" si="78"/>
        <v>6.9416666666666664</v>
      </c>
      <c r="AN146" s="1">
        <f t="shared" si="78"/>
        <v>6.9416666666666664</v>
      </c>
      <c r="AO146" s="1">
        <f t="shared" si="78"/>
        <v>7.45</v>
      </c>
      <c r="AP146" s="1">
        <f t="shared" si="78"/>
        <v>7.9555555555555557</v>
      </c>
      <c r="AQ146" s="1">
        <f t="shared" si="78"/>
        <v>7.9555555555555557</v>
      </c>
      <c r="AR146" s="1">
        <f t="shared" si="78"/>
        <v>8.4638888888888886</v>
      </c>
      <c r="AS146" s="1">
        <f t="shared" si="78"/>
        <v>8.9722222222222214</v>
      </c>
      <c r="AT146" s="1">
        <f t="shared" si="78"/>
        <v>9.4805555555555561</v>
      </c>
      <c r="AU146" s="1">
        <f t="shared" si="78"/>
        <v>9.9861111111111107</v>
      </c>
      <c r="AV146" s="1">
        <f t="shared" si="78"/>
        <v>9.9861111111111107</v>
      </c>
      <c r="AW146" s="1">
        <f t="shared" ref="AW146:BL161" si="82">(AW$1-$B146)/360</f>
        <v>14.552777777777777</v>
      </c>
      <c r="AX146" s="1">
        <f t="shared" si="79"/>
        <v>15.058333333333334</v>
      </c>
      <c r="AY146" s="1">
        <f t="shared" si="79"/>
        <v>15.566666666666666</v>
      </c>
      <c r="AZ146" s="1">
        <f t="shared" si="79"/>
        <v>16.072222222222223</v>
      </c>
      <c r="BA146" s="1">
        <f t="shared" si="79"/>
        <v>16.580555555555556</v>
      </c>
      <c r="BB146" s="1">
        <f t="shared" si="79"/>
        <v>17.088888888888889</v>
      </c>
      <c r="BC146" s="1">
        <f t="shared" si="79"/>
        <v>17.597222222222221</v>
      </c>
      <c r="BD146" s="1">
        <f t="shared" si="79"/>
        <v>18.102777777777778</v>
      </c>
      <c r="BE146" s="1">
        <f t="shared" si="79"/>
        <v>18.102777777777778</v>
      </c>
      <c r="BF146" s="1">
        <f t="shared" si="79"/>
        <v>26.727777777777778</v>
      </c>
      <c r="BG146" s="1">
        <f t="shared" si="79"/>
        <v>27.233333333333334</v>
      </c>
      <c r="BH146" s="1">
        <f t="shared" si="79"/>
        <v>27.741666666666667</v>
      </c>
      <c r="BI146" s="1">
        <f t="shared" si="79"/>
        <v>28.247222222222224</v>
      </c>
      <c r="BJ146" s="1">
        <f t="shared" si="79"/>
        <v>28.755555555555556</v>
      </c>
      <c r="BK146" s="1">
        <f t="shared" si="79"/>
        <v>29.263888888888889</v>
      </c>
      <c r="BL146" s="1">
        <f t="shared" si="79"/>
        <v>29.772222222222222</v>
      </c>
      <c r="BM146" s="1">
        <f t="shared" si="79"/>
        <v>30.277777777777779</v>
      </c>
      <c r="BN146" s="1">
        <f t="shared" ref="BN146:CC161" si="83">(BN$1-$B146)/360</f>
        <v>30.786111111111111</v>
      </c>
      <c r="BO146" s="1">
        <f t="shared" si="80"/>
        <v>30.786111111111111</v>
      </c>
      <c r="BP146" s="1">
        <f t="shared" si="80"/>
        <v>31.291666666666668</v>
      </c>
      <c r="BQ146" s="1">
        <f t="shared" si="80"/>
        <v>31.8</v>
      </c>
      <c r="BR146" s="1">
        <f t="shared" si="80"/>
        <v>32.305555555555557</v>
      </c>
      <c r="BS146" s="1">
        <f t="shared" si="80"/>
        <v>32.81388888888889</v>
      </c>
      <c r="BT146" s="1">
        <f t="shared" si="80"/>
        <v>33.322222222222223</v>
      </c>
      <c r="BU146" s="1">
        <f t="shared" si="80"/>
        <v>33.830555555555556</v>
      </c>
      <c r="BV146" s="1">
        <f t="shared" si="80"/>
        <v>33.830555555555556</v>
      </c>
      <c r="BW146" s="1">
        <f t="shared" si="80"/>
        <v>34.336111111111109</v>
      </c>
      <c r="BX146" s="1">
        <f t="shared" si="80"/>
        <v>34.844444444444441</v>
      </c>
      <c r="BY146" s="1">
        <f t="shared" si="80"/>
        <v>35.35</v>
      </c>
      <c r="BZ146" s="1">
        <f t="shared" si="80"/>
        <v>35.858333333333334</v>
      </c>
      <c r="CA146" s="1">
        <f t="shared" si="80"/>
        <v>36.363888888888887</v>
      </c>
      <c r="CB146" s="1">
        <f t="shared" si="80"/>
        <v>36.87222222222222</v>
      </c>
      <c r="CC146" s="1">
        <f t="shared" si="80"/>
        <v>37.380555555555553</v>
      </c>
      <c r="CD146" s="1">
        <f t="shared" si="80"/>
        <v>37.888888888888886</v>
      </c>
      <c r="CE146" s="1">
        <f t="shared" ref="CE146:CT161" si="84">(CE$1-$B146)/360</f>
        <v>38.394444444444446</v>
      </c>
      <c r="CF146" s="1">
        <f t="shared" si="84"/>
        <v>38.902777777777779</v>
      </c>
      <c r="CG146" s="1">
        <f t="shared" si="84"/>
        <v>39.408333333333331</v>
      </c>
      <c r="CH146" s="1">
        <f t="shared" si="84"/>
        <v>39.916666666666664</v>
      </c>
      <c r="CI146" s="1">
        <f t="shared" si="84"/>
        <v>40.422222222222224</v>
      </c>
      <c r="CJ146" s="1">
        <f t="shared" si="84"/>
        <v>40.930555555555557</v>
      </c>
      <c r="CK146" s="1">
        <f t="shared" si="84"/>
        <v>41.43888888888889</v>
      </c>
      <c r="CL146" s="1">
        <f t="shared" si="84"/>
        <v>41.947222222222223</v>
      </c>
      <c r="CM146" s="1">
        <f t="shared" si="84"/>
        <v>42.452777777777776</v>
      </c>
      <c r="CN146" s="1">
        <f t="shared" si="84"/>
        <v>42.961111111111109</v>
      </c>
      <c r="CO146" s="1">
        <f t="shared" si="84"/>
        <v>43.466666666666669</v>
      </c>
      <c r="CP146" s="1">
        <f t="shared" si="84"/>
        <v>43.975000000000001</v>
      </c>
      <c r="CQ146" s="1">
        <f t="shared" si="84"/>
        <v>44.480555555555554</v>
      </c>
      <c r="CR146" s="1">
        <f t="shared" si="84"/>
        <v>44.988888888888887</v>
      </c>
      <c r="CS146" s="1">
        <f t="shared" si="77"/>
        <v>45.49722222222222</v>
      </c>
      <c r="CT146" s="1">
        <f t="shared" si="76"/>
        <v>46.005555555555553</v>
      </c>
      <c r="CU146" s="1">
        <f t="shared" si="76"/>
        <v>46.511111111111113</v>
      </c>
      <c r="CV146" s="1">
        <f t="shared" si="76"/>
        <v>47.019444444444446</v>
      </c>
      <c r="CW146" s="1">
        <f t="shared" si="76"/>
        <v>47.524999999999999</v>
      </c>
      <c r="CX146" s="1">
        <f t="shared" si="76"/>
        <v>48.033333333333331</v>
      </c>
      <c r="CY146" s="1">
        <f t="shared" si="76"/>
        <v>48.538888888888891</v>
      </c>
      <c r="CZ146" s="1">
        <f t="shared" si="76"/>
        <v>49.047222222222224</v>
      </c>
      <c r="DA146" s="1">
        <f t="shared" si="76"/>
        <v>49.555555555555557</v>
      </c>
      <c r="DB146" s="1">
        <f t="shared" si="76"/>
        <v>50.06388888888889</v>
      </c>
      <c r="DC146" s="1">
        <f t="shared" si="76"/>
        <v>50.06388888888889</v>
      </c>
    </row>
    <row r="147" spans="1:107" x14ac:dyDescent="0.25">
      <c r="A147">
        <f t="shared" si="74"/>
        <v>5</v>
      </c>
      <c r="B147" s="2">
        <f>yields_BRUTE!B147</f>
        <v>42215</v>
      </c>
      <c r="C147" s="1">
        <f t="shared" ref="C147:R162" si="85">(C$1-$B147)/360</f>
        <v>-0.41944444444444445</v>
      </c>
      <c r="D147" s="1">
        <f t="shared" si="85"/>
        <v>-0.38055555555555554</v>
      </c>
      <c r="E147" s="1">
        <f t="shared" si="85"/>
        <v>-0.16388888888888889</v>
      </c>
      <c r="F147" s="1">
        <f t="shared" si="85"/>
        <v>9.166666666666666E-2</v>
      </c>
      <c r="G147" s="1">
        <f t="shared" si="85"/>
        <v>0.13055555555555556</v>
      </c>
      <c r="H147" s="1">
        <f t="shared" si="85"/>
        <v>0.34444444444444444</v>
      </c>
      <c r="I147" s="1">
        <f t="shared" si="85"/>
        <v>0.34444444444444444</v>
      </c>
      <c r="J147" s="1">
        <f t="shared" si="85"/>
        <v>0.59722222222222221</v>
      </c>
      <c r="K147" s="1">
        <f t="shared" si="85"/>
        <v>0.63611111111111107</v>
      </c>
      <c r="L147" s="1">
        <f t="shared" si="85"/>
        <v>0.85277777777777775</v>
      </c>
      <c r="M147" s="1">
        <f t="shared" si="85"/>
        <v>1.1083333333333334</v>
      </c>
      <c r="N147" s="1">
        <f t="shared" si="85"/>
        <v>1.1083333333333334</v>
      </c>
      <c r="O147" s="1">
        <f t="shared" si="85"/>
        <v>1.1472222222222221</v>
      </c>
      <c r="P147" s="1">
        <f t="shared" si="85"/>
        <v>1.3611111111111112</v>
      </c>
      <c r="Q147" s="1">
        <f t="shared" si="85"/>
        <v>1.65</v>
      </c>
      <c r="R147" s="1">
        <f t="shared" si="85"/>
        <v>1.8666666666666667</v>
      </c>
      <c r="S147" s="1">
        <f t="shared" si="81"/>
        <v>2.161111111111111</v>
      </c>
      <c r="T147" s="1">
        <f t="shared" si="81"/>
        <v>2.375</v>
      </c>
      <c r="U147" s="1">
        <f t="shared" si="81"/>
        <v>2.6638888888888888</v>
      </c>
      <c r="V147" s="1">
        <f t="shared" si="81"/>
        <v>2.8805555555555555</v>
      </c>
      <c r="W147" s="1">
        <f t="shared" si="81"/>
        <v>3.1749999999999998</v>
      </c>
      <c r="X147" s="1">
        <f t="shared" si="81"/>
        <v>3.3888888888888888</v>
      </c>
      <c r="Y147" s="1">
        <f t="shared" si="81"/>
        <v>3.6777777777777776</v>
      </c>
      <c r="Z147" s="1">
        <f t="shared" si="81"/>
        <v>3.8944444444444444</v>
      </c>
      <c r="AA147" s="1">
        <f t="shared" si="81"/>
        <v>4.1888888888888891</v>
      </c>
      <c r="AB147" s="1">
        <f t="shared" si="81"/>
        <v>4.4027777777777777</v>
      </c>
      <c r="AC147" s="1">
        <f t="shared" si="81"/>
        <v>4.6944444444444446</v>
      </c>
      <c r="AD147" s="1">
        <f t="shared" si="81"/>
        <v>4.9111111111111114</v>
      </c>
      <c r="AE147" s="1">
        <f t="shared" si="81"/>
        <v>4.9111111111111114</v>
      </c>
      <c r="AF147" s="3">
        <f t="shared" si="81"/>
        <v>5.2055555555555557</v>
      </c>
      <c r="AG147" s="1">
        <f t="shared" si="78"/>
        <v>5.4194444444444443</v>
      </c>
      <c r="AH147" s="1">
        <f t="shared" si="78"/>
        <v>5.708333333333333</v>
      </c>
      <c r="AI147" s="1">
        <f t="shared" si="78"/>
        <v>5.708333333333333</v>
      </c>
      <c r="AJ147" s="1">
        <f t="shared" si="78"/>
        <v>5.9249999999999998</v>
      </c>
      <c r="AK147" s="1">
        <f t="shared" si="78"/>
        <v>5.9249999999999998</v>
      </c>
      <c r="AL147" s="1">
        <f t="shared" si="78"/>
        <v>6.4333333333333336</v>
      </c>
      <c r="AM147" s="1">
        <f t="shared" si="78"/>
        <v>6.9388888888888891</v>
      </c>
      <c r="AN147" s="1">
        <f t="shared" si="78"/>
        <v>6.9388888888888891</v>
      </c>
      <c r="AO147" s="1">
        <f t="shared" si="78"/>
        <v>7.447222222222222</v>
      </c>
      <c r="AP147" s="1">
        <f t="shared" si="78"/>
        <v>7.9527777777777775</v>
      </c>
      <c r="AQ147" s="1">
        <f t="shared" si="78"/>
        <v>7.9527777777777775</v>
      </c>
      <c r="AR147" s="1">
        <f t="shared" si="78"/>
        <v>8.4611111111111104</v>
      </c>
      <c r="AS147" s="1">
        <f t="shared" si="78"/>
        <v>8.969444444444445</v>
      </c>
      <c r="AT147" s="1">
        <f t="shared" si="78"/>
        <v>9.4777777777777779</v>
      </c>
      <c r="AU147" s="1">
        <f t="shared" si="78"/>
        <v>9.9833333333333325</v>
      </c>
      <c r="AV147" s="1">
        <f t="shared" si="78"/>
        <v>9.9833333333333325</v>
      </c>
      <c r="AW147" s="1">
        <f t="shared" si="82"/>
        <v>14.55</v>
      </c>
      <c r="AX147" s="1">
        <f t="shared" si="79"/>
        <v>15.055555555555555</v>
      </c>
      <c r="AY147" s="1">
        <f t="shared" si="79"/>
        <v>15.563888888888888</v>
      </c>
      <c r="AZ147" s="1">
        <f t="shared" si="79"/>
        <v>16.069444444444443</v>
      </c>
      <c r="BA147" s="1">
        <f t="shared" si="79"/>
        <v>16.577777777777779</v>
      </c>
      <c r="BB147" s="1">
        <f t="shared" si="79"/>
        <v>17.086111111111112</v>
      </c>
      <c r="BC147" s="1">
        <f t="shared" si="79"/>
        <v>17.594444444444445</v>
      </c>
      <c r="BD147" s="1">
        <f t="shared" si="79"/>
        <v>18.100000000000001</v>
      </c>
      <c r="BE147" s="1">
        <f t="shared" si="79"/>
        <v>18.100000000000001</v>
      </c>
      <c r="BF147" s="1">
        <f t="shared" si="79"/>
        <v>26.725000000000001</v>
      </c>
      <c r="BG147" s="1">
        <f t="shared" si="79"/>
        <v>27.230555555555554</v>
      </c>
      <c r="BH147" s="1">
        <f t="shared" si="79"/>
        <v>27.738888888888887</v>
      </c>
      <c r="BI147" s="1">
        <f t="shared" si="79"/>
        <v>28.244444444444444</v>
      </c>
      <c r="BJ147" s="1">
        <f t="shared" si="79"/>
        <v>28.752777777777776</v>
      </c>
      <c r="BK147" s="1">
        <f t="shared" si="79"/>
        <v>29.261111111111113</v>
      </c>
      <c r="BL147" s="1">
        <f t="shared" si="79"/>
        <v>29.769444444444446</v>
      </c>
      <c r="BM147" s="1">
        <f t="shared" si="79"/>
        <v>30.274999999999999</v>
      </c>
      <c r="BN147" s="1">
        <f t="shared" si="83"/>
        <v>30.783333333333335</v>
      </c>
      <c r="BO147" s="1">
        <f t="shared" si="80"/>
        <v>30.783333333333335</v>
      </c>
      <c r="BP147" s="1">
        <f t="shared" si="80"/>
        <v>31.288888888888888</v>
      </c>
      <c r="BQ147" s="1">
        <f t="shared" si="80"/>
        <v>31.797222222222221</v>
      </c>
      <c r="BR147" s="1">
        <f t="shared" si="80"/>
        <v>32.302777777777777</v>
      </c>
      <c r="BS147" s="1">
        <f t="shared" si="80"/>
        <v>32.81111111111111</v>
      </c>
      <c r="BT147" s="1">
        <f t="shared" si="80"/>
        <v>33.319444444444443</v>
      </c>
      <c r="BU147" s="1">
        <f t="shared" si="80"/>
        <v>33.827777777777776</v>
      </c>
      <c r="BV147" s="1">
        <f t="shared" si="80"/>
        <v>33.827777777777776</v>
      </c>
      <c r="BW147" s="1">
        <f t="shared" si="80"/>
        <v>34.333333333333336</v>
      </c>
      <c r="BX147" s="1">
        <f t="shared" si="80"/>
        <v>34.841666666666669</v>
      </c>
      <c r="BY147" s="1">
        <f t="shared" si="80"/>
        <v>35.347222222222221</v>
      </c>
      <c r="BZ147" s="1">
        <f t="shared" si="80"/>
        <v>35.855555555555554</v>
      </c>
      <c r="CA147" s="1">
        <f t="shared" si="80"/>
        <v>36.361111111111114</v>
      </c>
      <c r="CB147" s="1">
        <f t="shared" si="80"/>
        <v>36.869444444444447</v>
      </c>
      <c r="CC147" s="1">
        <f t="shared" si="80"/>
        <v>37.37777777777778</v>
      </c>
      <c r="CD147" s="1">
        <f t="shared" si="80"/>
        <v>37.886111111111113</v>
      </c>
      <c r="CE147" s="1">
        <f t="shared" si="84"/>
        <v>38.391666666666666</v>
      </c>
      <c r="CF147" s="1">
        <f t="shared" si="84"/>
        <v>38.9</v>
      </c>
      <c r="CG147" s="1">
        <f t="shared" si="84"/>
        <v>39.405555555555559</v>
      </c>
      <c r="CH147" s="1">
        <f t="shared" si="84"/>
        <v>39.913888888888891</v>
      </c>
      <c r="CI147" s="1">
        <f t="shared" si="84"/>
        <v>40.419444444444444</v>
      </c>
      <c r="CJ147" s="1">
        <f t="shared" si="84"/>
        <v>40.927777777777777</v>
      </c>
      <c r="CK147" s="1">
        <f t="shared" si="84"/>
        <v>41.43611111111111</v>
      </c>
      <c r="CL147" s="1">
        <f t="shared" si="84"/>
        <v>41.944444444444443</v>
      </c>
      <c r="CM147" s="1">
        <f t="shared" si="84"/>
        <v>42.45</v>
      </c>
      <c r="CN147" s="1">
        <f t="shared" si="84"/>
        <v>42.958333333333336</v>
      </c>
      <c r="CO147" s="1">
        <f t="shared" si="84"/>
        <v>43.463888888888889</v>
      </c>
      <c r="CP147" s="1">
        <f t="shared" si="84"/>
        <v>43.972222222222221</v>
      </c>
      <c r="CQ147" s="1">
        <f t="shared" si="84"/>
        <v>44.477777777777774</v>
      </c>
      <c r="CR147" s="1">
        <f t="shared" si="84"/>
        <v>44.986111111111114</v>
      </c>
      <c r="CS147" s="1">
        <f t="shared" si="77"/>
        <v>45.494444444444447</v>
      </c>
      <c r="CT147" s="1">
        <f t="shared" si="76"/>
        <v>46.00277777777778</v>
      </c>
      <c r="CU147" s="1">
        <f t="shared" si="76"/>
        <v>46.508333333333333</v>
      </c>
      <c r="CV147" s="1">
        <f t="shared" si="76"/>
        <v>47.016666666666666</v>
      </c>
      <c r="CW147" s="1">
        <f t="shared" si="76"/>
        <v>47.522222222222226</v>
      </c>
      <c r="CX147" s="1">
        <f t="shared" si="76"/>
        <v>48.030555555555559</v>
      </c>
      <c r="CY147" s="1">
        <f t="shared" si="76"/>
        <v>48.536111111111111</v>
      </c>
      <c r="CZ147" s="1">
        <f t="shared" si="76"/>
        <v>49.044444444444444</v>
      </c>
      <c r="DA147" s="1">
        <f t="shared" si="76"/>
        <v>49.552777777777777</v>
      </c>
      <c r="DB147" s="1">
        <f t="shared" si="76"/>
        <v>50.06111111111111</v>
      </c>
      <c r="DC147" s="1">
        <f t="shared" si="76"/>
        <v>50.06111111111111</v>
      </c>
    </row>
    <row r="148" spans="1:107" x14ac:dyDescent="0.25">
      <c r="A148">
        <f t="shared" si="74"/>
        <v>6</v>
      </c>
      <c r="B148" s="2">
        <f>yields_BRUTE!B148</f>
        <v>42216</v>
      </c>
      <c r="C148" s="1">
        <f t="shared" si="85"/>
        <v>-0.42222222222222222</v>
      </c>
      <c r="D148" s="1">
        <f t="shared" si="85"/>
        <v>-0.38333333333333336</v>
      </c>
      <c r="E148" s="1">
        <f t="shared" si="85"/>
        <v>-0.16666666666666666</v>
      </c>
      <c r="F148" s="1">
        <f t="shared" si="85"/>
        <v>8.8888888888888892E-2</v>
      </c>
      <c r="G148" s="1">
        <f t="shared" si="85"/>
        <v>0.12777777777777777</v>
      </c>
      <c r="H148" s="1">
        <f t="shared" si="85"/>
        <v>0.34166666666666667</v>
      </c>
      <c r="I148" s="1">
        <f t="shared" si="85"/>
        <v>0.34166666666666667</v>
      </c>
      <c r="J148" s="1">
        <f t="shared" si="85"/>
        <v>0.59444444444444444</v>
      </c>
      <c r="K148" s="1">
        <f t="shared" si="85"/>
        <v>0.6333333333333333</v>
      </c>
      <c r="L148" s="1">
        <f t="shared" si="85"/>
        <v>0.85</v>
      </c>
      <c r="M148" s="1">
        <f t="shared" si="85"/>
        <v>1.1055555555555556</v>
      </c>
      <c r="N148" s="1">
        <f t="shared" si="85"/>
        <v>1.1055555555555556</v>
      </c>
      <c r="O148" s="1">
        <f t="shared" si="85"/>
        <v>1.1444444444444444</v>
      </c>
      <c r="P148" s="1">
        <f t="shared" si="85"/>
        <v>1.3583333333333334</v>
      </c>
      <c r="Q148" s="1">
        <f t="shared" si="85"/>
        <v>1.6472222222222221</v>
      </c>
      <c r="R148" s="1">
        <f t="shared" si="85"/>
        <v>1.8638888888888889</v>
      </c>
      <c r="S148" s="1">
        <f t="shared" si="81"/>
        <v>2.1583333333333332</v>
      </c>
      <c r="T148" s="1">
        <f t="shared" si="81"/>
        <v>2.3722222222222222</v>
      </c>
      <c r="U148" s="1">
        <f t="shared" si="81"/>
        <v>2.661111111111111</v>
      </c>
      <c r="V148" s="1">
        <f t="shared" si="81"/>
        <v>2.8777777777777778</v>
      </c>
      <c r="W148" s="1">
        <f t="shared" si="81"/>
        <v>3.1722222222222221</v>
      </c>
      <c r="X148" s="1">
        <f t="shared" si="81"/>
        <v>3.3861111111111111</v>
      </c>
      <c r="Y148" s="1">
        <f t="shared" si="81"/>
        <v>3.6749999999999998</v>
      </c>
      <c r="Z148" s="1">
        <f t="shared" si="81"/>
        <v>3.8916666666666666</v>
      </c>
      <c r="AA148" s="1">
        <f t="shared" si="81"/>
        <v>4.1861111111111109</v>
      </c>
      <c r="AB148" s="1">
        <f t="shared" si="81"/>
        <v>4.4000000000000004</v>
      </c>
      <c r="AC148" s="1">
        <f t="shared" si="81"/>
        <v>4.6916666666666664</v>
      </c>
      <c r="AD148" s="1">
        <f t="shared" si="81"/>
        <v>4.9083333333333332</v>
      </c>
      <c r="AE148" s="1">
        <f t="shared" si="81"/>
        <v>4.9083333333333332</v>
      </c>
      <c r="AF148" s="3">
        <f t="shared" si="81"/>
        <v>5.2027777777777775</v>
      </c>
      <c r="AG148" s="1">
        <f t="shared" si="78"/>
        <v>5.416666666666667</v>
      </c>
      <c r="AH148" s="1">
        <f t="shared" si="78"/>
        <v>5.7055555555555557</v>
      </c>
      <c r="AI148" s="1">
        <f t="shared" si="78"/>
        <v>5.7055555555555557</v>
      </c>
      <c r="AJ148" s="1">
        <f t="shared" si="78"/>
        <v>5.9222222222222225</v>
      </c>
      <c r="AK148" s="1">
        <f t="shared" si="78"/>
        <v>5.9222222222222225</v>
      </c>
      <c r="AL148" s="1">
        <f t="shared" si="78"/>
        <v>6.4305555555555554</v>
      </c>
      <c r="AM148" s="1">
        <f t="shared" si="78"/>
        <v>6.9361111111111109</v>
      </c>
      <c r="AN148" s="1">
        <f t="shared" si="78"/>
        <v>6.9361111111111109</v>
      </c>
      <c r="AO148" s="1">
        <f t="shared" si="78"/>
        <v>7.4444444444444446</v>
      </c>
      <c r="AP148" s="1">
        <f t="shared" si="78"/>
        <v>7.95</v>
      </c>
      <c r="AQ148" s="1">
        <f t="shared" si="78"/>
        <v>7.95</v>
      </c>
      <c r="AR148" s="1">
        <f t="shared" si="78"/>
        <v>8.4583333333333339</v>
      </c>
      <c r="AS148" s="1">
        <f t="shared" si="78"/>
        <v>8.9666666666666668</v>
      </c>
      <c r="AT148" s="1">
        <f t="shared" si="78"/>
        <v>9.4749999999999996</v>
      </c>
      <c r="AU148" s="1">
        <f t="shared" si="78"/>
        <v>9.9805555555555561</v>
      </c>
      <c r="AV148" s="1">
        <f t="shared" si="78"/>
        <v>9.9805555555555561</v>
      </c>
      <c r="AW148" s="1">
        <f t="shared" si="82"/>
        <v>14.547222222222222</v>
      </c>
      <c r="AX148" s="1">
        <f t="shared" si="79"/>
        <v>15.052777777777777</v>
      </c>
      <c r="AY148" s="1">
        <f t="shared" si="79"/>
        <v>15.561111111111112</v>
      </c>
      <c r="AZ148" s="1">
        <f t="shared" si="79"/>
        <v>16.066666666666666</v>
      </c>
      <c r="BA148" s="1">
        <f t="shared" si="79"/>
        <v>16.574999999999999</v>
      </c>
      <c r="BB148" s="1">
        <f t="shared" si="79"/>
        <v>17.083333333333332</v>
      </c>
      <c r="BC148" s="1">
        <f t="shared" si="79"/>
        <v>17.591666666666665</v>
      </c>
      <c r="BD148" s="1">
        <f t="shared" si="79"/>
        <v>18.097222222222221</v>
      </c>
      <c r="BE148" s="1">
        <f t="shared" si="79"/>
        <v>18.097222222222221</v>
      </c>
      <c r="BF148" s="1">
        <f t="shared" si="79"/>
        <v>26.722222222222221</v>
      </c>
      <c r="BG148" s="1">
        <f t="shared" si="79"/>
        <v>27.227777777777778</v>
      </c>
      <c r="BH148" s="1">
        <f t="shared" si="79"/>
        <v>27.736111111111111</v>
      </c>
      <c r="BI148" s="1">
        <f t="shared" si="79"/>
        <v>28.241666666666667</v>
      </c>
      <c r="BJ148" s="1">
        <f t="shared" si="79"/>
        <v>28.75</v>
      </c>
      <c r="BK148" s="1">
        <f t="shared" si="79"/>
        <v>29.258333333333333</v>
      </c>
      <c r="BL148" s="1">
        <f t="shared" si="79"/>
        <v>29.766666666666666</v>
      </c>
      <c r="BM148" s="1">
        <f t="shared" si="79"/>
        <v>30.272222222222222</v>
      </c>
      <c r="BN148" s="1">
        <f t="shared" si="83"/>
        <v>30.780555555555555</v>
      </c>
      <c r="BO148" s="1">
        <f t="shared" si="80"/>
        <v>30.780555555555555</v>
      </c>
      <c r="BP148" s="1">
        <f t="shared" si="80"/>
        <v>31.286111111111111</v>
      </c>
      <c r="BQ148" s="1">
        <f t="shared" si="80"/>
        <v>31.794444444444444</v>
      </c>
      <c r="BR148" s="1">
        <f t="shared" si="80"/>
        <v>32.299999999999997</v>
      </c>
      <c r="BS148" s="1">
        <f t="shared" si="80"/>
        <v>32.80833333333333</v>
      </c>
      <c r="BT148" s="1">
        <f t="shared" si="80"/>
        <v>33.31666666666667</v>
      </c>
      <c r="BU148" s="1">
        <f t="shared" si="80"/>
        <v>33.825000000000003</v>
      </c>
      <c r="BV148" s="1">
        <f t="shared" si="80"/>
        <v>33.825000000000003</v>
      </c>
      <c r="BW148" s="1">
        <f t="shared" si="80"/>
        <v>34.330555555555556</v>
      </c>
      <c r="BX148" s="1">
        <f t="shared" si="80"/>
        <v>34.838888888888889</v>
      </c>
      <c r="BY148" s="1">
        <f t="shared" si="80"/>
        <v>35.344444444444441</v>
      </c>
      <c r="BZ148" s="1">
        <f t="shared" si="80"/>
        <v>35.852777777777774</v>
      </c>
      <c r="CA148" s="1">
        <f t="shared" si="80"/>
        <v>36.358333333333334</v>
      </c>
      <c r="CB148" s="1">
        <f t="shared" si="80"/>
        <v>36.866666666666667</v>
      </c>
      <c r="CC148" s="1">
        <f t="shared" si="80"/>
        <v>37.375</v>
      </c>
      <c r="CD148" s="1">
        <f t="shared" si="80"/>
        <v>37.883333333333333</v>
      </c>
      <c r="CE148" s="1">
        <f t="shared" si="84"/>
        <v>38.388888888888886</v>
      </c>
      <c r="CF148" s="1">
        <f t="shared" si="84"/>
        <v>38.897222222222226</v>
      </c>
      <c r="CG148" s="1">
        <f t="shared" si="84"/>
        <v>39.402777777777779</v>
      </c>
      <c r="CH148" s="1">
        <f t="shared" si="84"/>
        <v>39.911111111111111</v>
      </c>
      <c r="CI148" s="1">
        <f t="shared" si="84"/>
        <v>40.416666666666664</v>
      </c>
      <c r="CJ148" s="1">
        <f t="shared" si="84"/>
        <v>40.924999999999997</v>
      </c>
      <c r="CK148" s="1">
        <f t="shared" si="84"/>
        <v>41.43333333333333</v>
      </c>
      <c r="CL148" s="1">
        <f t="shared" si="84"/>
        <v>41.94166666666667</v>
      </c>
      <c r="CM148" s="1">
        <f t="shared" si="84"/>
        <v>42.447222222222223</v>
      </c>
      <c r="CN148" s="1">
        <f t="shared" si="84"/>
        <v>42.955555555555556</v>
      </c>
      <c r="CO148" s="1">
        <f t="shared" si="84"/>
        <v>43.461111111111109</v>
      </c>
      <c r="CP148" s="1">
        <f t="shared" si="84"/>
        <v>43.969444444444441</v>
      </c>
      <c r="CQ148" s="1">
        <f t="shared" si="84"/>
        <v>44.475000000000001</v>
      </c>
      <c r="CR148" s="1">
        <f t="shared" si="84"/>
        <v>44.983333333333334</v>
      </c>
      <c r="CS148" s="1">
        <f t="shared" si="77"/>
        <v>45.491666666666667</v>
      </c>
      <c r="CT148" s="1">
        <f t="shared" si="76"/>
        <v>46</v>
      </c>
      <c r="CU148" s="1">
        <f t="shared" si="76"/>
        <v>46.505555555555553</v>
      </c>
      <c r="CV148" s="1">
        <f t="shared" si="76"/>
        <v>47.013888888888886</v>
      </c>
      <c r="CW148" s="1">
        <f t="shared" si="76"/>
        <v>47.519444444444446</v>
      </c>
      <c r="CX148" s="1">
        <f t="shared" si="76"/>
        <v>48.027777777777779</v>
      </c>
      <c r="CY148" s="1">
        <f t="shared" si="76"/>
        <v>48.533333333333331</v>
      </c>
      <c r="CZ148" s="1">
        <f t="shared" si="76"/>
        <v>49.041666666666664</v>
      </c>
      <c r="DA148" s="1">
        <f t="shared" si="76"/>
        <v>49.55</v>
      </c>
      <c r="DB148" s="1">
        <f t="shared" si="76"/>
        <v>50.05833333333333</v>
      </c>
      <c r="DC148" s="1">
        <f t="shared" si="76"/>
        <v>50.05833333333333</v>
      </c>
    </row>
    <row r="149" spans="1:107" x14ac:dyDescent="0.25">
      <c r="A149">
        <f t="shared" si="74"/>
        <v>3</v>
      </c>
      <c r="B149" s="2">
        <f>yields_BRUTE!B149</f>
        <v>42220</v>
      </c>
      <c r="C149" s="1">
        <f t="shared" si="85"/>
        <v>-0.43333333333333335</v>
      </c>
      <c r="D149" s="1">
        <f t="shared" si="85"/>
        <v>-0.39444444444444443</v>
      </c>
      <c r="E149" s="1">
        <f t="shared" si="85"/>
        <v>-0.17777777777777778</v>
      </c>
      <c r="F149" s="1">
        <f t="shared" si="85"/>
        <v>7.7777777777777779E-2</v>
      </c>
      <c r="G149" s="1">
        <f t="shared" si="85"/>
        <v>0.11666666666666667</v>
      </c>
      <c r="H149" s="1">
        <f t="shared" si="85"/>
        <v>0.33055555555555555</v>
      </c>
      <c r="I149" s="1">
        <f t="shared" si="85"/>
        <v>0.33055555555555555</v>
      </c>
      <c r="J149" s="1">
        <f t="shared" si="85"/>
        <v>0.58333333333333337</v>
      </c>
      <c r="K149" s="1">
        <f t="shared" si="85"/>
        <v>0.62222222222222223</v>
      </c>
      <c r="L149" s="1">
        <f t="shared" si="85"/>
        <v>0.83888888888888891</v>
      </c>
      <c r="M149" s="1">
        <f t="shared" si="85"/>
        <v>1.0944444444444446</v>
      </c>
      <c r="N149" s="1">
        <f t="shared" si="85"/>
        <v>1.0944444444444446</v>
      </c>
      <c r="O149" s="1">
        <f t="shared" si="85"/>
        <v>1.1333333333333333</v>
      </c>
      <c r="P149" s="1">
        <f t="shared" si="85"/>
        <v>1.3472222222222223</v>
      </c>
      <c r="Q149" s="1">
        <f t="shared" si="85"/>
        <v>1.6361111111111111</v>
      </c>
      <c r="R149" s="1">
        <f t="shared" si="85"/>
        <v>1.8527777777777779</v>
      </c>
      <c r="S149" s="1">
        <f t="shared" si="81"/>
        <v>2.1472222222222221</v>
      </c>
      <c r="T149" s="1">
        <f t="shared" si="81"/>
        <v>2.3611111111111112</v>
      </c>
      <c r="U149" s="1">
        <f t="shared" si="81"/>
        <v>2.65</v>
      </c>
      <c r="V149" s="1">
        <f t="shared" si="81"/>
        <v>2.8666666666666667</v>
      </c>
      <c r="W149" s="1">
        <f t="shared" si="81"/>
        <v>3.161111111111111</v>
      </c>
      <c r="X149" s="1">
        <f t="shared" si="81"/>
        <v>3.375</v>
      </c>
      <c r="Y149" s="1">
        <f t="shared" si="81"/>
        <v>3.6638888888888888</v>
      </c>
      <c r="Z149" s="1">
        <f t="shared" si="81"/>
        <v>3.8805555555555555</v>
      </c>
      <c r="AA149" s="1">
        <f t="shared" si="81"/>
        <v>4.1749999999999998</v>
      </c>
      <c r="AB149" s="1">
        <f t="shared" si="81"/>
        <v>4.3888888888888893</v>
      </c>
      <c r="AC149" s="1">
        <f t="shared" si="81"/>
        <v>4.6805555555555554</v>
      </c>
      <c r="AD149" s="1">
        <f t="shared" si="81"/>
        <v>4.8972222222222221</v>
      </c>
      <c r="AE149" s="1">
        <f t="shared" si="81"/>
        <v>4.8972222222222221</v>
      </c>
      <c r="AF149" s="3">
        <f t="shared" si="81"/>
        <v>5.1916666666666664</v>
      </c>
      <c r="AG149" s="1">
        <f t="shared" si="78"/>
        <v>5.4055555555555559</v>
      </c>
      <c r="AH149" s="1">
        <f t="shared" si="78"/>
        <v>5.6944444444444446</v>
      </c>
      <c r="AI149" s="1">
        <f t="shared" si="78"/>
        <v>5.6944444444444446</v>
      </c>
      <c r="AJ149" s="1">
        <f t="shared" si="78"/>
        <v>5.9111111111111114</v>
      </c>
      <c r="AK149" s="1">
        <f t="shared" si="78"/>
        <v>5.9111111111111114</v>
      </c>
      <c r="AL149" s="1">
        <f t="shared" si="78"/>
        <v>6.4194444444444443</v>
      </c>
      <c r="AM149" s="1">
        <f t="shared" si="78"/>
        <v>6.9249999999999998</v>
      </c>
      <c r="AN149" s="1">
        <f t="shared" si="78"/>
        <v>6.9249999999999998</v>
      </c>
      <c r="AO149" s="1">
        <f t="shared" si="78"/>
        <v>7.4333333333333336</v>
      </c>
      <c r="AP149" s="1">
        <f t="shared" si="78"/>
        <v>7.9388888888888891</v>
      </c>
      <c r="AQ149" s="1">
        <f t="shared" si="78"/>
        <v>7.9388888888888891</v>
      </c>
      <c r="AR149" s="1">
        <f t="shared" si="78"/>
        <v>8.4472222222222229</v>
      </c>
      <c r="AS149" s="1">
        <f t="shared" si="78"/>
        <v>8.9555555555555557</v>
      </c>
      <c r="AT149" s="1">
        <f t="shared" si="78"/>
        <v>9.4638888888888886</v>
      </c>
      <c r="AU149" s="1">
        <f t="shared" si="78"/>
        <v>9.969444444444445</v>
      </c>
      <c r="AV149" s="1">
        <f t="shared" si="78"/>
        <v>9.969444444444445</v>
      </c>
      <c r="AW149" s="1">
        <f t="shared" si="82"/>
        <v>14.536111111111111</v>
      </c>
      <c r="AX149" s="1">
        <f t="shared" si="79"/>
        <v>15.041666666666666</v>
      </c>
      <c r="AY149" s="1">
        <f t="shared" si="79"/>
        <v>15.55</v>
      </c>
      <c r="AZ149" s="1">
        <f t="shared" si="79"/>
        <v>16.055555555555557</v>
      </c>
      <c r="BA149" s="1">
        <f t="shared" si="79"/>
        <v>16.56388888888889</v>
      </c>
      <c r="BB149" s="1">
        <f t="shared" si="79"/>
        <v>17.072222222222223</v>
      </c>
      <c r="BC149" s="1">
        <f t="shared" si="79"/>
        <v>17.580555555555556</v>
      </c>
      <c r="BD149" s="1">
        <f t="shared" si="79"/>
        <v>18.086111111111112</v>
      </c>
      <c r="BE149" s="1">
        <f t="shared" si="79"/>
        <v>18.086111111111112</v>
      </c>
      <c r="BF149" s="1">
        <f t="shared" si="79"/>
        <v>26.711111111111112</v>
      </c>
      <c r="BG149" s="1">
        <f t="shared" si="79"/>
        <v>27.216666666666665</v>
      </c>
      <c r="BH149" s="1">
        <f t="shared" si="79"/>
        <v>27.725000000000001</v>
      </c>
      <c r="BI149" s="1">
        <f t="shared" si="79"/>
        <v>28.230555555555554</v>
      </c>
      <c r="BJ149" s="1">
        <f t="shared" si="79"/>
        <v>28.738888888888887</v>
      </c>
      <c r="BK149" s="1">
        <f t="shared" si="79"/>
        <v>29.247222222222224</v>
      </c>
      <c r="BL149" s="1">
        <f t="shared" si="79"/>
        <v>29.755555555555556</v>
      </c>
      <c r="BM149" s="1">
        <f t="shared" si="79"/>
        <v>30.261111111111113</v>
      </c>
      <c r="BN149" s="1">
        <f t="shared" si="83"/>
        <v>30.769444444444446</v>
      </c>
      <c r="BO149" s="1">
        <f t="shared" si="80"/>
        <v>30.769444444444446</v>
      </c>
      <c r="BP149" s="1">
        <f t="shared" si="80"/>
        <v>31.274999999999999</v>
      </c>
      <c r="BQ149" s="1">
        <f t="shared" si="80"/>
        <v>31.783333333333335</v>
      </c>
      <c r="BR149" s="1">
        <f t="shared" si="80"/>
        <v>32.288888888888891</v>
      </c>
      <c r="BS149" s="1">
        <f t="shared" si="80"/>
        <v>32.797222222222224</v>
      </c>
      <c r="BT149" s="1">
        <f t="shared" si="80"/>
        <v>33.305555555555557</v>
      </c>
      <c r="BU149" s="1">
        <f t="shared" si="80"/>
        <v>33.81388888888889</v>
      </c>
      <c r="BV149" s="1">
        <f t="shared" si="80"/>
        <v>33.81388888888889</v>
      </c>
      <c r="BW149" s="1">
        <f t="shared" si="80"/>
        <v>34.319444444444443</v>
      </c>
      <c r="BX149" s="1">
        <f t="shared" si="80"/>
        <v>34.827777777777776</v>
      </c>
      <c r="BY149" s="1">
        <f t="shared" si="80"/>
        <v>35.333333333333336</v>
      </c>
      <c r="BZ149" s="1">
        <f t="shared" si="80"/>
        <v>35.841666666666669</v>
      </c>
      <c r="CA149" s="1">
        <f t="shared" si="80"/>
        <v>36.347222222222221</v>
      </c>
      <c r="CB149" s="1">
        <f t="shared" si="80"/>
        <v>36.855555555555554</v>
      </c>
      <c r="CC149" s="1">
        <f t="shared" si="80"/>
        <v>37.363888888888887</v>
      </c>
      <c r="CD149" s="1">
        <f t="shared" si="80"/>
        <v>37.87222222222222</v>
      </c>
      <c r="CE149" s="1">
        <f t="shared" si="84"/>
        <v>38.37777777777778</v>
      </c>
      <c r="CF149" s="1">
        <f t="shared" si="84"/>
        <v>38.886111111111113</v>
      </c>
      <c r="CG149" s="1">
        <f t="shared" si="84"/>
        <v>39.391666666666666</v>
      </c>
      <c r="CH149" s="1">
        <f t="shared" si="84"/>
        <v>39.9</v>
      </c>
      <c r="CI149" s="1">
        <f t="shared" si="84"/>
        <v>40.405555555555559</v>
      </c>
      <c r="CJ149" s="1">
        <f t="shared" si="84"/>
        <v>40.913888888888891</v>
      </c>
      <c r="CK149" s="1">
        <f t="shared" si="84"/>
        <v>41.422222222222224</v>
      </c>
      <c r="CL149" s="1">
        <f t="shared" si="84"/>
        <v>41.930555555555557</v>
      </c>
      <c r="CM149" s="1">
        <f t="shared" si="84"/>
        <v>42.43611111111111</v>
      </c>
      <c r="CN149" s="1">
        <f t="shared" si="84"/>
        <v>42.944444444444443</v>
      </c>
      <c r="CO149" s="1">
        <f t="shared" si="84"/>
        <v>43.45</v>
      </c>
      <c r="CP149" s="1">
        <f t="shared" si="84"/>
        <v>43.958333333333336</v>
      </c>
      <c r="CQ149" s="1">
        <f t="shared" si="84"/>
        <v>44.463888888888889</v>
      </c>
      <c r="CR149" s="1">
        <f t="shared" si="84"/>
        <v>44.972222222222221</v>
      </c>
      <c r="CS149" s="1">
        <f t="shared" si="77"/>
        <v>45.480555555555554</v>
      </c>
      <c r="CT149" s="1">
        <f t="shared" si="76"/>
        <v>45.988888888888887</v>
      </c>
      <c r="CU149" s="1">
        <f t="shared" si="76"/>
        <v>46.494444444444447</v>
      </c>
      <c r="CV149" s="1">
        <f t="shared" si="76"/>
        <v>47.00277777777778</v>
      </c>
      <c r="CW149" s="1">
        <f t="shared" si="76"/>
        <v>47.508333333333333</v>
      </c>
      <c r="CX149" s="1">
        <f t="shared" si="76"/>
        <v>48.016666666666666</v>
      </c>
      <c r="CY149" s="1">
        <f t="shared" si="76"/>
        <v>48.522222222222226</v>
      </c>
      <c r="CZ149" s="1">
        <f t="shared" si="76"/>
        <v>49.030555555555559</v>
      </c>
      <c r="DA149" s="1">
        <f t="shared" si="76"/>
        <v>49.538888888888891</v>
      </c>
      <c r="DB149" s="1">
        <f t="shared" si="76"/>
        <v>50.047222222222224</v>
      </c>
      <c r="DC149" s="1">
        <f t="shared" si="76"/>
        <v>50.047222222222224</v>
      </c>
    </row>
    <row r="150" spans="1:107" x14ac:dyDescent="0.25">
      <c r="A150">
        <f t="shared" si="74"/>
        <v>4</v>
      </c>
      <c r="B150" s="2">
        <f>yields_BRUTE!B150</f>
        <v>42221</v>
      </c>
      <c r="C150" s="1">
        <f t="shared" si="85"/>
        <v>-0.43611111111111112</v>
      </c>
      <c r="D150" s="1">
        <f t="shared" si="85"/>
        <v>-0.3972222222222222</v>
      </c>
      <c r="E150" s="1">
        <f t="shared" si="85"/>
        <v>-0.18055555555555555</v>
      </c>
      <c r="F150" s="1">
        <f t="shared" si="85"/>
        <v>7.4999999999999997E-2</v>
      </c>
      <c r="G150" s="1">
        <f t="shared" si="85"/>
        <v>0.11388888888888889</v>
      </c>
      <c r="H150" s="1">
        <f t="shared" si="85"/>
        <v>0.32777777777777778</v>
      </c>
      <c r="I150" s="1">
        <f t="shared" si="85"/>
        <v>0.32777777777777778</v>
      </c>
      <c r="J150" s="1">
        <f t="shared" si="85"/>
        <v>0.5805555555555556</v>
      </c>
      <c r="K150" s="1">
        <f t="shared" si="85"/>
        <v>0.61944444444444446</v>
      </c>
      <c r="L150" s="1">
        <f t="shared" si="85"/>
        <v>0.83611111111111114</v>
      </c>
      <c r="M150" s="1">
        <f t="shared" si="85"/>
        <v>1.0916666666666666</v>
      </c>
      <c r="N150" s="1">
        <f t="shared" si="85"/>
        <v>1.0916666666666666</v>
      </c>
      <c r="O150" s="1">
        <f t="shared" si="85"/>
        <v>1.1305555555555555</v>
      </c>
      <c r="P150" s="1">
        <f t="shared" si="85"/>
        <v>1.3444444444444446</v>
      </c>
      <c r="Q150" s="1">
        <f t="shared" si="85"/>
        <v>1.6333333333333333</v>
      </c>
      <c r="R150" s="1">
        <f t="shared" si="85"/>
        <v>1.85</v>
      </c>
      <c r="S150" s="1">
        <f t="shared" si="81"/>
        <v>2.1444444444444444</v>
      </c>
      <c r="T150" s="1">
        <f t="shared" si="81"/>
        <v>2.3583333333333334</v>
      </c>
      <c r="U150" s="1">
        <f t="shared" si="81"/>
        <v>2.6472222222222221</v>
      </c>
      <c r="V150" s="1">
        <f t="shared" si="81"/>
        <v>2.8638888888888889</v>
      </c>
      <c r="W150" s="1">
        <f t="shared" si="81"/>
        <v>3.1583333333333332</v>
      </c>
      <c r="X150" s="1">
        <f t="shared" si="81"/>
        <v>3.3722222222222222</v>
      </c>
      <c r="Y150" s="1">
        <f t="shared" si="81"/>
        <v>3.661111111111111</v>
      </c>
      <c r="Z150" s="1">
        <f t="shared" si="81"/>
        <v>3.8777777777777778</v>
      </c>
      <c r="AA150" s="1">
        <f t="shared" si="81"/>
        <v>4.1722222222222225</v>
      </c>
      <c r="AB150" s="1">
        <f t="shared" si="81"/>
        <v>4.3861111111111111</v>
      </c>
      <c r="AC150" s="1">
        <f t="shared" si="81"/>
        <v>4.677777777777778</v>
      </c>
      <c r="AD150" s="1">
        <f t="shared" si="81"/>
        <v>4.8944444444444448</v>
      </c>
      <c r="AE150" s="1">
        <f t="shared" si="81"/>
        <v>4.8944444444444448</v>
      </c>
      <c r="AF150" s="3">
        <f t="shared" si="81"/>
        <v>5.1888888888888891</v>
      </c>
      <c r="AG150" s="1">
        <f t="shared" si="78"/>
        <v>5.4027777777777777</v>
      </c>
      <c r="AH150" s="1">
        <f t="shared" si="78"/>
        <v>5.6916666666666664</v>
      </c>
      <c r="AI150" s="1">
        <f t="shared" si="78"/>
        <v>5.6916666666666664</v>
      </c>
      <c r="AJ150" s="1">
        <f t="shared" si="78"/>
        <v>5.9083333333333332</v>
      </c>
      <c r="AK150" s="1">
        <f t="shared" si="78"/>
        <v>5.9083333333333332</v>
      </c>
      <c r="AL150" s="1">
        <f t="shared" si="78"/>
        <v>6.416666666666667</v>
      </c>
      <c r="AM150" s="1">
        <f t="shared" si="78"/>
        <v>6.9222222222222225</v>
      </c>
      <c r="AN150" s="1">
        <f t="shared" si="78"/>
        <v>6.9222222222222225</v>
      </c>
      <c r="AO150" s="1">
        <f t="shared" si="78"/>
        <v>7.4305555555555554</v>
      </c>
      <c r="AP150" s="1">
        <f t="shared" si="78"/>
        <v>7.9361111111111109</v>
      </c>
      <c r="AQ150" s="1">
        <f t="shared" si="78"/>
        <v>7.9361111111111109</v>
      </c>
      <c r="AR150" s="1">
        <f t="shared" si="78"/>
        <v>8.4444444444444446</v>
      </c>
      <c r="AS150" s="1">
        <f t="shared" si="78"/>
        <v>8.9527777777777775</v>
      </c>
      <c r="AT150" s="1">
        <f t="shared" si="78"/>
        <v>9.4611111111111104</v>
      </c>
      <c r="AU150" s="1">
        <f t="shared" si="78"/>
        <v>9.9666666666666668</v>
      </c>
      <c r="AV150" s="1">
        <f t="shared" si="78"/>
        <v>9.9666666666666668</v>
      </c>
      <c r="AW150" s="1">
        <f t="shared" si="82"/>
        <v>14.533333333333333</v>
      </c>
      <c r="AX150" s="1">
        <f t="shared" si="79"/>
        <v>15.03888888888889</v>
      </c>
      <c r="AY150" s="1">
        <f t="shared" si="79"/>
        <v>15.547222222222222</v>
      </c>
      <c r="AZ150" s="1">
        <f t="shared" si="79"/>
        <v>16.052777777777777</v>
      </c>
      <c r="BA150" s="1">
        <f t="shared" si="79"/>
        <v>16.56111111111111</v>
      </c>
      <c r="BB150" s="1">
        <f t="shared" si="79"/>
        <v>17.069444444444443</v>
      </c>
      <c r="BC150" s="1">
        <f t="shared" si="79"/>
        <v>17.577777777777779</v>
      </c>
      <c r="BD150" s="1">
        <f t="shared" si="79"/>
        <v>18.083333333333332</v>
      </c>
      <c r="BE150" s="1">
        <f t="shared" si="79"/>
        <v>18.083333333333332</v>
      </c>
      <c r="BF150" s="1">
        <f t="shared" si="79"/>
        <v>26.708333333333332</v>
      </c>
      <c r="BG150" s="1">
        <f t="shared" si="79"/>
        <v>27.213888888888889</v>
      </c>
      <c r="BH150" s="1">
        <f t="shared" si="79"/>
        <v>27.722222222222221</v>
      </c>
      <c r="BI150" s="1">
        <f t="shared" si="79"/>
        <v>28.227777777777778</v>
      </c>
      <c r="BJ150" s="1">
        <f t="shared" si="79"/>
        <v>28.736111111111111</v>
      </c>
      <c r="BK150" s="1">
        <f t="shared" si="79"/>
        <v>29.244444444444444</v>
      </c>
      <c r="BL150" s="1">
        <f t="shared" si="79"/>
        <v>29.752777777777776</v>
      </c>
      <c r="BM150" s="1">
        <f t="shared" si="79"/>
        <v>30.258333333333333</v>
      </c>
      <c r="BN150" s="1">
        <f t="shared" si="83"/>
        <v>30.766666666666666</v>
      </c>
      <c r="BO150" s="1">
        <f t="shared" si="80"/>
        <v>30.766666666666666</v>
      </c>
      <c r="BP150" s="1">
        <f t="shared" si="80"/>
        <v>31.272222222222222</v>
      </c>
      <c r="BQ150" s="1">
        <f t="shared" si="80"/>
        <v>31.780555555555555</v>
      </c>
      <c r="BR150" s="1">
        <f t="shared" si="80"/>
        <v>32.286111111111111</v>
      </c>
      <c r="BS150" s="1">
        <f t="shared" si="80"/>
        <v>32.794444444444444</v>
      </c>
      <c r="BT150" s="1">
        <f t="shared" si="80"/>
        <v>33.302777777777777</v>
      </c>
      <c r="BU150" s="1">
        <f t="shared" si="80"/>
        <v>33.81111111111111</v>
      </c>
      <c r="BV150" s="1">
        <f t="shared" si="80"/>
        <v>33.81111111111111</v>
      </c>
      <c r="BW150" s="1">
        <f t="shared" si="80"/>
        <v>34.31666666666667</v>
      </c>
      <c r="BX150" s="1">
        <f t="shared" si="80"/>
        <v>34.825000000000003</v>
      </c>
      <c r="BY150" s="1">
        <f t="shared" si="80"/>
        <v>35.330555555555556</v>
      </c>
      <c r="BZ150" s="1">
        <f t="shared" si="80"/>
        <v>35.838888888888889</v>
      </c>
      <c r="CA150" s="1">
        <f t="shared" si="80"/>
        <v>36.344444444444441</v>
      </c>
      <c r="CB150" s="1">
        <f t="shared" si="80"/>
        <v>36.852777777777774</v>
      </c>
      <c r="CC150" s="1">
        <f t="shared" si="80"/>
        <v>37.361111111111114</v>
      </c>
      <c r="CD150" s="1">
        <f t="shared" si="80"/>
        <v>37.869444444444447</v>
      </c>
      <c r="CE150" s="1">
        <f t="shared" si="84"/>
        <v>38.375</v>
      </c>
      <c r="CF150" s="1">
        <f t="shared" si="84"/>
        <v>38.883333333333333</v>
      </c>
      <c r="CG150" s="1">
        <f t="shared" si="84"/>
        <v>39.388888888888886</v>
      </c>
      <c r="CH150" s="1">
        <f t="shared" si="84"/>
        <v>39.897222222222226</v>
      </c>
      <c r="CI150" s="1">
        <f t="shared" si="84"/>
        <v>40.402777777777779</v>
      </c>
      <c r="CJ150" s="1">
        <f t="shared" si="84"/>
        <v>40.911111111111111</v>
      </c>
      <c r="CK150" s="1">
        <f t="shared" si="84"/>
        <v>41.419444444444444</v>
      </c>
      <c r="CL150" s="1">
        <f t="shared" si="84"/>
        <v>41.927777777777777</v>
      </c>
      <c r="CM150" s="1">
        <f t="shared" si="84"/>
        <v>42.43333333333333</v>
      </c>
      <c r="CN150" s="1">
        <f t="shared" si="84"/>
        <v>42.94166666666667</v>
      </c>
      <c r="CO150" s="1">
        <f t="shared" si="84"/>
        <v>43.447222222222223</v>
      </c>
      <c r="CP150" s="1">
        <f t="shared" si="84"/>
        <v>43.955555555555556</v>
      </c>
      <c r="CQ150" s="1">
        <f t="shared" si="84"/>
        <v>44.461111111111109</v>
      </c>
      <c r="CR150" s="1">
        <f t="shared" si="84"/>
        <v>44.969444444444441</v>
      </c>
      <c r="CS150" s="1">
        <f t="shared" si="77"/>
        <v>45.477777777777774</v>
      </c>
      <c r="CT150" s="1">
        <f t="shared" si="76"/>
        <v>45.986111111111114</v>
      </c>
      <c r="CU150" s="1">
        <f t="shared" si="76"/>
        <v>46.491666666666667</v>
      </c>
      <c r="CV150" s="1">
        <f t="shared" si="76"/>
        <v>47</v>
      </c>
      <c r="CW150" s="1">
        <f t="shared" si="76"/>
        <v>47.505555555555553</v>
      </c>
      <c r="CX150" s="1">
        <f t="shared" si="76"/>
        <v>48.013888888888886</v>
      </c>
      <c r="CY150" s="1">
        <f t="shared" si="76"/>
        <v>48.519444444444446</v>
      </c>
      <c r="CZ150" s="1">
        <f t="shared" si="76"/>
        <v>49.027777777777779</v>
      </c>
      <c r="DA150" s="1">
        <f t="shared" si="76"/>
        <v>49.536111111111111</v>
      </c>
      <c r="DB150" s="1">
        <f t="shared" si="76"/>
        <v>50.044444444444444</v>
      </c>
      <c r="DC150" s="1">
        <f t="shared" si="76"/>
        <v>50.044444444444444</v>
      </c>
    </row>
    <row r="151" spans="1:107" x14ac:dyDescent="0.25">
      <c r="A151">
        <f t="shared" si="74"/>
        <v>5</v>
      </c>
      <c r="B151" s="2">
        <f>yields_BRUTE!B151</f>
        <v>42222</v>
      </c>
      <c r="C151" s="1">
        <f t="shared" si="85"/>
        <v>-0.43888888888888888</v>
      </c>
      <c r="D151" s="1">
        <f t="shared" si="85"/>
        <v>-0.4</v>
      </c>
      <c r="E151" s="1">
        <f t="shared" si="85"/>
        <v>-0.18333333333333332</v>
      </c>
      <c r="F151" s="1">
        <f t="shared" si="85"/>
        <v>7.2222222222222215E-2</v>
      </c>
      <c r="G151" s="1">
        <f t="shared" si="85"/>
        <v>0.1111111111111111</v>
      </c>
      <c r="H151" s="1">
        <f t="shared" si="85"/>
        <v>0.32500000000000001</v>
      </c>
      <c r="I151" s="1">
        <f t="shared" si="85"/>
        <v>0.32500000000000001</v>
      </c>
      <c r="J151" s="1">
        <f t="shared" si="85"/>
        <v>0.57777777777777772</v>
      </c>
      <c r="K151" s="1">
        <f t="shared" si="85"/>
        <v>0.6166666666666667</v>
      </c>
      <c r="L151" s="1">
        <f t="shared" si="85"/>
        <v>0.83333333333333337</v>
      </c>
      <c r="M151" s="1">
        <f t="shared" si="85"/>
        <v>1.0888888888888888</v>
      </c>
      <c r="N151" s="1">
        <f t="shared" si="85"/>
        <v>1.0888888888888888</v>
      </c>
      <c r="O151" s="1">
        <f t="shared" si="85"/>
        <v>1.1277777777777778</v>
      </c>
      <c r="P151" s="1">
        <f t="shared" si="85"/>
        <v>1.3416666666666666</v>
      </c>
      <c r="Q151" s="1">
        <f t="shared" si="85"/>
        <v>1.6305555555555555</v>
      </c>
      <c r="R151" s="1">
        <f t="shared" si="85"/>
        <v>1.8472222222222223</v>
      </c>
      <c r="S151" s="1">
        <f t="shared" si="81"/>
        <v>2.1416666666666666</v>
      </c>
      <c r="T151" s="1">
        <f t="shared" si="81"/>
        <v>2.3555555555555556</v>
      </c>
      <c r="U151" s="1">
        <f t="shared" si="81"/>
        <v>2.6444444444444444</v>
      </c>
      <c r="V151" s="1">
        <f t="shared" si="81"/>
        <v>2.8611111111111112</v>
      </c>
      <c r="W151" s="1">
        <f t="shared" si="81"/>
        <v>3.1555555555555554</v>
      </c>
      <c r="X151" s="1">
        <f t="shared" si="81"/>
        <v>3.3694444444444445</v>
      </c>
      <c r="Y151" s="1">
        <f t="shared" si="81"/>
        <v>3.6583333333333332</v>
      </c>
      <c r="Z151" s="1">
        <f t="shared" si="81"/>
        <v>3.875</v>
      </c>
      <c r="AA151" s="1">
        <f t="shared" si="81"/>
        <v>4.1694444444444443</v>
      </c>
      <c r="AB151" s="1">
        <f t="shared" si="81"/>
        <v>4.3833333333333337</v>
      </c>
      <c r="AC151" s="1">
        <f t="shared" si="81"/>
        <v>4.6749999999999998</v>
      </c>
      <c r="AD151" s="1">
        <f t="shared" si="81"/>
        <v>4.8916666666666666</v>
      </c>
      <c r="AE151" s="1">
        <f t="shared" si="81"/>
        <v>4.8916666666666666</v>
      </c>
      <c r="AF151" s="3">
        <f t="shared" si="81"/>
        <v>5.1861111111111109</v>
      </c>
      <c r="AG151" s="1">
        <f t="shared" si="78"/>
        <v>5.4</v>
      </c>
      <c r="AH151" s="1">
        <f t="shared" si="78"/>
        <v>5.6888888888888891</v>
      </c>
      <c r="AI151" s="1">
        <f t="shared" si="78"/>
        <v>5.6888888888888891</v>
      </c>
      <c r="AJ151" s="1">
        <f t="shared" si="78"/>
        <v>5.9055555555555559</v>
      </c>
      <c r="AK151" s="1">
        <f t="shared" si="78"/>
        <v>5.9055555555555559</v>
      </c>
      <c r="AL151" s="1">
        <f t="shared" si="78"/>
        <v>6.4138888888888888</v>
      </c>
      <c r="AM151" s="1">
        <f t="shared" si="78"/>
        <v>6.9194444444444443</v>
      </c>
      <c r="AN151" s="1">
        <f t="shared" si="78"/>
        <v>6.9194444444444443</v>
      </c>
      <c r="AO151" s="1">
        <f t="shared" si="78"/>
        <v>7.427777777777778</v>
      </c>
      <c r="AP151" s="1">
        <f t="shared" si="78"/>
        <v>7.9333333333333336</v>
      </c>
      <c r="AQ151" s="1">
        <f t="shared" si="78"/>
        <v>7.9333333333333336</v>
      </c>
      <c r="AR151" s="1">
        <f t="shared" si="78"/>
        <v>8.4416666666666664</v>
      </c>
      <c r="AS151" s="1">
        <f t="shared" si="78"/>
        <v>8.9499999999999993</v>
      </c>
      <c r="AT151" s="1">
        <f t="shared" si="78"/>
        <v>9.4583333333333339</v>
      </c>
      <c r="AU151" s="1">
        <f t="shared" si="78"/>
        <v>9.9638888888888886</v>
      </c>
      <c r="AV151" s="1">
        <f t="shared" si="78"/>
        <v>9.9638888888888886</v>
      </c>
      <c r="AW151" s="1">
        <f t="shared" si="82"/>
        <v>14.530555555555555</v>
      </c>
      <c r="AX151" s="1">
        <f t="shared" si="79"/>
        <v>15.036111111111111</v>
      </c>
      <c r="AY151" s="1">
        <f t="shared" si="79"/>
        <v>15.544444444444444</v>
      </c>
      <c r="AZ151" s="1">
        <f t="shared" si="79"/>
        <v>16.05</v>
      </c>
      <c r="BA151" s="1">
        <f t="shared" si="79"/>
        <v>16.558333333333334</v>
      </c>
      <c r="BB151" s="1">
        <f t="shared" si="79"/>
        <v>17.066666666666666</v>
      </c>
      <c r="BC151" s="1">
        <f t="shared" si="79"/>
        <v>17.574999999999999</v>
      </c>
      <c r="BD151" s="1">
        <f t="shared" si="79"/>
        <v>18.080555555555556</v>
      </c>
      <c r="BE151" s="1">
        <f t="shared" si="79"/>
        <v>18.080555555555556</v>
      </c>
      <c r="BF151" s="1">
        <f t="shared" si="79"/>
        <v>26.705555555555556</v>
      </c>
      <c r="BG151" s="1">
        <f t="shared" si="79"/>
        <v>27.211111111111112</v>
      </c>
      <c r="BH151" s="1">
        <f t="shared" si="79"/>
        <v>27.719444444444445</v>
      </c>
      <c r="BI151" s="1">
        <f t="shared" si="79"/>
        <v>28.225000000000001</v>
      </c>
      <c r="BJ151" s="1">
        <f t="shared" si="79"/>
        <v>28.733333333333334</v>
      </c>
      <c r="BK151" s="1">
        <f t="shared" si="79"/>
        <v>29.241666666666667</v>
      </c>
      <c r="BL151" s="1">
        <f t="shared" si="79"/>
        <v>29.75</v>
      </c>
      <c r="BM151" s="1">
        <f t="shared" si="79"/>
        <v>30.255555555555556</v>
      </c>
      <c r="BN151" s="1">
        <f t="shared" si="83"/>
        <v>30.763888888888889</v>
      </c>
      <c r="BO151" s="1">
        <f t="shared" si="80"/>
        <v>30.763888888888889</v>
      </c>
      <c r="BP151" s="1">
        <f t="shared" si="80"/>
        <v>31.269444444444446</v>
      </c>
      <c r="BQ151" s="1">
        <f t="shared" si="80"/>
        <v>31.777777777777779</v>
      </c>
      <c r="BR151" s="1">
        <f t="shared" si="80"/>
        <v>32.283333333333331</v>
      </c>
      <c r="BS151" s="1">
        <f t="shared" si="80"/>
        <v>32.791666666666664</v>
      </c>
      <c r="BT151" s="1">
        <f t="shared" si="80"/>
        <v>33.299999999999997</v>
      </c>
      <c r="BU151" s="1">
        <f t="shared" si="80"/>
        <v>33.80833333333333</v>
      </c>
      <c r="BV151" s="1">
        <f t="shared" si="80"/>
        <v>33.80833333333333</v>
      </c>
      <c r="BW151" s="1">
        <f t="shared" si="80"/>
        <v>34.31388888888889</v>
      </c>
      <c r="BX151" s="1">
        <f t="shared" si="80"/>
        <v>34.822222222222223</v>
      </c>
      <c r="BY151" s="1">
        <f t="shared" si="80"/>
        <v>35.327777777777776</v>
      </c>
      <c r="BZ151" s="1">
        <f t="shared" si="80"/>
        <v>35.836111111111109</v>
      </c>
      <c r="CA151" s="1">
        <f t="shared" si="80"/>
        <v>36.341666666666669</v>
      </c>
      <c r="CB151" s="1">
        <f t="shared" si="80"/>
        <v>36.85</v>
      </c>
      <c r="CC151" s="1">
        <f t="shared" si="80"/>
        <v>37.358333333333334</v>
      </c>
      <c r="CD151" s="1">
        <f t="shared" si="80"/>
        <v>37.866666666666667</v>
      </c>
      <c r="CE151" s="1">
        <f t="shared" si="84"/>
        <v>38.37222222222222</v>
      </c>
      <c r="CF151" s="1">
        <f t="shared" si="84"/>
        <v>38.880555555555553</v>
      </c>
      <c r="CG151" s="1">
        <f t="shared" si="84"/>
        <v>39.386111111111113</v>
      </c>
      <c r="CH151" s="1">
        <f t="shared" si="84"/>
        <v>39.894444444444446</v>
      </c>
      <c r="CI151" s="1">
        <f t="shared" si="84"/>
        <v>40.4</v>
      </c>
      <c r="CJ151" s="1">
        <f t="shared" si="84"/>
        <v>40.908333333333331</v>
      </c>
      <c r="CK151" s="1">
        <f t="shared" si="84"/>
        <v>41.416666666666664</v>
      </c>
      <c r="CL151" s="1">
        <f t="shared" si="84"/>
        <v>41.924999999999997</v>
      </c>
      <c r="CM151" s="1">
        <f t="shared" si="84"/>
        <v>42.430555555555557</v>
      </c>
      <c r="CN151" s="1">
        <f t="shared" si="84"/>
        <v>42.93888888888889</v>
      </c>
      <c r="CO151" s="1">
        <f t="shared" si="84"/>
        <v>43.444444444444443</v>
      </c>
      <c r="CP151" s="1">
        <f t="shared" si="84"/>
        <v>43.952777777777776</v>
      </c>
      <c r="CQ151" s="1">
        <f t="shared" si="84"/>
        <v>44.458333333333336</v>
      </c>
      <c r="CR151" s="1">
        <f t="shared" si="84"/>
        <v>44.966666666666669</v>
      </c>
      <c r="CS151" s="1">
        <f t="shared" si="77"/>
        <v>45.475000000000001</v>
      </c>
      <c r="CT151" s="1">
        <f t="shared" si="76"/>
        <v>45.983333333333334</v>
      </c>
      <c r="CU151" s="1">
        <f t="shared" si="76"/>
        <v>46.488888888888887</v>
      </c>
      <c r="CV151" s="1">
        <f t="shared" si="76"/>
        <v>46.99722222222222</v>
      </c>
      <c r="CW151" s="1">
        <f t="shared" si="76"/>
        <v>47.50277777777778</v>
      </c>
      <c r="CX151" s="1">
        <f t="shared" si="76"/>
        <v>48.011111111111113</v>
      </c>
      <c r="CY151" s="1">
        <f t="shared" si="76"/>
        <v>48.516666666666666</v>
      </c>
      <c r="CZ151" s="1">
        <f t="shared" si="76"/>
        <v>49.024999999999999</v>
      </c>
      <c r="DA151" s="1">
        <f t="shared" si="76"/>
        <v>49.533333333333331</v>
      </c>
      <c r="DB151" s="1">
        <f t="shared" si="76"/>
        <v>50.041666666666664</v>
      </c>
      <c r="DC151" s="1">
        <f t="shared" si="76"/>
        <v>50.041666666666664</v>
      </c>
    </row>
    <row r="152" spans="1:107" x14ac:dyDescent="0.25">
      <c r="A152">
        <f t="shared" si="74"/>
        <v>6</v>
      </c>
      <c r="B152" s="2">
        <f>yields_BRUTE!B152</f>
        <v>42223</v>
      </c>
      <c r="C152" s="1">
        <f t="shared" si="85"/>
        <v>-0.44166666666666665</v>
      </c>
      <c r="D152" s="1">
        <f t="shared" si="85"/>
        <v>-0.40277777777777779</v>
      </c>
      <c r="E152" s="1">
        <f t="shared" si="85"/>
        <v>-0.18611111111111112</v>
      </c>
      <c r="F152" s="1">
        <f t="shared" si="85"/>
        <v>6.9444444444444448E-2</v>
      </c>
      <c r="G152" s="1">
        <f t="shared" si="85"/>
        <v>0.10833333333333334</v>
      </c>
      <c r="H152" s="1">
        <f t="shared" si="85"/>
        <v>0.32222222222222224</v>
      </c>
      <c r="I152" s="1">
        <f t="shared" si="85"/>
        <v>0.32222222222222224</v>
      </c>
      <c r="J152" s="1">
        <f t="shared" si="85"/>
        <v>0.57499999999999996</v>
      </c>
      <c r="K152" s="1">
        <f t="shared" si="85"/>
        <v>0.61388888888888893</v>
      </c>
      <c r="L152" s="1">
        <f t="shared" si="85"/>
        <v>0.8305555555555556</v>
      </c>
      <c r="M152" s="1">
        <f t="shared" si="85"/>
        <v>1.086111111111111</v>
      </c>
      <c r="N152" s="1">
        <f t="shared" si="85"/>
        <v>1.086111111111111</v>
      </c>
      <c r="O152" s="1">
        <f t="shared" si="85"/>
        <v>1.125</v>
      </c>
      <c r="P152" s="1">
        <f t="shared" si="85"/>
        <v>1.3388888888888888</v>
      </c>
      <c r="Q152" s="1">
        <f t="shared" si="85"/>
        <v>1.6277777777777778</v>
      </c>
      <c r="R152" s="1">
        <f t="shared" si="85"/>
        <v>1.8444444444444446</v>
      </c>
      <c r="S152" s="1">
        <f t="shared" si="81"/>
        <v>2.1388888888888888</v>
      </c>
      <c r="T152" s="1">
        <f t="shared" si="81"/>
        <v>2.3527777777777779</v>
      </c>
      <c r="U152" s="1">
        <f t="shared" si="81"/>
        <v>2.6416666666666666</v>
      </c>
      <c r="V152" s="1">
        <f t="shared" si="81"/>
        <v>2.8583333333333334</v>
      </c>
      <c r="W152" s="1">
        <f t="shared" si="81"/>
        <v>3.1527777777777777</v>
      </c>
      <c r="X152" s="1">
        <f t="shared" si="81"/>
        <v>3.3666666666666667</v>
      </c>
      <c r="Y152" s="1">
        <f t="shared" si="81"/>
        <v>3.6555555555555554</v>
      </c>
      <c r="Z152" s="1">
        <f t="shared" si="81"/>
        <v>3.8722222222222222</v>
      </c>
      <c r="AA152" s="1">
        <f t="shared" si="81"/>
        <v>4.166666666666667</v>
      </c>
      <c r="AB152" s="1">
        <f t="shared" si="81"/>
        <v>4.3805555555555555</v>
      </c>
      <c r="AC152" s="1">
        <f t="shared" si="81"/>
        <v>4.6722222222222225</v>
      </c>
      <c r="AD152" s="1">
        <f t="shared" si="81"/>
        <v>4.8888888888888893</v>
      </c>
      <c r="AE152" s="1">
        <f t="shared" si="81"/>
        <v>4.8888888888888893</v>
      </c>
      <c r="AF152" s="3">
        <f t="shared" si="81"/>
        <v>5.1833333333333336</v>
      </c>
      <c r="AG152" s="1">
        <f t="shared" si="78"/>
        <v>5.3972222222222221</v>
      </c>
      <c r="AH152" s="1">
        <f t="shared" si="78"/>
        <v>5.6861111111111109</v>
      </c>
      <c r="AI152" s="1">
        <f t="shared" si="78"/>
        <v>5.6861111111111109</v>
      </c>
      <c r="AJ152" s="1">
        <f t="shared" si="78"/>
        <v>5.9027777777777777</v>
      </c>
      <c r="AK152" s="1">
        <f t="shared" si="78"/>
        <v>5.9027777777777777</v>
      </c>
      <c r="AL152" s="1">
        <f t="shared" si="78"/>
        <v>6.4111111111111114</v>
      </c>
      <c r="AM152" s="1">
        <f t="shared" si="78"/>
        <v>6.916666666666667</v>
      </c>
      <c r="AN152" s="1">
        <f t="shared" si="78"/>
        <v>6.916666666666667</v>
      </c>
      <c r="AO152" s="1">
        <f t="shared" si="78"/>
        <v>7.4249999999999998</v>
      </c>
      <c r="AP152" s="1">
        <f t="shared" si="78"/>
        <v>7.9305555555555554</v>
      </c>
      <c r="AQ152" s="1">
        <f t="shared" si="78"/>
        <v>7.9305555555555554</v>
      </c>
      <c r="AR152" s="1">
        <f t="shared" si="78"/>
        <v>8.4388888888888882</v>
      </c>
      <c r="AS152" s="1">
        <f t="shared" si="78"/>
        <v>8.9472222222222229</v>
      </c>
      <c r="AT152" s="1">
        <f t="shared" si="78"/>
        <v>9.4555555555555557</v>
      </c>
      <c r="AU152" s="1">
        <f t="shared" si="78"/>
        <v>9.9611111111111104</v>
      </c>
      <c r="AV152" s="1">
        <f t="shared" si="78"/>
        <v>9.9611111111111104</v>
      </c>
      <c r="AW152" s="1">
        <f t="shared" si="82"/>
        <v>14.527777777777779</v>
      </c>
      <c r="AX152" s="1">
        <f t="shared" si="79"/>
        <v>15.033333333333333</v>
      </c>
      <c r="AY152" s="1">
        <f t="shared" si="79"/>
        <v>15.541666666666666</v>
      </c>
      <c r="AZ152" s="1">
        <f t="shared" si="79"/>
        <v>16.047222222222221</v>
      </c>
      <c r="BA152" s="1">
        <f t="shared" si="79"/>
        <v>16.555555555555557</v>
      </c>
      <c r="BB152" s="1">
        <f t="shared" si="79"/>
        <v>17.06388888888889</v>
      </c>
      <c r="BC152" s="1">
        <f t="shared" si="79"/>
        <v>17.572222222222223</v>
      </c>
      <c r="BD152" s="1">
        <f t="shared" si="79"/>
        <v>18.077777777777779</v>
      </c>
      <c r="BE152" s="1">
        <f t="shared" si="79"/>
        <v>18.077777777777779</v>
      </c>
      <c r="BF152" s="1">
        <f t="shared" si="79"/>
        <v>26.702777777777779</v>
      </c>
      <c r="BG152" s="1">
        <f t="shared" si="79"/>
        <v>27.208333333333332</v>
      </c>
      <c r="BH152" s="1">
        <f t="shared" si="79"/>
        <v>27.716666666666665</v>
      </c>
      <c r="BI152" s="1">
        <f t="shared" si="79"/>
        <v>28.222222222222221</v>
      </c>
      <c r="BJ152" s="1">
        <f t="shared" si="79"/>
        <v>28.730555555555554</v>
      </c>
      <c r="BK152" s="1">
        <f t="shared" si="79"/>
        <v>29.238888888888887</v>
      </c>
      <c r="BL152" s="1">
        <f t="shared" si="79"/>
        <v>29.747222222222224</v>
      </c>
      <c r="BM152" s="1">
        <f t="shared" si="79"/>
        <v>30.252777777777776</v>
      </c>
      <c r="BN152" s="1">
        <f t="shared" si="83"/>
        <v>30.761111111111113</v>
      </c>
      <c r="BO152" s="1">
        <f t="shared" si="80"/>
        <v>30.761111111111113</v>
      </c>
      <c r="BP152" s="1">
        <f t="shared" si="80"/>
        <v>31.266666666666666</v>
      </c>
      <c r="BQ152" s="1">
        <f t="shared" si="80"/>
        <v>31.774999999999999</v>
      </c>
      <c r="BR152" s="1">
        <f t="shared" si="80"/>
        <v>32.280555555555559</v>
      </c>
      <c r="BS152" s="1">
        <f t="shared" si="80"/>
        <v>32.788888888888891</v>
      </c>
      <c r="BT152" s="1">
        <f t="shared" si="80"/>
        <v>33.297222222222224</v>
      </c>
      <c r="BU152" s="1">
        <f t="shared" si="80"/>
        <v>33.805555555555557</v>
      </c>
      <c r="BV152" s="1">
        <f t="shared" si="80"/>
        <v>33.805555555555557</v>
      </c>
      <c r="BW152" s="1">
        <f t="shared" si="80"/>
        <v>34.31111111111111</v>
      </c>
      <c r="BX152" s="1">
        <f t="shared" si="80"/>
        <v>34.819444444444443</v>
      </c>
      <c r="BY152" s="1">
        <f t="shared" si="80"/>
        <v>35.325000000000003</v>
      </c>
      <c r="BZ152" s="1">
        <f t="shared" si="80"/>
        <v>35.833333333333336</v>
      </c>
      <c r="CA152" s="1">
        <f t="shared" si="80"/>
        <v>36.338888888888889</v>
      </c>
      <c r="CB152" s="1">
        <f t="shared" si="80"/>
        <v>36.847222222222221</v>
      </c>
      <c r="CC152" s="1">
        <f t="shared" si="80"/>
        <v>37.355555555555554</v>
      </c>
      <c r="CD152" s="1">
        <f t="shared" si="80"/>
        <v>37.863888888888887</v>
      </c>
      <c r="CE152" s="1">
        <f t="shared" si="84"/>
        <v>38.369444444444447</v>
      </c>
      <c r="CF152" s="1">
        <f t="shared" si="84"/>
        <v>38.87777777777778</v>
      </c>
      <c r="CG152" s="1">
        <f t="shared" si="84"/>
        <v>39.383333333333333</v>
      </c>
      <c r="CH152" s="1">
        <f t="shared" si="84"/>
        <v>39.891666666666666</v>
      </c>
      <c r="CI152" s="1">
        <f t="shared" si="84"/>
        <v>40.397222222222226</v>
      </c>
      <c r="CJ152" s="1">
        <f t="shared" si="84"/>
        <v>40.905555555555559</v>
      </c>
      <c r="CK152" s="1">
        <f t="shared" si="84"/>
        <v>41.413888888888891</v>
      </c>
      <c r="CL152" s="1">
        <f t="shared" si="84"/>
        <v>41.922222222222224</v>
      </c>
      <c r="CM152" s="1">
        <f t="shared" si="84"/>
        <v>42.427777777777777</v>
      </c>
      <c r="CN152" s="1">
        <f t="shared" si="84"/>
        <v>42.93611111111111</v>
      </c>
      <c r="CO152" s="1">
        <f t="shared" si="84"/>
        <v>43.44166666666667</v>
      </c>
      <c r="CP152" s="1">
        <f t="shared" si="84"/>
        <v>43.95</v>
      </c>
      <c r="CQ152" s="1">
        <f t="shared" si="84"/>
        <v>44.455555555555556</v>
      </c>
      <c r="CR152" s="1">
        <f t="shared" si="84"/>
        <v>44.963888888888889</v>
      </c>
      <c r="CS152" s="1">
        <f t="shared" si="77"/>
        <v>45.472222222222221</v>
      </c>
      <c r="CT152" s="1">
        <f t="shared" si="76"/>
        <v>45.980555555555554</v>
      </c>
      <c r="CU152" s="1">
        <f t="shared" si="76"/>
        <v>46.486111111111114</v>
      </c>
      <c r="CV152" s="1">
        <f t="shared" si="76"/>
        <v>46.994444444444447</v>
      </c>
      <c r="CW152" s="1">
        <f t="shared" si="76"/>
        <v>47.5</v>
      </c>
      <c r="CX152" s="1">
        <f t="shared" si="76"/>
        <v>48.008333333333333</v>
      </c>
      <c r="CY152" s="1">
        <f t="shared" si="76"/>
        <v>48.513888888888886</v>
      </c>
      <c r="CZ152" s="1">
        <f t="shared" si="76"/>
        <v>49.022222222222226</v>
      </c>
      <c r="DA152" s="1">
        <f t="shared" si="76"/>
        <v>49.530555555555559</v>
      </c>
      <c r="DB152" s="1">
        <f t="shared" si="76"/>
        <v>50.038888888888891</v>
      </c>
      <c r="DC152" s="1">
        <f t="shared" si="76"/>
        <v>50.038888888888891</v>
      </c>
    </row>
    <row r="153" spans="1:107" x14ac:dyDescent="0.25">
      <c r="A153">
        <f t="shared" si="74"/>
        <v>2</v>
      </c>
      <c r="B153" s="2">
        <f>yields_BRUTE!B153</f>
        <v>42226</v>
      </c>
      <c r="C153" s="1">
        <f t="shared" si="85"/>
        <v>-0.45</v>
      </c>
      <c r="D153" s="1">
        <f t="shared" si="85"/>
        <v>-0.41111111111111109</v>
      </c>
      <c r="E153" s="1">
        <f t="shared" si="85"/>
        <v>-0.19444444444444445</v>
      </c>
      <c r="F153" s="1">
        <f t="shared" si="85"/>
        <v>6.1111111111111109E-2</v>
      </c>
      <c r="G153" s="1">
        <f t="shared" si="85"/>
        <v>0.1</v>
      </c>
      <c r="H153" s="1">
        <f t="shared" si="85"/>
        <v>0.31388888888888888</v>
      </c>
      <c r="I153" s="1">
        <f t="shared" si="85"/>
        <v>0.31388888888888888</v>
      </c>
      <c r="J153" s="1">
        <f t="shared" si="85"/>
        <v>0.56666666666666665</v>
      </c>
      <c r="K153" s="1">
        <f t="shared" si="85"/>
        <v>0.60555555555555551</v>
      </c>
      <c r="L153" s="1">
        <f t="shared" si="85"/>
        <v>0.82222222222222219</v>
      </c>
      <c r="M153" s="1">
        <f t="shared" si="85"/>
        <v>1.0777777777777777</v>
      </c>
      <c r="N153" s="1">
        <f t="shared" si="85"/>
        <v>1.0777777777777777</v>
      </c>
      <c r="O153" s="1">
        <f t="shared" si="85"/>
        <v>1.1166666666666667</v>
      </c>
      <c r="P153" s="1">
        <f t="shared" si="85"/>
        <v>1.3305555555555555</v>
      </c>
      <c r="Q153" s="1">
        <f t="shared" si="85"/>
        <v>1.6194444444444445</v>
      </c>
      <c r="R153" s="1">
        <f t="shared" si="85"/>
        <v>1.836111111111111</v>
      </c>
      <c r="S153" s="1">
        <f t="shared" si="81"/>
        <v>2.1305555555555555</v>
      </c>
      <c r="T153" s="1">
        <f t="shared" si="81"/>
        <v>2.3444444444444446</v>
      </c>
      <c r="U153" s="1">
        <f t="shared" si="81"/>
        <v>2.6333333333333333</v>
      </c>
      <c r="V153" s="1">
        <f t="shared" si="81"/>
        <v>2.85</v>
      </c>
      <c r="W153" s="1">
        <f t="shared" si="81"/>
        <v>3.1444444444444444</v>
      </c>
      <c r="X153" s="1">
        <f t="shared" si="81"/>
        <v>3.3583333333333334</v>
      </c>
      <c r="Y153" s="1">
        <f t="shared" si="81"/>
        <v>3.6472222222222221</v>
      </c>
      <c r="Z153" s="1">
        <f t="shared" si="81"/>
        <v>3.8638888888888889</v>
      </c>
      <c r="AA153" s="1">
        <f t="shared" si="81"/>
        <v>4.1583333333333332</v>
      </c>
      <c r="AB153" s="1">
        <f t="shared" si="81"/>
        <v>4.3722222222222218</v>
      </c>
      <c r="AC153" s="1">
        <f t="shared" si="81"/>
        <v>4.6638888888888888</v>
      </c>
      <c r="AD153" s="1">
        <f t="shared" si="81"/>
        <v>4.8805555555555555</v>
      </c>
      <c r="AE153" s="1">
        <f t="shared" si="81"/>
        <v>4.8805555555555555</v>
      </c>
      <c r="AF153" s="3">
        <f t="shared" si="81"/>
        <v>5.1749999999999998</v>
      </c>
      <c r="AG153" s="1">
        <f t="shared" si="78"/>
        <v>5.3888888888888893</v>
      </c>
      <c r="AH153" s="1">
        <f t="shared" si="78"/>
        <v>5.677777777777778</v>
      </c>
      <c r="AI153" s="1">
        <f t="shared" si="78"/>
        <v>5.677777777777778</v>
      </c>
      <c r="AJ153" s="1">
        <f t="shared" si="78"/>
        <v>5.8944444444444448</v>
      </c>
      <c r="AK153" s="1">
        <f t="shared" si="78"/>
        <v>5.8944444444444448</v>
      </c>
      <c r="AL153" s="1">
        <f t="shared" si="78"/>
        <v>6.4027777777777777</v>
      </c>
      <c r="AM153" s="1">
        <f t="shared" si="78"/>
        <v>6.9083333333333332</v>
      </c>
      <c r="AN153" s="1">
        <f t="shared" si="78"/>
        <v>6.9083333333333332</v>
      </c>
      <c r="AO153" s="1">
        <f t="shared" si="78"/>
        <v>7.416666666666667</v>
      </c>
      <c r="AP153" s="1">
        <f t="shared" si="78"/>
        <v>7.9222222222222225</v>
      </c>
      <c r="AQ153" s="1">
        <f t="shared" si="78"/>
        <v>7.9222222222222225</v>
      </c>
      <c r="AR153" s="1">
        <f t="shared" si="78"/>
        <v>8.4305555555555554</v>
      </c>
      <c r="AS153" s="1">
        <f t="shared" si="78"/>
        <v>8.9388888888888882</v>
      </c>
      <c r="AT153" s="1">
        <f t="shared" si="78"/>
        <v>9.4472222222222229</v>
      </c>
      <c r="AU153" s="1">
        <f t="shared" si="78"/>
        <v>9.9527777777777775</v>
      </c>
      <c r="AV153" s="1">
        <f t="shared" si="78"/>
        <v>9.9527777777777775</v>
      </c>
      <c r="AW153" s="1">
        <f t="shared" si="82"/>
        <v>14.519444444444444</v>
      </c>
      <c r="AX153" s="1">
        <f t="shared" si="79"/>
        <v>15.025</v>
      </c>
      <c r="AY153" s="1">
        <f t="shared" si="79"/>
        <v>15.533333333333333</v>
      </c>
      <c r="AZ153" s="1">
        <f t="shared" si="79"/>
        <v>16.038888888888888</v>
      </c>
      <c r="BA153" s="1">
        <f t="shared" si="79"/>
        <v>16.547222222222221</v>
      </c>
      <c r="BB153" s="1">
        <f t="shared" si="79"/>
        <v>17.055555555555557</v>
      </c>
      <c r="BC153" s="1">
        <f t="shared" si="79"/>
        <v>17.56388888888889</v>
      </c>
      <c r="BD153" s="1">
        <f t="shared" si="79"/>
        <v>18.069444444444443</v>
      </c>
      <c r="BE153" s="1">
        <f t="shared" si="79"/>
        <v>18.069444444444443</v>
      </c>
      <c r="BF153" s="1">
        <f t="shared" si="79"/>
        <v>26.694444444444443</v>
      </c>
      <c r="BG153" s="1">
        <f t="shared" si="79"/>
        <v>27.2</v>
      </c>
      <c r="BH153" s="1">
        <f t="shared" si="79"/>
        <v>27.708333333333332</v>
      </c>
      <c r="BI153" s="1">
        <f t="shared" si="79"/>
        <v>28.213888888888889</v>
      </c>
      <c r="BJ153" s="1">
        <f t="shared" si="79"/>
        <v>28.722222222222221</v>
      </c>
      <c r="BK153" s="1">
        <f t="shared" si="79"/>
        <v>29.230555555555554</v>
      </c>
      <c r="BL153" s="1">
        <f t="shared" si="79"/>
        <v>29.738888888888887</v>
      </c>
      <c r="BM153" s="1">
        <f t="shared" si="79"/>
        <v>30.244444444444444</v>
      </c>
      <c r="BN153" s="1">
        <f t="shared" si="83"/>
        <v>30.752777777777776</v>
      </c>
      <c r="BO153" s="1">
        <f t="shared" si="80"/>
        <v>30.752777777777776</v>
      </c>
      <c r="BP153" s="1">
        <f t="shared" si="80"/>
        <v>31.258333333333333</v>
      </c>
      <c r="BQ153" s="1">
        <f t="shared" si="80"/>
        <v>31.766666666666666</v>
      </c>
      <c r="BR153" s="1">
        <f t="shared" si="80"/>
        <v>32.272222222222226</v>
      </c>
      <c r="BS153" s="1">
        <f t="shared" si="80"/>
        <v>32.780555555555559</v>
      </c>
      <c r="BT153" s="1">
        <f t="shared" si="80"/>
        <v>33.288888888888891</v>
      </c>
      <c r="BU153" s="1">
        <f t="shared" si="80"/>
        <v>33.797222222222224</v>
      </c>
      <c r="BV153" s="1">
        <f t="shared" si="80"/>
        <v>33.797222222222224</v>
      </c>
      <c r="BW153" s="1">
        <f t="shared" si="80"/>
        <v>34.302777777777777</v>
      </c>
      <c r="BX153" s="1">
        <f t="shared" si="80"/>
        <v>34.81111111111111</v>
      </c>
      <c r="BY153" s="1">
        <f t="shared" si="80"/>
        <v>35.31666666666667</v>
      </c>
      <c r="BZ153" s="1">
        <f t="shared" si="80"/>
        <v>35.825000000000003</v>
      </c>
      <c r="CA153" s="1">
        <f t="shared" si="80"/>
        <v>36.330555555555556</v>
      </c>
      <c r="CB153" s="1">
        <f t="shared" si="80"/>
        <v>36.838888888888889</v>
      </c>
      <c r="CC153" s="1">
        <f t="shared" si="80"/>
        <v>37.347222222222221</v>
      </c>
      <c r="CD153" s="1">
        <f t="shared" si="80"/>
        <v>37.855555555555554</v>
      </c>
      <c r="CE153" s="1">
        <f t="shared" si="84"/>
        <v>38.361111111111114</v>
      </c>
      <c r="CF153" s="1">
        <f t="shared" si="84"/>
        <v>38.869444444444447</v>
      </c>
      <c r="CG153" s="1">
        <f t="shared" si="84"/>
        <v>39.375</v>
      </c>
      <c r="CH153" s="1">
        <f t="shared" si="84"/>
        <v>39.883333333333333</v>
      </c>
      <c r="CI153" s="1">
        <f t="shared" si="84"/>
        <v>40.388888888888886</v>
      </c>
      <c r="CJ153" s="1">
        <f t="shared" si="84"/>
        <v>40.897222222222226</v>
      </c>
      <c r="CK153" s="1">
        <f t="shared" si="84"/>
        <v>41.405555555555559</v>
      </c>
      <c r="CL153" s="1">
        <f t="shared" si="84"/>
        <v>41.913888888888891</v>
      </c>
      <c r="CM153" s="1">
        <f t="shared" si="84"/>
        <v>42.419444444444444</v>
      </c>
      <c r="CN153" s="1">
        <f t="shared" si="84"/>
        <v>42.927777777777777</v>
      </c>
      <c r="CO153" s="1">
        <f t="shared" si="84"/>
        <v>43.43333333333333</v>
      </c>
      <c r="CP153" s="1">
        <f t="shared" si="84"/>
        <v>43.94166666666667</v>
      </c>
      <c r="CQ153" s="1">
        <f t="shared" si="84"/>
        <v>44.447222222222223</v>
      </c>
      <c r="CR153" s="1">
        <f t="shared" si="84"/>
        <v>44.955555555555556</v>
      </c>
      <c r="CS153" s="1">
        <f t="shared" si="77"/>
        <v>45.463888888888889</v>
      </c>
      <c r="CT153" s="1">
        <f t="shared" si="76"/>
        <v>45.972222222222221</v>
      </c>
      <c r="CU153" s="1">
        <f t="shared" si="76"/>
        <v>46.477777777777774</v>
      </c>
      <c r="CV153" s="1">
        <f t="shared" si="76"/>
        <v>46.986111111111114</v>
      </c>
      <c r="CW153" s="1">
        <f t="shared" si="76"/>
        <v>47.491666666666667</v>
      </c>
      <c r="CX153" s="1">
        <f t="shared" si="76"/>
        <v>48</v>
      </c>
      <c r="CY153" s="1">
        <f t="shared" si="76"/>
        <v>48.505555555555553</v>
      </c>
      <c r="CZ153" s="1">
        <f t="shared" si="76"/>
        <v>49.013888888888886</v>
      </c>
      <c r="DA153" s="1">
        <f t="shared" si="76"/>
        <v>49.522222222222226</v>
      </c>
      <c r="DB153" s="1">
        <f t="shared" si="76"/>
        <v>50.030555555555559</v>
      </c>
      <c r="DC153" s="1">
        <f t="shared" si="76"/>
        <v>50.030555555555559</v>
      </c>
    </row>
    <row r="154" spans="1:107" x14ac:dyDescent="0.25">
      <c r="A154">
        <f t="shared" si="74"/>
        <v>3</v>
      </c>
      <c r="B154" s="2">
        <f>yields_BRUTE!B154</f>
        <v>42227</v>
      </c>
      <c r="C154" s="1">
        <f t="shared" si="85"/>
        <v>-0.45277777777777778</v>
      </c>
      <c r="D154" s="1">
        <f t="shared" si="85"/>
        <v>-0.41388888888888886</v>
      </c>
      <c r="E154" s="1">
        <f t="shared" si="85"/>
        <v>-0.19722222222222222</v>
      </c>
      <c r="F154" s="1">
        <f t="shared" si="85"/>
        <v>5.8333333333333334E-2</v>
      </c>
      <c r="G154" s="1">
        <f t="shared" si="85"/>
        <v>9.7222222222222224E-2</v>
      </c>
      <c r="H154" s="1">
        <f t="shared" si="85"/>
        <v>0.31111111111111112</v>
      </c>
      <c r="I154" s="1">
        <f t="shared" si="85"/>
        <v>0.31111111111111112</v>
      </c>
      <c r="J154" s="1">
        <f t="shared" si="85"/>
        <v>0.56388888888888888</v>
      </c>
      <c r="K154" s="1">
        <f t="shared" si="85"/>
        <v>0.60277777777777775</v>
      </c>
      <c r="L154" s="1">
        <f t="shared" si="85"/>
        <v>0.81944444444444442</v>
      </c>
      <c r="M154" s="1">
        <f t="shared" si="85"/>
        <v>1.075</v>
      </c>
      <c r="N154" s="1">
        <f t="shared" si="85"/>
        <v>1.075</v>
      </c>
      <c r="O154" s="1">
        <f t="shared" si="85"/>
        <v>1.1138888888888889</v>
      </c>
      <c r="P154" s="1">
        <f t="shared" si="85"/>
        <v>1.3277777777777777</v>
      </c>
      <c r="Q154" s="1">
        <f t="shared" si="85"/>
        <v>1.6166666666666667</v>
      </c>
      <c r="R154" s="1">
        <f t="shared" si="85"/>
        <v>1.8333333333333333</v>
      </c>
      <c r="S154" s="1">
        <f t="shared" si="81"/>
        <v>2.1277777777777778</v>
      </c>
      <c r="T154" s="1">
        <f t="shared" si="81"/>
        <v>2.3416666666666668</v>
      </c>
      <c r="U154" s="1">
        <f t="shared" si="81"/>
        <v>2.6305555555555555</v>
      </c>
      <c r="V154" s="1">
        <f t="shared" si="81"/>
        <v>2.8472222222222223</v>
      </c>
      <c r="W154" s="1">
        <f t="shared" si="81"/>
        <v>3.1416666666666666</v>
      </c>
      <c r="X154" s="1">
        <f t="shared" si="81"/>
        <v>3.3555555555555556</v>
      </c>
      <c r="Y154" s="1">
        <f t="shared" si="81"/>
        <v>3.6444444444444444</v>
      </c>
      <c r="Z154" s="1">
        <f t="shared" si="81"/>
        <v>3.8611111111111112</v>
      </c>
      <c r="AA154" s="1">
        <f t="shared" si="81"/>
        <v>4.1555555555555559</v>
      </c>
      <c r="AB154" s="1">
        <f t="shared" si="81"/>
        <v>4.3694444444444445</v>
      </c>
      <c r="AC154" s="1">
        <f t="shared" si="81"/>
        <v>4.6611111111111114</v>
      </c>
      <c r="AD154" s="1">
        <f t="shared" si="81"/>
        <v>4.8777777777777782</v>
      </c>
      <c r="AE154" s="1">
        <f t="shared" si="81"/>
        <v>4.8777777777777782</v>
      </c>
      <c r="AF154" s="3">
        <f t="shared" si="81"/>
        <v>5.1722222222222225</v>
      </c>
      <c r="AG154" s="1">
        <f t="shared" si="78"/>
        <v>5.3861111111111111</v>
      </c>
      <c r="AH154" s="1">
        <f t="shared" si="78"/>
        <v>5.6749999999999998</v>
      </c>
      <c r="AI154" s="1">
        <f t="shared" si="78"/>
        <v>5.6749999999999998</v>
      </c>
      <c r="AJ154" s="1">
        <f t="shared" si="78"/>
        <v>5.8916666666666666</v>
      </c>
      <c r="AK154" s="1">
        <f t="shared" si="78"/>
        <v>5.8916666666666666</v>
      </c>
      <c r="AL154" s="1">
        <f t="shared" si="78"/>
        <v>6.4</v>
      </c>
      <c r="AM154" s="1">
        <f t="shared" si="78"/>
        <v>6.9055555555555559</v>
      </c>
      <c r="AN154" s="1">
        <f t="shared" si="78"/>
        <v>6.9055555555555559</v>
      </c>
      <c r="AO154" s="1">
        <f t="shared" si="78"/>
        <v>7.4138888888888888</v>
      </c>
      <c r="AP154" s="1">
        <f t="shared" si="78"/>
        <v>7.9194444444444443</v>
      </c>
      <c r="AQ154" s="1">
        <f t="shared" si="78"/>
        <v>7.9194444444444443</v>
      </c>
      <c r="AR154" s="1">
        <f t="shared" si="78"/>
        <v>8.4277777777777771</v>
      </c>
      <c r="AS154" s="1">
        <f t="shared" si="78"/>
        <v>8.9361111111111118</v>
      </c>
      <c r="AT154" s="1">
        <f t="shared" si="78"/>
        <v>9.4444444444444446</v>
      </c>
      <c r="AU154" s="1">
        <f t="shared" si="78"/>
        <v>9.9499999999999993</v>
      </c>
      <c r="AV154" s="1">
        <f t="shared" si="78"/>
        <v>9.9499999999999993</v>
      </c>
      <c r="AW154" s="1">
        <f t="shared" si="82"/>
        <v>14.516666666666667</v>
      </c>
      <c r="AX154" s="1">
        <f t="shared" si="79"/>
        <v>15.022222222222222</v>
      </c>
      <c r="AY154" s="1">
        <f t="shared" si="79"/>
        <v>15.530555555555555</v>
      </c>
      <c r="AZ154" s="1">
        <f t="shared" si="79"/>
        <v>16.036111111111111</v>
      </c>
      <c r="BA154" s="1">
        <f t="shared" si="79"/>
        <v>16.544444444444444</v>
      </c>
      <c r="BB154" s="1">
        <f t="shared" si="79"/>
        <v>17.052777777777777</v>
      </c>
      <c r="BC154" s="1">
        <f t="shared" si="79"/>
        <v>17.56111111111111</v>
      </c>
      <c r="BD154" s="1">
        <f t="shared" si="79"/>
        <v>18.066666666666666</v>
      </c>
      <c r="BE154" s="1">
        <f t="shared" si="79"/>
        <v>18.066666666666666</v>
      </c>
      <c r="BF154" s="1">
        <f t="shared" si="79"/>
        <v>26.691666666666666</v>
      </c>
      <c r="BG154" s="1">
        <f t="shared" si="79"/>
        <v>27.197222222222223</v>
      </c>
      <c r="BH154" s="1">
        <f t="shared" si="79"/>
        <v>27.705555555555556</v>
      </c>
      <c r="BI154" s="1">
        <f t="shared" si="79"/>
        <v>28.211111111111112</v>
      </c>
      <c r="BJ154" s="1">
        <f t="shared" si="79"/>
        <v>28.719444444444445</v>
      </c>
      <c r="BK154" s="1">
        <f t="shared" si="79"/>
        <v>29.227777777777778</v>
      </c>
      <c r="BL154" s="1">
        <f t="shared" si="79"/>
        <v>29.736111111111111</v>
      </c>
      <c r="BM154" s="1">
        <f t="shared" si="79"/>
        <v>30.241666666666667</v>
      </c>
      <c r="BN154" s="1">
        <f t="shared" si="83"/>
        <v>30.75</v>
      </c>
      <c r="BO154" s="1">
        <f t="shared" si="80"/>
        <v>30.75</v>
      </c>
      <c r="BP154" s="1">
        <f t="shared" si="80"/>
        <v>31.255555555555556</v>
      </c>
      <c r="BQ154" s="1">
        <f t="shared" si="80"/>
        <v>31.763888888888889</v>
      </c>
      <c r="BR154" s="1">
        <f t="shared" si="80"/>
        <v>32.269444444444446</v>
      </c>
      <c r="BS154" s="1">
        <f t="shared" si="80"/>
        <v>32.777777777777779</v>
      </c>
      <c r="BT154" s="1">
        <f t="shared" si="80"/>
        <v>33.286111111111111</v>
      </c>
      <c r="BU154" s="1">
        <f t="shared" si="80"/>
        <v>33.794444444444444</v>
      </c>
      <c r="BV154" s="1">
        <f t="shared" si="80"/>
        <v>33.794444444444444</v>
      </c>
      <c r="BW154" s="1">
        <f t="shared" si="80"/>
        <v>34.299999999999997</v>
      </c>
      <c r="BX154" s="1">
        <f t="shared" si="80"/>
        <v>34.80833333333333</v>
      </c>
      <c r="BY154" s="1">
        <f t="shared" si="80"/>
        <v>35.31388888888889</v>
      </c>
      <c r="BZ154" s="1">
        <f t="shared" si="80"/>
        <v>35.822222222222223</v>
      </c>
      <c r="CA154" s="1">
        <f t="shared" si="80"/>
        <v>36.327777777777776</v>
      </c>
      <c r="CB154" s="1">
        <f t="shared" si="80"/>
        <v>36.836111111111109</v>
      </c>
      <c r="CC154" s="1">
        <f t="shared" si="80"/>
        <v>37.344444444444441</v>
      </c>
      <c r="CD154" s="1">
        <f t="shared" si="80"/>
        <v>37.852777777777774</v>
      </c>
      <c r="CE154" s="1">
        <f t="shared" si="84"/>
        <v>38.358333333333334</v>
      </c>
      <c r="CF154" s="1">
        <f t="shared" si="84"/>
        <v>38.866666666666667</v>
      </c>
      <c r="CG154" s="1">
        <f t="shared" si="84"/>
        <v>39.37222222222222</v>
      </c>
      <c r="CH154" s="1">
        <f t="shared" si="84"/>
        <v>39.880555555555553</v>
      </c>
      <c r="CI154" s="1">
        <f t="shared" si="84"/>
        <v>40.386111111111113</v>
      </c>
      <c r="CJ154" s="1">
        <f t="shared" si="84"/>
        <v>40.894444444444446</v>
      </c>
      <c r="CK154" s="1">
        <f t="shared" si="84"/>
        <v>41.402777777777779</v>
      </c>
      <c r="CL154" s="1">
        <f t="shared" si="84"/>
        <v>41.911111111111111</v>
      </c>
      <c r="CM154" s="1">
        <f t="shared" si="84"/>
        <v>42.416666666666664</v>
      </c>
      <c r="CN154" s="1">
        <f t="shared" si="84"/>
        <v>42.924999999999997</v>
      </c>
      <c r="CO154" s="1">
        <f t="shared" si="84"/>
        <v>43.430555555555557</v>
      </c>
      <c r="CP154" s="1">
        <f t="shared" si="84"/>
        <v>43.93888888888889</v>
      </c>
      <c r="CQ154" s="1">
        <f t="shared" si="84"/>
        <v>44.444444444444443</v>
      </c>
      <c r="CR154" s="1">
        <f t="shared" si="84"/>
        <v>44.952777777777776</v>
      </c>
      <c r="CS154" s="1">
        <f t="shared" si="77"/>
        <v>45.461111111111109</v>
      </c>
      <c r="CT154" s="1">
        <f t="shared" si="76"/>
        <v>45.969444444444441</v>
      </c>
      <c r="CU154" s="1">
        <f t="shared" si="76"/>
        <v>46.475000000000001</v>
      </c>
      <c r="CV154" s="1">
        <f t="shared" si="76"/>
        <v>46.983333333333334</v>
      </c>
      <c r="CW154" s="1">
        <f t="shared" si="76"/>
        <v>47.488888888888887</v>
      </c>
      <c r="CX154" s="1">
        <f t="shared" si="76"/>
        <v>47.99722222222222</v>
      </c>
      <c r="CY154" s="1">
        <f t="shared" si="76"/>
        <v>48.50277777777778</v>
      </c>
      <c r="CZ154" s="1">
        <f t="shared" si="76"/>
        <v>49.011111111111113</v>
      </c>
      <c r="DA154" s="1">
        <f t="shared" si="76"/>
        <v>49.519444444444446</v>
      </c>
      <c r="DB154" s="1">
        <f t="shared" si="76"/>
        <v>50.027777777777779</v>
      </c>
      <c r="DC154" s="1">
        <f t="shared" si="76"/>
        <v>50.027777777777779</v>
      </c>
    </row>
    <row r="155" spans="1:107" x14ac:dyDescent="0.25">
      <c r="A155">
        <f t="shared" si="74"/>
        <v>4</v>
      </c>
      <c r="B155" s="2">
        <f>yields_BRUTE!B155</f>
        <v>42228</v>
      </c>
      <c r="C155" s="1">
        <f t="shared" si="85"/>
        <v>-0.45555555555555555</v>
      </c>
      <c r="D155" s="1">
        <f t="shared" si="85"/>
        <v>-0.41666666666666669</v>
      </c>
      <c r="E155" s="1">
        <f t="shared" si="85"/>
        <v>-0.2</v>
      </c>
      <c r="F155" s="1">
        <f t="shared" si="85"/>
        <v>5.5555555555555552E-2</v>
      </c>
      <c r="G155" s="1">
        <f t="shared" si="85"/>
        <v>9.4444444444444442E-2</v>
      </c>
      <c r="H155" s="1">
        <f t="shared" si="85"/>
        <v>0.30833333333333335</v>
      </c>
      <c r="I155" s="1">
        <f t="shared" si="85"/>
        <v>0.30833333333333335</v>
      </c>
      <c r="J155" s="1">
        <f t="shared" si="85"/>
        <v>0.56111111111111112</v>
      </c>
      <c r="K155" s="1">
        <f t="shared" si="85"/>
        <v>0.6</v>
      </c>
      <c r="L155" s="1">
        <f t="shared" si="85"/>
        <v>0.81666666666666665</v>
      </c>
      <c r="M155" s="1">
        <f t="shared" si="85"/>
        <v>1.0722222222222222</v>
      </c>
      <c r="N155" s="1">
        <f t="shared" si="85"/>
        <v>1.0722222222222222</v>
      </c>
      <c r="O155" s="1">
        <f t="shared" si="85"/>
        <v>1.1111111111111112</v>
      </c>
      <c r="P155" s="1">
        <f t="shared" si="85"/>
        <v>1.325</v>
      </c>
      <c r="Q155" s="1">
        <f t="shared" si="85"/>
        <v>1.6138888888888889</v>
      </c>
      <c r="R155" s="1">
        <f t="shared" si="85"/>
        <v>1.8305555555555555</v>
      </c>
      <c r="S155" s="1">
        <f t="shared" si="81"/>
        <v>2.125</v>
      </c>
      <c r="T155" s="1">
        <f t="shared" si="81"/>
        <v>2.338888888888889</v>
      </c>
      <c r="U155" s="1">
        <f t="shared" si="81"/>
        <v>2.6277777777777778</v>
      </c>
      <c r="V155" s="1">
        <f t="shared" si="81"/>
        <v>2.8444444444444446</v>
      </c>
      <c r="W155" s="1">
        <f t="shared" si="81"/>
        <v>3.1388888888888888</v>
      </c>
      <c r="X155" s="1">
        <f t="shared" si="81"/>
        <v>3.3527777777777779</v>
      </c>
      <c r="Y155" s="1">
        <f t="shared" si="81"/>
        <v>3.6416666666666666</v>
      </c>
      <c r="Z155" s="1">
        <f t="shared" si="81"/>
        <v>3.8583333333333334</v>
      </c>
      <c r="AA155" s="1">
        <f t="shared" si="81"/>
        <v>4.1527777777777777</v>
      </c>
      <c r="AB155" s="1">
        <f t="shared" si="81"/>
        <v>4.3666666666666663</v>
      </c>
      <c r="AC155" s="1">
        <f t="shared" si="81"/>
        <v>4.6583333333333332</v>
      </c>
      <c r="AD155" s="1">
        <f t="shared" si="81"/>
        <v>4.875</v>
      </c>
      <c r="AE155" s="1">
        <f t="shared" si="81"/>
        <v>4.875</v>
      </c>
      <c r="AF155" s="3">
        <f t="shared" si="81"/>
        <v>5.1694444444444443</v>
      </c>
      <c r="AG155" s="1">
        <f t="shared" si="78"/>
        <v>5.3833333333333337</v>
      </c>
      <c r="AH155" s="1">
        <f t="shared" si="78"/>
        <v>5.6722222222222225</v>
      </c>
      <c r="AI155" s="1">
        <f t="shared" si="78"/>
        <v>5.6722222222222225</v>
      </c>
      <c r="AJ155" s="1">
        <f t="shared" si="78"/>
        <v>5.8888888888888893</v>
      </c>
      <c r="AK155" s="1">
        <f t="shared" si="78"/>
        <v>5.8888888888888893</v>
      </c>
      <c r="AL155" s="1">
        <f t="shared" si="78"/>
        <v>6.3972222222222221</v>
      </c>
      <c r="AM155" s="1">
        <f t="shared" si="78"/>
        <v>6.9027777777777777</v>
      </c>
      <c r="AN155" s="1">
        <f t="shared" si="78"/>
        <v>6.9027777777777777</v>
      </c>
      <c r="AO155" s="1">
        <f t="shared" si="78"/>
        <v>7.4111111111111114</v>
      </c>
      <c r="AP155" s="1">
        <f t="shared" si="78"/>
        <v>7.916666666666667</v>
      </c>
      <c r="AQ155" s="1">
        <f t="shared" si="78"/>
        <v>7.916666666666667</v>
      </c>
      <c r="AR155" s="1">
        <f t="shared" si="78"/>
        <v>8.4250000000000007</v>
      </c>
      <c r="AS155" s="1">
        <f t="shared" si="78"/>
        <v>8.9333333333333336</v>
      </c>
      <c r="AT155" s="1">
        <f t="shared" si="78"/>
        <v>9.4416666666666664</v>
      </c>
      <c r="AU155" s="1">
        <f t="shared" si="78"/>
        <v>9.9472222222222229</v>
      </c>
      <c r="AV155" s="1">
        <f t="shared" si="78"/>
        <v>9.9472222222222229</v>
      </c>
      <c r="AW155" s="1">
        <f t="shared" si="82"/>
        <v>14.513888888888889</v>
      </c>
      <c r="AX155" s="1">
        <f t="shared" si="79"/>
        <v>15.019444444444444</v>
      </c>
      <c r="AY155" s="1">
        <f t="shared" si="79"/>
        <v>15.527777777777779</v>
      </c>
      <c r="AZ155" s="1">
        <f t="shared" si="79"/>
        <v>16.033333333333335</v>
      </c>
      <c r="BA155" s="1">
        <f t="shared" si="79"/>
        <v>16.541666666666668</v>
      </c>
      <c r="BB155" s="1">
        <f t="shared" si="79"/>
        <v>17.05</v>
      </c>
      <c r="BC155" s="1">
        <f t="shared" si="79"/>
        <v>17.558333333333334</v>
      </c>
      <c r="BD155" s="1">
        <f t="shared" si="79"/>
        <v>18.06388888888889</v>
      </c>
      <c r="BE155" s="1">
        <f t="shared" si="79"/>
        <v>18.06388888888889</v>
      </c>
      <c r="BF155" s="1">
        <f t="shared" si="79"/>
        <v>26.68888888888889</v>
      </c>
      <c r="BG155" s="1">
        <f t="shared" si="79"/>
        <v>27.194444444444443</v>
      </c>
      <c r="BH155" s="1">
        <f t="shared" si="79"/>
        <v>27.702777777777779</v>
      </c>
      <c r="BI155" s="1">
        <f t="shared" si="79"/>
        <v>28.208333333333332</v>
      </c>
      <c r="BJ155" s="1">
        <f t="shared" si="79"/>
        <v>28.716666666666665</v>
      </c>
      <c r="BK155" s="1">
        <f t="shared" si="79"/>
        <v>29.225000000000001</v>
      </c>
      <c r="BL155" s="1">
        <f t="shared" si="79"/>
        <v>29.733333333333334</v>
      </c>
      <c r="BM155" s="1">
        <f t="shared" si="79"/>
        <v>30.238888888888887</v>
      </c>
      <c r="BN155" s="1">
        <f t="shared" si="83"/>
        <v>30.747222222222224</v>
      </c>
      <c r="BO155" s="1">
        <f t="shared" si="80"/>
        <v>30.747222222222224</v>
      </c>
      <c r="BP155" s="1">
        <f t="shared" si="80"/>
        <v>31.252777777777776</v>
      </c>
      <c r="BQ155" s="1">
        <f t="shared" si="80"/>
        <v>31.761111111111113</v>
      </c>
      <c r="BR155" s="1">
        <f t="shared" si="80"/>
        <v>32.266666666666666</v>
      </c>
      <c r="BS155" s="1">
        <f t="shared" si="80"/>
        <v>32.774999999999999</v>
      </c>
      <c r="BT155" s="1">
        <f t="shared" si="80"/>
        <v>33.283333333333331</v>
      </c>
      <c r="BU155" s="1">
        <f t="shared" si="80"/>
        <v>33.791666666666664</v>
      </c>
      <c r="BV155" s="1">
        <f t="shared" si="80"/>
        <v>33.791666666666664</v>
      </c>
      <c r="BW155" s="1">
        <f t="shared" si="80"/>
        <v>34.297222222222224</v>
      </c>
      <c r="BX155" s="1">
        <f t="shared" si="80"/>
        <v>34.805555555555557</v>
      </c>
      <c r="BY155" s="1">
        <f t="shared" si="80"/>
        <v>35.31111111111111</v>
      </c>
      <c r="BZ155" s="1">
        <f t="shared" si="80"/>
        <v>35.819444444444443</v>
      </c>
      <c r="CA155" s="1">
        <f t="shared" si="80"/>
        <v>36.325000000000003</v>
      </c>
      <c r="CB155" s="1">
        <f t="shared" si="80"/>
        <v>36.833333333333336</v>
      </c>
      <c r="CC155" s="1">
        <f t="shared" si="80"/>
        <v>37.341666666666669</v>
      </c>
      <c r="CD155" s="1">
        <f t="shared" si="80"/>
        <v>37.85</v>
      </c>
      <c r="CE155" s="1">
        <f t="shared" si="84"/>
        <v>38.355555555555554</v>
      </c>
      <c r="CF155" s="1">
        <f t="shared" si="84"/>
        <v>38.863888888888887</v>
      </c>
      <c r="CG155" s="1">
        <f t="shared" si="84"/>
        <v>39.369444444444447</v>
      </c>
      <c r="CH155" s="1">
        <f t="shared" si="84"/>
        <v>39.87777777777778</v>
      </c>
      <c r="CI155" s="1">
        <f t="shared" si="84"/>
        <v>40.383333333333333</v>
      </c>
      <c r="CJ155" s="1">
        <f t="shared" si="84"/>
        <v>40.891666666666666</v>
      </c>
      <c r="CK155" s="1">
        <f t="shared" si="84"/>
        <v>41.4</v>
      </c>
      <c r="CL155" s="1">
        <f t="shared" si="84"/>
        <v>41.908333333333331</v>
      </c>
      <c r="CM155" s="1">
        <f t="shared" si="84"/>
        <v>42.413888888888891</v>
      </c>
      <c r="CN155" s="1">
        <f t="shared" si="84"/>
        <v>42.922222222222224</v>
      </c>
      <c r="CO155" s="1">
        <f t="shared" si="84"/>
        <v>43.427777777777777</v>
      </c>
      <c r="CP155" s="1">
        <f t="shared" si="84"/>
        <v>43.93611111111111</v>
      </c>
      <c r="CQ155" s="1">
        <f t="shared" si="84"/>
        <v>44.44166666666667</v>
      </c>
      <c r="CR155" s="1">
        <f t="shared" si="84"/>
        <v>44.95</v>
      </c>
      <c r="CS155" s="1">
        <f t="shared" si="77"/>
        <v>45.458333333333336</v>
      </c>
      <c r="CT155" s="1">
        <f t="shared" si="76"/>
        <v>45.966666666666669</v>
      </c>
      <c r="CU155" s="1">
        <f t="shared" si="76"/>
        <v>46.472222222222221</v>
      </c>
      <c r="CV155" s="1">
        <f t="shared" si="76"/>
        <v>46.980555555555554</v>
      </c>
      <c r="CW155" s="1">
        <f t="shared" si="76"/>
        <v>47.486111111111114</v>
      </c>
      <c r="CX155" s="1">
        <f t="shared" si="76"/>
        <v>47.994444444444447</v>
      </c>
      <c r="CY155" s="1">
        <f t="shared" si="76"/>
        <v>48.5</v>
      </c>
      <c r="CZ155" s="1">
        <f t="shared" si="76"/>
        <v>49.008333333333333</v>
      </c>
      <c r="DA155" s="1">
        <f t="shared" si="76"/>
        <v>49.516666666666666</v>
      </c>
      <c r="DB155" s="1">
        <f t="shared" si="76"/>
        <v>50.024999999999999</v>
      </c>
      <c r="DC155" s="1">
        <f t="shared" si="76"/>
        <v>50.024999999999999</v>
      </c>
    </row>
    <row r="156" spans="1:107" x14ac:dyDescent="0.25">
      <c r="A156">
        <f t="shared" si="74"/>
        <v>5</v>
      </c>
      <c r="B156" s="2">
        <f>yields_BRUTE!B156</f>
        <v>42229</v>
      </c>
      <c r="C156" s="1">
        <f t="shared" si="85"/>
        <v>-0.45833333333333331</v>
      </c>
      <c r="D156" s="1">
        <f t="shared" si="85"/>
        <v>-0.41944444444444445</v>
      </c>
      <c r="E156" s="1">
        <f t="shared" si="85"/>
        <v>-0.20277777777777778</v>
      </c>
      <c r="F156" s="1">
        <f t="shared" si="85"/>
        <v>5.2777777777777778E-2</v>
      </c>
      <c r="G156" s="1">
        <f t="shared" si="85"/>
        <v>9.166666666666666E-2</v>
      </c>
      <c r="H156" s="1">
        <f t="shared" si="85"/>
        <v>0.30555555555555558</v>
      </c>
      <c r="I156" s="1">
        <f t="shared" si="85"/>
        <v>0.30555555555555558</v>
      </c>
      <c r="J156" s="1">
        <f t="shared" si="85"/>
        <v>0.55833333333333335</v>
      </c>
      <c r="K156" s="1">
        <f t="shared" si="85"/>
        <v>0.59722222222222221</v>
      </c>
      <c r="L156" s="1">
        <f t="shared" si="85"/>
        <v>0.81388888888888888</v>
      </c>
      <c r="M156" s="1">
        <f t="shared" si="85"/>
        <v>1.0694444444444444</v>
      </c>
      <c r="N156" s="1">
        <f t="shared" si="85"/>
        <v>1.0694444444444444</v>
      </c>
      <c r="O156" s="1">
        <f t="shared" si="85"/>
        <v>1.1083333333333334</v>
      </c>
      <c r="P156" s="1">
        <f t="shared" si="85"/>
        <v>1.3222222222222222</v>
      </c>
      <c r="Q156" s="1">
        <f t="shared" si="85"/>
        <v>1.6111111111111112</v>
      </c>
      <c r="R156" s="1">
        <f t="shared" si="85"/>
        <v>1.8277777777777777</v>
      </c>
      <c r="S156" s="1">
        <f t="shared" si="81"/>
        <v>2.1222222222222222</v>
      </c>
      <c r="T156" s="1">
        <f t="shared" si="81"/>
        <v>2.3361111111111112</v>
      </c>
      <c r="U156" s="1">
        <f t="shared" si="81"/>
        <v>2.625</v>
      </c>
      <c r="V156" s="1">
        <f t="shared" si="81"/>
        <v>2.8416666666666668</v>
      </c>
      <c r="W156" s="1">
        <f t="shared" si="81"/>
        <v>3.1361111111111111</v>
      </c>
      <c r="X156" s="1">
        <f t="shared" si="81"/>
        <v>3.35</v>
      </c>
      <c r="Y156" s="1">
        <f t="shared" si="81"/>
        <v>3.6388888888888888</v>
      </c>
      <c r="Z156" s="1">
        <f t="shared" si="81"/>
        <v>3.8555555555555556</v>
      </c>
      <c r="AA156" s="1">
        <f t="shared" si="81"/>
        <v>4.1500000000000004</v>
      </c>
      <c r="AB156" s="1">
        <f t="shared" si="81"/>
        <v>4.3638888888888889</v>
      </c>
      <c r="AC156" s="1">
        <f t="shared" si="81"/>
        <v>4.6555555555555559</v>
      </c>
      <c r="AD156" s="1">
        <f t="shared" si="81"/>
        <v>4.8722222222222218</v>
      </c>
      <c r="AE156" s="1">
        <f t="shared" si="81"/>
        <v>4.8722222222222218</v>
      </c>
      <c r="AF156" s="3">
        <f t="shared" si="81"/>
        <v>5.166666666666667</v>
      </c>
      <c r="AG156" s="1">
        <f t="shared" si="78"/>
        <v>5.3805555555555555</v>
      </c>
      <c r="AH156" s="1">
        <f t="shared" si="78"/>
        <v>5.6694444444444443</v>
      </c>
      <c r="AI156" s="1">
        <f t="shared" si="78"/>
        <v>5.6694444444444443</v>
      </c>
      <c r="AJ156" s="1">
        <f t="shared" si="78"/>
        <v>5.8861111111111111</v>
      </c>
      <c r="AK156" s="1">
        <f t="shared" si="78"/>
        <v>5.8861111111111111</v>
      </c>
      <c r="AL156" s="1">
        <f t="shared" si="78"/>
        <v>6.3944444444444448</v>
      </c>
      <c r="AM156" s="1">
        <f t="shared" si="78"/>
        <v>6.9</v>
      </c>
      <c r="AN156" s="1">
        <f t="shared" si="78"/>
        <v>6.9</v>
      </c>
      <c r="AO156" s="1">
        <f t="shared" si="78"/>
        <v>7.4083333333333332</v>
      </c>
      <c r="AP156" s="1">
        <f t="shared" si="78"/>
        <v>7.9138888888888888</v>
      </c>
      <c r="AQ156" s="1">
        <f t="shared" si="78"/>
        <v>7.9138888888888888</v>
      </c>
      <c r="AR156" s="1">
        <f t="shared" si="78"/>
        <v>8.4222222222222225</v>
      </c>
      <c r="AS156" s="1">
        <f t="shared" si="78"/>
        <v>8.9305555555555554</v>
      </c>
      <c r="AT156" s="1">
        <f t="shared" si="78"/>
        <v>9.4388888888888882</v>
      </c>
      <c r="AU156" s="1">
        <f t="shared" si="78"/>
        <v>9.9444444444444446</v>
      </c>
      <c r="AV156" s="1">
        <f t="shared" si="78"/>
        <v>9.9444444444444446</v>
      </c>
      <c r="AW156" s="1">
        <f t="shared" si="82"/>
        <v>14.511111111111111</v>
      </c>
      <c r="AX156" s="1">
        <f t="shared" si="79"/>
        <v>15.016666666666667</v>
      </c>
      <c r="AY156" s="1">
        <f t="shared" si="79"/>
        <v>15.525</v>
      </c>
      <c r="AZ156" s="1">
        <f t="shared" si="79"/>
        <v>16.030555555555555</v>
      </c>
      <c r="BA156" s="1">
        <f t="shared" si="79"/>
        <v>16.538888888888888</v>
      </c>
      <c r="BB156" s="1">
        <f t="shared" si="79"/>
        <v>17.047222222222221</v>
      </c>
      <c r="BC156" s="1">
        <f t="shared" si="79"/>
        <v>17.555555555555557</v>
      </c>
      <c r="BD156" s="1">
        <f t="shared" si="79"/>
        <v>18.06111111111111</v>
      </c>
      <c r="BE156" s="1">
        <f t="shared" si="79"/>
        <v>18.06111111111111</v>
      </c>
      <c r="BF156" s="1">
        <f t="shared" si="79"/>
        <v>26.68611111111111</v>
      </c>
      <c r="BG156" s="1">
        <f t="shared" si="79"/>
        <v>27.191666666666666</v>
      </c>
      <c r="BH156" s="1">
        <f t="shared" si="79"/>
        <v>27.7</v>
      </c>
      <c r="BI156" s="1">
        <f t="shared" si="79"/>
        <v>28.205555555555556</v>
      </c>
      <c r="BJ156" s="1">
        <f t="shared" si="79"/>
        <v>28.713888888888889</v>
      </c>
      <c r="BK156" s="1">
        <f t="shared" si="79"/>
        <v>29.222222222222221</v>
      </c>
      <c r="BL156" s="1">
        <f t="shared" si="79"/>
        <v>29.730555555555554</v>
      </c>
      <c r="BM156" s="1">
        <f t="shared" si="79"/>
        <v>30.236111111111111</v>
      </c>
      <c r="BN156" s="1">
        <f t="shared" si="83"/>
        <v>30.744444444444444</v>
      </c>
      <c r="BO156" s="1">
        <f t="shared" si="80"/>
        <v>30.744444444444444</v>
      </c>
      <c r="BP156" s="1">
        <f t="shared" si="80"/>
        <v>31.25</v>
      </c>
      <c r="BQ156" s="1">
        <f t="shared" si="80"/>
        <v>31.758333333333333</v>
      </c>
      <c r="BR156" s="1">
        <f t="shared" si="80"/>
        <v>32.263888888888886</v>
      </c>
      <c r="BS156" s="1">
        <f t="shared" si="80"/>
        <v>32.772222222222226</v>
      </c>
      <c r="BT156" s="1">
        <f t="shared" si="80"/>
        <v>33.280555555555559</v>
      </c>
      <c r="BU156" s="1">
        <f t="shared" si="80"/>
        <v>33.788888888888891</v>
      </c>
      <c r="BV156" s="1">
        <f t="shared" si="80"/>
        <v>33.788888888888891</v>
      </c>
      <c r="BW156" s="1">
        <f t="shared" si="80"/>
        <v>34.294444444444444</v>
      </c>
      <c r="BX156" s="1">
        <f t="shared" si="80"/>
        <v>34.802777777777777</v>
      </c>
      <c r="BY156" s="1">
        <f t="shared" si="80"/>
        <v>35.30833333333333</v>
      </c>
      <c r="BZ156" s="1">
        <f t="shared" si="80"/>
        <v>35.81666666666667</v>
      </c>
      <c r="CA156" s="1">
        <f t="shared" si="80"/>
        <v>36.322222222222223</v>
      </c>
      <c r="CB156" s="1">
        <f t="shared" si="80"/>
        <v>36.830555555555556</v>
      </c>
      <c r="CC156" s="1">
        <f t="shared" si="80"/>
        <v>37.338888888888889</v>
      </c>
      <c r="CD156" s="1">
        <f t="shared" si="80"/>
        <v>37.847222222222221</v>
      </c>
      <c r="CE156" s="1">
        <f t="shared" si="84"/>
        <v>38.352777777777774</v>
      </c>
      <c r="CF156" s="1">
        <f t="shared" si="84"/>
        <v>38.861111111111114</v>
      </c>
      <c r="CG156" s="1">
        <f t="shared" si="84"/>
        <v>39.366666666666667</v>
      </c>
      <c r="CH156" s="1">
        <f t="shared" si="84"/>
        <v>39.875</v>
      </c>
      <c r="CI156" s="1">
        <f t="shared" si="84"/>
        <v>40.380555555555553</v>
      </c>
      <c r="CJ156" s="1">
        <f t="shared" si="84"/>
        <v>40.888888888888886</v>
      </c>
      <c r="CK156" s="1">
        <f t="shared" si="84"/>
        <v>41.397222222222226</v>
      </c>
      <c r="CL156" s="1">
        <f t="shared" si="84"/>
        <v>41.905555555555559</v>
      </c>
      <c r="CM156" s="1">
        <f t="shared" si="84"/>
        <v>42.411111111111111</v>
      </c>
      <c r="CN156" s="1">
        <f t="shared" si="84"/>
        <v>42.919444444444444</v>
      </c>
      <c r="CO156" s="1">
        <f t="shared" si="84"/>
        <v>43.424999999999997</v>
      </c>
      <c r="CP156" s="1">
        <f t="shared" si="84"/>
        <v>43.93333333333333</v>
      </c>
      <c r="CQ156" s="1">
        <f t="shared" si="84"/>
        <v>44.43888888888889</v>
      </c>
      <c r="CR156" s="1">
        <f t="shared" si="84"/>
        <v>44.947222222222223</v>
      </c>
      <c r="CS156" s="1">
        <f t="shared" si="77"/>
        <v>45.455555555555556</v>
      </c>
      <c r="CT156" s="1">
        <f t="shared" si="76"/>
        <v>45.963888888888889</v>
      </c>
      <c r="CU156" s="1">
        <f t="shared" si="76"/>
        <v>46.469444444444441</v>
      </c>
      <c r="CV156" s="1">
        <f t="shared" si="76"/>
        <v>46.977777777777774</v>
      </c>
      <c r="CW156" s="1">
        <f t="shared" si="76"/>
        <v>47.483333333333334</v>
      </c>
      <c r="CX156" s="1">
        <f t="shared" si="76"/>
        <v>47.991666666666667</v>
      </c>
      <c r="CY156" s="1">
        <f t="shared" si="76"/>
        <v>48.49722222222222</v>
      </c>
      <c r="CZ156" s="1">
        <f t="shared" si="76"/>
        <v>49.005555555555553</v>
      </c>
      <c r="DA156" s="1">
        <f t="shared" si="76"/>
        <v>49.513888888888886</v>
      </c>
      <c r="DB156" s="1">
        <f t="shared" si="76"/>
        <v>50.022222222222226</v>
      </c>
      <c r="DC156" s="1">
        <f t="shared" si="76"/>
        <v>50.022222222222226</v>
      </c>
    </row>
    <row r="157" spans="1:107" x14ac:dyDescent="0.25">
      <c r="A157">
        <f t="shared" si="74"/>
        <v>6</v>
      </c>
      <c r="B157" s="2">
        <f>yields_BRUTE!B157</f>
        <v>42230</v>
      </c>
      <c r="C157" s="1">
        <f t="shared" si="85"/>
        <v>-0.46111111111111114</v>
      </c>
      <c r="D157" s="1">
        <f t="shared" si="85"/>
        <v>-0.42222222222222222</v>
      </c>
      <c r="E157" s="1">
        <f t="shared" si="85"/>
        <v>-0.20555555555555555</v>
      </c>
      <c r="F157" s="1">
        <f t="shared" si="85"/>
        <v>0.05</v>
      </c>
      <c r="G157" s="1">
        <f t="shared" si="85"/>
        <v>8.8888888888888892E-2</v>
      </c>
      <c r="H157" s="1">
        <f t="shared" si="85"/>
        <v>0.30277777777777776</v>
      </c>
      <c r="I157" s="1">
        <f t="shared" si="85"/>
        <v>0.30277777777777776</v>
      </c>
      <c r="J157" s="1">
        <f t="shared" si="85"/>
        <v>0.55555555555555558</v>
      </c>
      <c r="K157" s="1">
        <f t="shared" si="85"/>
        <v>0.59444444444444444</v>
      </c>
      <c r="L157" s="1">
        <f t="shared" si="85"/>
        <v>0.81111111111111112</v>
      </c>
      <c r="M157" s="1">
        <f t="shared" si="85"/>
        <v>1.0666666666666667</v>
      </c>
      <c r="N157" s="1">
        <f t="shared" si="85"/>
        <v>1.0666666666666667</v>
      </c>
      <c r="O157" s="1">
        <f t="shared" si="85"/>
        <v>1.1055555555555556</v>
      </c>
      <c r="P157" s="1">
        <f t="shared" si="85"/>
        <v>1.3194444444444444</v>
      </c>
      <c r="Q157" s="1">
        <f t="shared" si="85"/>
        <v>1.6083333333333334</v>
      </c>
      <c r="R157" s="1">
        <f t="shared" si="85"/>
        <v>1.825</v>
      </c>
      <c r="S157" s="1">
        <f t="shared" si="81"/>
        <v>2.1194444444444445</v>
      </c>
      <c r="T157" s="1">
        <f t="shared" si="81"/>
        <v>2.3333333333333335</v>
      </c>
      <c r="U157" s="1">
        <f t="shared" si="81"/>
        <v>2.6222222222222222</v>
      </c>
      <c r="V157" s="1">
        <f t="shared" si="81"/>
        <v>2.838888888888889</v>
      </c>
      <c r="W157" s="1">
        <f t="shared" si="81"/>
        <v>3.1333333333333333</v>
      </c>
      <c r="X157" s="1">
        <f t="shared" si="81"/>
        <v>3.3472222222222223</v>
      </c>
      <c r="Y157" s="1">
        <f t="shared" si="81"/>
        <v>3.6361111111111111</v>
      </c>
      <c r="Z157" s="1">
        <f t="shared" si="81"/>
        <v>3.8527777777777779</v>
      </c>
      <c r="AA157" s="1">
        <f t="shared" si="81"/>
        <v>4.1472222222222221</v>
      </c>
      <c r="AB157" s="1">
        <f t="shared" si="81"/>
        <v>4.3611111111111107</v>
      </c>
      <c r="AC157" s="1">
        <f t="shared" si="81"/>
        <v>4.6527777777777777</v>
      </c>
      <c r="AD157" s="1">
        <f t="shared" si="81"/>
        <v>4.8694444444444445</v>
      </c>
      <c r="AE157" s="1">
        <f t="shared" si="81"/>
        <v>4.8694444444444445</v>
      </c>
      <c r="AF157" s="3">
        <f t="shared" si="81"/>
        <v>5.1638888888888888</v>
      </c>
      <c r="AG157" s="1">
        <f t="shared" si="78"/>
        <v>5.3777777777777782</v>
      </c>
      <c r="AH157" s="1">
        <f t="shared" si="78"/>
        <v>5.666666666666667</v>
      </c>
      <c r="AI157" s="1">
        <f t="shared" si="78"/>
        <v>5.666666666666667</v>
      </c>
      <c r="AJ157" s="1">
        <f t="shared" si="78"/>
        <v>5.8833333333333337</v>
      </c>
      <c r="AK157" s="1">
        <f t="shared" si="78"/>
        <v>5.8833333333333337</v>
      </c>
      <c r="AL157" s="1">
        <f t="shared" si="78"/>
        <v>6.3916666666666666</v>
      </c>
      <c r="AM157" s="1">
        <f t="shared" si="78"/>
        <v>6.8972222222222221</v>
      </c>
      <c r="AN157" s="1">
        <f t="shared" si="78"/>
        <v>6.8972222222222221</v>
      </c>
      <c r="AO157" s="1">
        <f t="shared" si="78"/>
        <v>7.4055555555555559</v>
      </c>
      <c r="AP157" s="1">
        <f t="shared" si="78"/>
        <v>7.9111111111111114</v>
      </c>
      <c r="AQ157" s="1">
        <f t="shared" si="78"/>
        <v>7.9111111111111114</v>
      </c>
      <c r="AR157" s="1">
        <f t="shared" si="78"/>
        <v>8.4194444444444443</v>
      </c>
      <c r="AS157" s="1">
        <f t="shared" si="78"/>
        <v>8.9277777777777771</v>
      </c>
      <c r="AT157" s="1">
        <f t="shared" si="78"/>
        <v>9.4361111111111118</v>
      </c>
      <c r="AU157" s="1">
        <f t="shared" si="78"/>
        <v>9.9416666666666664</v>
      </c>
      <c r="AV157" s="1">
        <f t="shared" si="78"/>
        <v>9.9416666666666664</v>
      </c>
      <c r="AW157" s="1">
        <f t="shared" si="82"/>
        <v>14.508333333333333</v>
      </c>
      <c r="AX157" s="1">
        <f t="shared" si="79"/>
        <v>15.013888888888889</v>
      </c>
      <c r="AY157" s="1">
        <f t="shared" si="79"/>
        <v>15.522222222222222</v>
      </c>
      <c r="AZ157" s="1">
        <f t="shared" si="79"/>
        <v>16.027777777777779</v>
      </c>
      <c r="BA157" s="1">
        <f t="shared" si="79"/>
        <v>16.536111111111111</v>
      </c>
      <c r="BB157" s="1">
        <f t="shared" si="79"/>
        <v>17.044444444444444</v>
      </c>
      <c r="BC157" s="1">
        <f t="shared" si="79"/>
        <v>17.552777777777777</v>
      </c>
      <c r="BD157" s="1">
        <f t="shared" si="79"/>
        <v>18.058333333333334</v>
      </c>
      <c r="BE157" s="1">
        <f t="shared" si="79"/>
        <v>18.058333333333334</v>
      </c>
      <c r="BF157" s="1">
        <f t="shared" si="79"/>
        <v>26.683333333333334</v>
      </c>
      <c r="BG157" s="1">
        <f t="shared" si="79"/>
        <v>27.18888888888889</v>
      </c>
      <c r="BH157" s="1">
        <f t="shared" si="79"/>
        <v>27.697222222222223</v>
      </c>
      <c r="BI157" s="1">
        <f t="shared" si="79"/>
        <v>28.202777777777779</v>
      </c>
      <c r="BJ157" s="1">
        <f t="shared" si="79"/>
        <v>28.711111111111112</v>
      </c>
      <c r="BK157" s="1">
        <f t="shared" si="79"/>
        <v>29.219444444444445</v>
      </c>
      <c r="BL157" s="1">
        <f t="shared" si="79"/>
        <v>29.727777777777778</v>
      </c>
      <c r="BM157" s="1">
        <f t="shared" si="79"/>
        <v>30.233333333333334</v>
      </c>
      <c r="BN157" s="1">
        <f t="shared" si="83"/>
        <v>30.741666666666667</v>
      </c>
      <c r="BO157" s="1">
        <f t="shared" si="80"/>
        <v>30.741666666666667</v>
      </c>
      <c r="BP157" s="1">
        <f t="shared" si="80"/>
        <v>31.247222222222224</v>
      </c>
      <c r="BQ157" s="1">
        <f t="shared" si="80"/>
        <v>31.755555555555556</v>
      </c>
      <c r="BR157" s="1">
        <f t="shared" si="80"/>
        <v>32.261111111111113</v>
      </c>
      <c r="BS157" s="1">
        <f t="shared" si="80"/>
        <v>32.769444444444446</v>
      </c>
      <c r="BT157" s="1">
        <f t="shared" si="80"/>
        <v>33.277777777777779</v>
      </c>
      <c r="BU157" s="1">
        <f t="shared" si="80"/>
        <v>33.786111111111111</v>
      </c>
      <c r="BV157" s="1">
        <f t="shared" si="80"/>
        <v>33.786111111111111</v>
      </c>
      <c r="BW157" s="1">
        <f t="shared" si="80"/>
        <v>34.291666666666664</v>
      </c>
      <c r="BX157" s="1">
        <f t="shared" si="80"/>
        <v>34.799999999999997</v>
      </c>
      <c r="BY157" s="1">
        <f t="shared" si="80"/>
        <v>35.305555555555557</v>
      </c>
      <c r="BZ157" s="1">
        <f t="shared" si="80"/>
        <v>35.81388888888889</v>
      </c>
      <c r="CA157" s="1">
        <f t="shared" si="80"/>
        <v>36.319444444444443</v>
      </c>
      <c r="CB157" s="1">
        <f t="shared" si="80"/>
        <v>36.827777777777776</v>
      </c>
      <c r="CC157" s="1">
        <f t="shared" si="80"/>
        <v>37.336111111111109</v>
      </c>
      <c r="CD157" s="1">
        <f t="shared" si="80"/>
        <v>37.844444444444441</v>
      </c>
      <c r="CE157" s="1">
        <f t="shared" si="84"/>
        <v>38.35</v>
      </c>
      <c r="CF157" s="1">
        <f t="shared" si="84"/>
        <v>38.858333333333334</v>
      </c>
      <c r="CG157" s="1">
        <f t="shared" si="84"/>
        <v>39.363888888888887</v>
      </c>
      <c r="CH157" s="1">
        <f t="shared" si="84"/>
        <v>39.87222222222222</v>
      </c>
      <c r="CI157" s="1">
        <f t="shared" si="84"/>
        <v>40.37777777777778</v>
      </c>
      <c r="CJ157" s="1">
        <f t="shared" si="84"/>
        <v>40.886111111111113</v>
      </c>
      <c r="CK157" s="1">
        <f t="shared" si="84"/>
        <v>41.394444444444446</v>
      </c>
      <c r="CL157" s="1">
        <f t="shared" si="84"/>
        <v>41.902777777777779</v>
      </c>
      <c r="CM157" s="1">
        <f t="shared" si="84"/>
        <v>42.408333333333331</v>
      </c>
      <c r="CN157" s="1">
        <f t="shared" si="84"/>
        <v>42.916666666666664</v>
      </c>
      <c r="CO157" s="1">
        <f t="shared" si="84"/>
        <v>43.422222222222224</v>
      </c>
      <c r="CP157" s="1">
        <f t="shared" si="84"/>
        <v>43.930555555555557</v>
      </c>
      <c r="CQ157" s="1">
        <f t="shared" si="84"/>
        <v>44.43611111111111</v>
      </c>
      <c r="CR157" s="1">
        <f t="shared" si="84"/>
        <v>44.944444444444443</v>
      </c>
      <c r="CS157" s="1">
        <f t="shared" si="77"/>
        <v>45.452777777777776</v>
      </c>
      <c r="CT157" s="1">
        <f t="shared" si="77"/>
        <v>45.961111111111109</v>
      </c>
      <c r="CU157" s="1">
        <f t="shared" si="77"/>
        <v>46.466666666666669</v>
      </c>
      <c r="CV157" s="1">
        <f t="shared" si="77"/>
        <v>46.975000000000001</v>
      </c>
      <c r="CW157" s="1">
        <f t="shared" si="77"/>
        <v>47.480555555555554</v>
      </c>
      <c r="CX157" s="1">
        <f t="shared" si="77"/>
        <v>47.988888888888887</v>
      </c>
      <c r="CY157" s="1">
        <f t="shared" si="77"/>
        <v>48.494444444444447</v>
      </c>
      <c r="CZ157" s="1">
        <f t="shared" si="77"/>
        <v>49.00277777777778</v>
      </c>
      <c r="DA157" s="1">
        <f t="shared" si="77"/>
        <v>49.511111111111113</v>
      </c>
      <c r="DB157" s="1">
        <f t="shared" si="77"/>
        <v>50.019444444444446</v>
      </c>
      <c r="DC157" s="1">
        <f t="shared" si="77"/>
        <v>50.019444444444446</v>
      </c>
    </row>
    <row r="158" spans="1:107" x14ac:dyDescent="0.25">
      <c r="A158">
        <f t="shared" si="74"/>
        <v>2</v>
      </c>
      <c r="B158" s="2">
        <f>yields_BRUTE!B158</f>
        <v>42233</v>
      </c>
      <c r="C158" s="1">
        <f t="shared" si="85"/>
        <v>-0.46944444444444444</v>
      </c>
      <c r="D158" s="1">
        <f t="shared" si="85"/>
        <v>-0.43055555555555558</v>
      </c>
      <c r="E158" s="1">
        <f t="shared" si="85"/>
        <v>-0.21388888888888888</v>
      </c>
      <c r="F158" s="1">
        <f t="shared" si="85"/>
        <v>4.1666666666666664E-2</v>
      </c>
      <c r="G158" s="1">
        <f t="shared" si="85"/>
        <v>8.0555555555555561E-2</v>
      </c>
      <c r="H158" s="1">
        <f t="shared" si="85"/>
        <v>0.29444444444444445</v>
      </c>
      <c r="I158" s="1">
        <f t="shared" si="85"/>
        <v>0.29444444444444445</v>
      </c>
      <c r="J158" s="1">
        <f t="shared" si="85"/>
        <v>0.54722222222222228</v>
      </c>
      <c r="K158" s="1">
        <f t="shared" si="85"/>
        <v>0.58611111111111114</v>
      </c>
      <c r="L158" s="1">
        <f t="shared" si="85"/>
        <v>0.80277777777777781</v>
      </c>
      <c r="M158" s="1">
        <f t="shared" si="85"/>
        <v>1.0583333333333333</v>
      </c>
      <c r="N158" s="1">
        <f t="shared" si="85"/>
        <v>1.0583333333333333</v>
      </c>
      <c r="O158" s="1">
        <f t="shared" si="85"/>
        <v>1.0972222222222223</v>
      </c>
      <c r="P158" s="1">
        <f t="shared" si="85"/>
        <v>1.3111111111111111</v>
      </c>
      <c r="Q158" s="1">
        <f t="shared" si="85"/>
        <v>1.6</v>
      </c>
      <c r="R158" s="1">
        <f t="shared" si="85"/>
        <v>1.8166666666666667</v>
      </c>
      <c r="S158" s="1">
        <f t="shared" si="81"/>
        <v>2.1111111111111112</v>
      </c>
      <c r="T158" s="1">
        <f t="shared" si="81"/>
        <v>2.3250000000000002</v>
      </c>
      <c r="U158" s="1">
        <f t="shared" si="81"/>
        <v>2.6138888888888889</v>
      </c>
      <c r="V158" s="1">
        <f t="shared" si="81"/>
        <v>2.8305555555555557</v>
      </c>
      <c r="W158" s="1">
        <f t="shared" si="81"/>
        <v>3.125</v>
      </c>
      <c r="X158" s="1">
        <f t="shared" si="81"/>
        <v>3.338888888888889</v>
      </c>
      <c r="Y158" s="1">
        <f t="shared" si="81"/>
        <v>3.6277777777777778</v>
      </c>
      <c r="Z158" s="1">
        <f t="shared" si="81"/>
        <v>3.8444444444444446</v>
      </c>
      <c r="AA158" s="1">
        <f t="shared" si="81"/>
        <v>4.1388888888888893</v>
      </c>
      <c r="AB158" s="1">
        <f t="shared" si="81"/>
        <v>4.3527777777777779</v>
      </c>
      <c r="AC158" s="1">
        <f t="shared" si="81"/>
        <v>4.6444444444444448</v>
      </c>
      <c r="AD158" s="1">
        <f t="shared" si="81"/>
        <v>4.8611111111111107</v>
      </c>
      <c r="AE158" s="1">
        <f t="shared" si="81"/>
        <v>4.8611111111111107</v>
      </c>
      <c r="AF158" s="3">
        <f t="shared" si="81"/>
        <v>5.1555555555555559</v>
      </c>
      <c r="AG158" s="1">
        <f t="shared" si="78"/>
        <v>5.3694444444444445</v>
      </c>
      <c r="AH158" s="1">
        <f t="shared" si="78"/>
        <v>5.6583333333333332</v>
      </c>
      <c r="AI158" s="1">
        <f t="shared" si="78"/>
        <v>5.6583333333333332</v>
      </c>
      <c r="AJ158" s="1">
        <f t="shared" si="78"/>
        <v>5.875</v>
      </c>
      <c r="AK158" s="1">
        <f t="shared" si="78"/>
        <v>5.875</v>
      </c>
      <c r="AL158" s="1">
        <f t="shared" si="78"/>
        <v>6.3833333333333337</v>
      </c>
      <c r="AM158" s="1">
        <f t="shared" si="78"/>
        <v>6.8888888888888893</v>
      </c>
      <c r="AN158" s="1">
        <f t="shared" si="78"/>
        <v>6.8888888888888893</v>
      </c>
      <c r="AO158" s="1">
        <f t="shared" si="78"/>
        <v>7.3972222222222221</v>
      </c>
      <c r="AP158" s="1">
        <f t="shared" si="78"/>
        <v>7.9027777777777777</v>
      </c>
      <c r="AQ158" s="1">
        <f t="shared" si="78"/>
        <v>7.9027777777777777</v>
      </c>
      <c r="AR158" s="1">
        <f t="shared" si="78"/>
        <v>8.4111111111111114</v>
      </c>
      <c r="AS158" s="1">
        <f t="shared" si="78"/>
        <v>8.9194444444444443</v>
      </c>
      <c r="AT158" s="1">
        <f t="shared" si="78"/>
        <v>9.4277777777777771</v>
      </c>
      <c r="AU158" s="1">
        <f t="shared" si="78"/>
        <v>9.9333333333333336</v>
      </c>
      <c r="AV158" s="1">
        <f t="shared" si="78"/>
        <v>9.9333333333333336</v>
      </c>
      <c r="AW158" s="1">
        <f t="shared" si="82"/>
        <v>14.5</v>
      </c>
      <c r="AX158" s="1">
        <f t="shared" si="79"/>
        <v>15.005555555555556</v>
      </c>
      <c r="AY158" s="1">
        <f t="shared" si="79"/>
        <v>15.513888888888889</v>
      </c>
      <c r="AZ158" s="1">
        <f t="shared" si="79"/>
        <v>16.019444444444446</v>
      </c>
      <c r="BA158" s="1">
        <f t="shared" si="79"/>
        <v>16.527777777777779</v>
      </c>
      <c r="BB158" s="1">
        <f t="shared" si="79"/>
        <v>17.036111111111111</v>
      </c>
      <c r="BC158" s="1">
        <f t="shared" si="79"/>
        <v>17.544444444444444</v>
      </c>
      <c r="BD158" s="1">
        <f t="shared" si="79"/>
        <v>18.05</v>
      </c>
      <c r="BE158" s="1">
        <f t="shared" si="79"/>
        <v>18.05</v>
      </c>
      <c r="BF158" s="1">
        <f t="shared" si="79"/>
        <v>26.675000000000001</v>
      </c>
      <c r="BG158" s="1">
        <f t="shared" si="79"/>
        <v>27.180555555555557</v>
      </c>
      <c r="BH158" s="1">
        <f t="shared" si="79"/>
        <v>27.68888888888889</v>
      </c>
      <c r="BI158" s="1">
        <f t="shared" si="79"/>
        <v>28.194444444444443</v>
      </c>
      <c r="BJ158" s="1">
        <f t="shared" si="79"/>
        <v>28.702777777777779</v>
      </c>
      <c r="BK158" s="1">
        <f t="shared" si="79"/>
        <v>29.211111111111112</v>
      </c>
      <c r="BL158" s="1">
        <f t="shared" si="79"/>
        <v>29.719444444444445</v>
      </c>
      <c r="BM158" s="1">
        <f t="shared" si="79"/>
        <v>30.225000000000001</v>
      </c>
      <c r="BN158" s="1">
        <f t="shared" si="83"/>
        <v>30.733333333333334</v>
      </c>
      <c r="BO158" s="1">
        <f t="shared" si="80"/>
        <v>30.733333333333334</v>
      </c>
      <c r="BP158" s="1">
        <f t="shared" si="80"/>
        <v>31.238888888888887</v>
      </c>
      <c r="BQ158" s="1">
        <f t="shared" si="80"/>
        <v>31.747222222222224</v>
      </c>
      <c r="BR158" s="1">
        <f t="shared" si="80"/>
        <v>32.25277777777778</v>
      </c>
      <c r="BS158" s="1">
        <f t="shared" si="80"/>
        <v>32.761111111111113</v>
      </c>
      <c r="BT158" s="1">
        <f t="shared" si="80"/>
        <v>33.269444444444446</v>
      </c>
      <c r="BU158" s="1">
        <f t="shared" si="80"/>
        <v>33.777777777777779</v>
      </c>
      <c r="BV158" s="1">
        <f t="shared" si="80"/>
        <v>33.777777777777779</v>
      </c>
      <c r="BW158" s="1">
        <f t="shared" si="80"/>
        <v>34.283333333333331</v>
      </c>
      <c r="BX158" s="1">
        <f t="shared" si="80"/>
        <v>34.791666666666664</v>
      </c>
      <c r="BY158" s="1">
        <f t="shared" si="80"/>
        <v>35.297222222222224</v>
      </c>
      <c r="BZ158" s="1">
        <f t="shared" si="80"/>
        <v>35.805555555555557</v>
      </c>
      <c r="CA158" s="1">
        <f t="shared" si="80"/>
        <v>36.31111111111111</v>
      </c>
      <c r="CB158" s="1">
        <f t="shared" si="80"/>
        <v>36.819444444444443</v>
      </c>
      <c r="CC158" s="1">
        <f t="shared" si="80"/>
        <v>37.327777777777776</v>
      </c>
      <c r="CD158" s="1">
        <f t="shared" si="80"/>
        <v>37.836111111111109</v>
      </c>
      <c r="CE158" s="1">
        <f t="shared" si="84"/>
        <v>38.341666666666669</v>
      </c>
      <c r="CF158" s="1">
        <f t="shared" si="84"/>
        <v>38.85</v>
      </c>
      <c r="CG158" s="1">
        <f t="shared" si="84"/>
        <v>39.355555555555554</v>
      </c>
      <c r="CH158" s="1">
        <f t="shared" si="84"/>
        <v>39.863888888888887</v>
      </c>
      <c r="CI158" s="1">
        <f t="shared" si="84"/>
        <v>40.369444444444447</v>
      </c>
      <c r="CJ158" s="1">
        <f t="shared" si="84"/>
        <v>40.87777777777778</v>
      </c>
      <c r="CK158" s="1">
        <f t="shared" si="84"/>
        <v>41.386111111111113</v>
      </c>
      <c r="CL158" s="1">
        <f t="shared" si="84"/>
        <v>41.894444444444446</v>
      </c>
      <c r="CM158" s="1">
        <f t="shared" si="84"/>
        <v>42.4</v>
      </c>
      <c r="CN158" s="1">
        <f t="shared" si="84"/>
        <v>42.908333333333331</v>
      </c>
      <c r="CO158" s="1">
        <f t="shared" si="84"/>
        <v>43.413888888888891</v>
      </c>
      <c r="CP158" s="1">
        <f t="shared" si="84"/>
        <v>43.922222222222224</v>
      </c>
      <c r="CQ158" s="1">
        <f t="shared" si="84"/>
        <v>44.427777777777777</v>
      </c>
      <c r="CR158" s="1">
        <f t="shared" si="84"/>
        <v>44.93611111111111</v>
      </c>
      <c r="CS158" s="1">
        <f t="shared" si="77"/>
        <v>45.444444444444443</v>
      </c>
      <c r="CT158" s="1">
        <f t="shared" si="77"/>
        <v>45.952777777777776</v>
      </c>
      <c r="CU158" s="1">
        <f t="shared" si="77"/>
        <v>46.458333333333336</v>
      </c>
      <c r="CV158" s="1">
        <f t="shared" si="77"/>
        <v>46.966666666666669</v>
      </c>
      <c r="CW158" s="1">
        <f t="shared" si="77"/>
        <v>47.472222222222221</v>
      </c>
      <c r="CX158" s="1">
        <f t="shared" si="77"/>
        <v>47.980555555555554</v>
      </c>
      <c r="CY158" s="1">
        <f t="shared" si="77"/>
        <v>48.486111111111114</v>
      </c>
      <c r="CZ158" s="1">
        <f t="shared" si="77"/>
        <v>48.994444444444447</v>
      </c>
      <c r="DA158" s="1">
        <f t="shared" si="77"/>
        <v>49.50277777777778</v>
      </c>
      <c r="DB158" s="1">
        <f t="shared" si="77"/>
        <v>50.011111111111113</v>
      </c>
      <c r="DC158" s="1">
        <f t="shared" si="77"/>
        <v>50.011111111111113</v>
      </c>
    </row>
    <row r="159" spans="1:107" x14ac:dyDescent="0.25">
      <c r="A159">
        <f t="shared" si="74"/>
        <v>3</v>
      </c>
      <c r="B159" s="2">
        <f>yields_BRUTE!B159</f>
        <v>42234</v>
      </c>
      <c r="C159" s="1">
        <f t="shared" si="85"/>
        <v>-0.47222222222222221</v>
      </c>
      <c r="D159" s="1">
        <f t="shared" si="85"/>
        <v>-0.43333333333333335</v>
      </c>
      <c r="E159" s="1">
        <f t="shared" si="85"/>
        <v>-0.21666666666666667</v>
      </c>
      <c r="F159" s="1">
        <f t="shared" si="85"/>
        <v>3.888888888888889E-2</v>
      </c>
      <c r="G159" s="1">
        <f t="shared" si="85"/>
        <v>7.7777777777777779E-2</v>
      </c>
      <c r="H159" s="1">
        <f t="shared" si="85"/>
        <v>0.29166666666666669</v>
      </c>
      <c r="I159" s="1">
        <f t="shared" si="85"/>
        <v>0.29166666666666669</v>
      </c>
      <c r="J159" s="1">
        <f t="shared" si="85"/>
        <v>0.5444444444444444</v>
      </c>
      <c r="K159" s="1">
        <f t="shared" si="85"/>
        <v>0.58333333333333337</v>
      </c>
      <c r="L159" s="1">
        <f t="shared" si="85"/>
        <v>0.8</v>
      </c>
      <c r="M159" s="1">
        <f t="shared" si="85"/>
        <v>1.0555555555555556</v>
      </c>
      <c r="N159" s="1">
        <f t="shared" si="85"/>
        <v>1.0555555555555556</v>
      </c>
      <c r="O159" s="1">
        <f t="shared" si="85"/>
        <v>1.0944444444444446</v>
      </c>
      <c r="P159" s="1">
        <f t="shared" si="85"/>
        <v>1.3083333333333333</v>
      </c>
      <c r="Q159" s="1">
        <f t="shared" si="85"/>
        <v>1.5972222222222223</v>
      </c>
      <c r="R159" s="1">
        <f t="shared" si="85"/>
        <v>1.8138888888888889</v>
      </c>
      <c r="S159" s="1">
        <f t="shared" si="81"/>
        <v>2.1083333333333334</v>
      </c>
      <c r="T159" s="1">
        <f t="shared" si="81"/>
        <v>2.3222222222222224</v>
      </c>
      <c r="U159" s="1">
        <f t="shared" si="81"/>
        <v>2.6111111111111112</v>
      </c>
      <c r="V159" s="1">
        <f t="shared" si="81"/>
        <v>2.8277777777777779</v>
      </c>
      <c r="W159" s="1">
        <f t="shared" si="81"/>
        <v>3.1222222222222222</v>
      </c>
      <c r="X159" s="1">
        <f t="shared" si="81"/>
        <v>3.3361111111111112</v>
      </c>
      <c r="Y159" s="1">
        <f t="shared" si="81"/>
        <v>3.625</v>
      </c>
      <c r="Z159" s="1">
        <f t="shared" si="81"/>
        <v>3.8416666666666668</v>
      </c>
      <c r="AA159" s="1">
        <f t="shared" si="81"/>
        <v>4.1361111111111111</v>
      </c>
      <c r="AB159" s="1">
        <f t="shared" si="81"/>
        <v>4.3499999999999996</v>
      </c>
      <c r="AC159" s="1">
        <f t="shared" si="81"/>
        <v>4.6416666666666666</v>
      </c>
      <c r="AD159" s="1">
        <f t="shared" si="81"/>
        <v>4.8583333333333334</v>
      </c>
      <c r="AE159" s="1">
        <f t="shared" si="81"/>
        <v>4.8583333333333334</v>
      </c>
      <c r="AF159" s="3">
        <f t="shared" si="81"/>
        <v>5.1527777777777777</v>
      </c>
      <c r="AG159" s="1">
        <f t="shared" si="78"/>
        <v>5.3666666666666663</v>
      </c>
      <c r="AH159" s="1">
        <f t="shared" si="78"/>
        <v>5.6555555555555559</v>
      </c>
      <c r="AI159" s="1">
        <f t="shared" si="78"/>
        <v>5.6555555555555559</v>
      </c>
      <c r="AJ159" s="1">
        <f t="shared" si="78"/>
        <v>5.8722222222222218</v>
      </c>
      <c r="AK159" s="1">
        <f t="shared" si="78"/>
        <v>5.8722222222222218</v>
      </c>
      <c r="AL159" s="1">
        <f t="shared" si="78"/>
        <v>6.3805555555555555</v>
      </c>
      <c r="AM159" s="1">
        <f t="shared" si="78"/>
        <v>6.8861111111111111</v>
      </c>
      <c r="AN159" s="1">
        <f t="shared" si="78"/>
        <v>6.8861111111111111</v>
      </c>
      <c r="AO159" s="1">
        <f t="shared" si="78"/>
        <v>7.3944444444444448</v>
      </c>
      <c r="AP159" s="1">
        <f t="shared" si="78"/>
        <v>7.9</v>
      </c>
      <c r="AQ159" s="1">
        <f t="shared" si="78"/>
        <v>7.9</v>
      </c>
      <c r="AR159" s="1">
        <f t="shared" si="78"/>
        <v>8.4083333333333332</v>
      </c>
      <c r="AS159" s="1">
        <f t="shared" si="78"/>
        <v>8.9166666666666661</v>
      </c>
      <c r="AT159" s="1">
        <f t="shared" si="78"/>
        <v>9.4250000000000007</v>
      </c>
      <c r="AU159" s="1">
        <f t="shared" si="78"/>
        <v>9.9305555555555554</v>
      </c>
      <c r="AV159" s="1">
        <f t="shared" si="78"/>
        <v>9.9305555555555554</v>
      </c>
      <c r="AW159" s="1">
        <f t="shared" si="82"/>
        <v>14.497222222222222</v>
      </c>
      <c r="AX159" s="1">
        <f t="shared" si="79"/>
        <v>15.002777777777778</v>
      </c>
      <c r="AY159" s="1">
        <f t="shared" si="79"/>
        <v>15.511111111111111</v>
      </c>
      <c r="AZ159" s="1">
        <f t="shared" si="79"/>
        <v>16.016666666666666</v>
      </c>
      <c r="BA159" s="1">
        <f t="shared" si="79"/>
        <v>16.524999999999999</v>
      </c>
      <c r="BB159" s="1">
        <f t="shared" si="79"/>
        <v>17.033333333333335</v>
      </c>
      <c r="BC159" s="1">
        <f t="shared" si="79"/>
        <v>17.541666666666668</v>
      </c>
      <c r="BD159" s="1">
        <f t="shared" si="79"/>
        <v>18.047222222222221</v>
      </c>
      <c r="BE159" s="1">
        <f t="shared" si="79"/>
        <v>18.047222222222221</v>
      </c>
      <c r="BF159" s="1">
        <f t="shared" si="79"/>
        <v>26.672222222222221</v>
      </c>
      <c r="BG159" s="1">
        <f t="shared" si="79"/>
        <v>27.177777777777777</v>
      </c>
      <c r="BH159" s="1">
        <f t="shared" si="79"/>
        <v>27.68611111111111</v>
      </c>
      <c r="BI159" s="1">
        <f t="shared" si="79"/>
        <v>28.191666666666666</v>
      </c>
      <c r="BJ159" s="1">
        <f t="shared" si="79"/>
        <v>28.7</v>
      </c>
      <c r="BK159" s="1">
        <f t="shared" si="79"/>
        <v>29.208333333333332</v>
      </c>
      <c r="BL159" s="1">
        <f t="shared" si="79"/>
        <v>29.716666666666665</v>
      </c>
      <c r="BM159" s="1">
        <f t="shared" si="79"/>
        <v>30.222222222222221</v>
      </c>
      <c r="BN159" s="1">
        <f t="shared" si="83"/>
        <v>30.730555555555554</v>
      </c>
      <c r="BO159" s="1">
        <f t="shared" si="80"/>
        <v>30.730555555555554</v>
      </c>
      <c r="BP159" s="1">
        <f t="shared" si="80"/>
        <v>31.236111111111111</v>
      </c>
      <c r="BQ159" s="1">
        <f t="shared" si="80"/>
        <v>31.744444444444444</v>
      </c>
      <c r="BR159" s="1">
        <f t="shared" si="80"/>
        <v>32.25</v>
      </c>
      <c r="BS159" s="1">
        <f t="shared" si="80"/>
        <v>32.758333333333333</v>
      </c>
      <c r="BT159" s="1">
        <f t="shared" si="80"/>
        <v>33.266666666666666</v>
      </c>
      <c r="BU159" s="1">
        <f t="shared" si="80"/>
        <v>33.774999999999999</v>
      </c>
      <c r="BV159" s="1">
        <f t="shared" si="80"/>
        <v>33.774999999999999</v>
      </c>
      <c r="BW159" s="1">
        <f t="shared" si="80"/>
        <v>34.280555555555559</v>
      </c>
      <c r="BX159" s="1">
        <f t="shared" si="80"/>
        <v>34.788888888888891</v>
      </c>
      <c r="BY159" s="1">
        <f t="shared" si="80"/>
        <v>35.294444444444444</v>
      </c>
      <c r="BZ159" s="1">
        <f t="shared" si="80"/>
        <v>35.802777777777777</v>
      </c>
      <c r="CA159" s="1">
        <f t="shared" si="80"/>
        <v>36.30833333333333</v>
      </c>
      <c r="CB159" s="1">
        <f t="shared" si="80"/>
        <v>36.81666666666667</v>
      </c>
      <c r="CC159" s="1">
        <f t="shared" si="80"/>
        <v>37.325000000000003</v>
      </c>
      <c r="CD159" s="1">
        <f t="shared" si="80"/>
        <v>37.833333333333336</v>
      </c>
      <c r="CE159" s="1">
        <f t="shared" si="84"/>
        <v>38.338888888888889</v>
      </c>
      <c r="CF159" s="1">
        <f t="shared" si="84"/>
        <v>38.847222222222221</v>
      </c>
      <c r="CG159" s="1">
        <f t="shared" si="84"/>
        <v>39.352777777777774</v>
      </c>
      <c r="CH159" s="1">
        <f t="shared" si="84"/>
        <v>39.861111111111114</v>
      </c>
      <c r="CI159" s="1">
        <f t="shared" si="84"/>
        <v>40.366666666666667</v>
      </c>
      <c r="CJ159" s="1">
        <f t="shared" si="84"/>
        <v>40.875</v>
      </c>
      <c r="CK159" s="1">
        <f t="shared" si="84"/>
        <v>41.383333333333333</v>
      </c>
      <c r="CL159" s="1">
        <f t="shared" si="84"/>
        <v>41.891666666666666</v>
      </c>
      <c r="CM159" s="1">
        <f t="shared" si="84"/>
        <v>42.397222222222226</v>
      </c>
      <c r="CN159" s="1">
        <f t="shared" si="84"/>
        <v>42.905555555555559</v>
      </c>
      <c r="CO159" s="1">
        <f t="shared" si="84"/>
        <v>43.411111111111111</v>
      </c>
      <c r="CP159" s="1">
        <f t="shared" si="84"/>
        <v>43.919444444444444</v>
      </c>
      <c r="CQ159" s="1">
        <f t="shared" si="84"/>
        <v>44.424999999999997</v>
      </c>
      <c r="CR159" s="1">
        <f t="shared" si="84"/>
        <v>44.93333333333333</v>
      </c>
      <c r="CS159" s="1">
        <f t="shared" si="84"/>
        <v>45.44166666666667</v>
      </c>
      <c r="CT159" s="1">
        <f t="shared" si="84"/>
        <v>45.95</v>
      </c>
      <c r="CU159" s="1">
        <f t="shared" ref="CU159:DC174" si="86">(CU$1-$B159)/360</f>
        <v>46.455555555555556</v>
      </c>
      <c r="CV159" s="1">
        <f t="shared" si="86"/>
        <v>46.963888888888889</v>
      </c>
      <c r="CW159" s="1">
        <f t="shared" si="86"/>
        <v>47.469444444444441</v>
      </c>
      <c r="CX159" s="1">
        <f t="shared" si="86"/>
        <v>47.977777777777774</v>
      </c>
      <c r="CY159" s="1">
        <f t="shared" si="86"/>
        <v>48.483333333333334</v>
      </c>
      <c r="CZ159" s="1">
        <f t="shared" si="86"/>
        <v>48.991666666666667</v>
      </c>
      <c r="DA159" s="1">
        <f t="shared" si="86"/>
        <v>49.5</v>
      </c>
      <c r="DB159" s="1">
        <f t="shared" si="86"/>
        <v>50.008333333333333</v>
      </c>
      <c r="DC159" s="1">
        <f t="shared" si="86"/>
        <v>50.008333333333333</v>
      </c>
    </row>
    <row r="160" spans="1:107" x14ac:dyDescent="0.25">
      <c r="A160">
        <f t="shared" si="74"/>
        <v>4</v>
      </c>
      <c r="B160" s="2">
        <f>yields_BRUTE!B160</f>
        <v>42235</v>
      </c>
      <c r="C160" s="1">
        <f t="shared" si="85"/>
        <v>-0.47499999999999998</v>
      </c>
      <c r="D160" s="1">
        <f t="shared" si="85"/>
        <v>-0.43611111111111112</v>
      </c>
      <c r="E160" s="1">
        <f t="shared" si="85"/>
        <v>-0.21944444444444444</v>
      </c>
      <c r="F160" s="1">
        <f t="shared" si="85"/>
        <v>3.6111111111111108E-2</v>
      </c>
      <c r="G160" s="1">
        <f t="shared" si="85"/>
        <v>7.4999999999999997E-2</v>
      </c>
      <c r="H160" s="1">
        <f t="shared" si="85"/>
        <v>0.28888888888888886</v>
      </c>
      <c r="I160" s="1">
        <f t="shared" si="85"/>
        <v>0.28888888888888886</v>
      </c>
      <c r="J160" s="1">
        <f t="shared" si="85"/>
        <v>0.54166666666666663</v>
      </c>
      <c r="K160" s="1">
        <f t="shared" si="85"/>
        <v>0.5805555555555556</v>
      </c>
      <c r="L160" s="1">
        <f t="shared" si="85"/>
        <v>0.79722222222222228</v>
      </c>
      <c r="M160" s="1">
        <f t="shared" si="85"/>
        <v>1.0527777777777778</v>
      </c>
      <c r="N160" s="1">
        <f t="shared" si="85"/>
        <v>1.0527777777777778</v>
      </c>
      <c r="O160" s="1">
        <f t="shared" si="85"/>
        <v>1.0916666666666666</v>
      </c>
      <c r="P160" s="1">
        <f t="shared" si="85"/>
        <v>1.3055555555555556</v>
      </c>
      <c r="Q160" s="1">
        <f t="shared" si="85"/>
        <v>1.5944444444444446</v>
      </c>
      <c r="R160" s="1">
        <f t="shared" si="85"/>
        <v>1.8111111111111111</v>
      </c>
      <c r="S160" s="1">
        <f t="shared" si="81"/>
        <v>2.1055555555555556</v>
      </c>
      <c r="T160" s="1">
        <f t="shared" si="81"/>
        <v>2.3194444444444446</v>
      </c>
      <c r="U160" s="1">
        <f t="shared" si="81"/>
        <v>2.6083333333333334</v>
      </c>
      <c r="V160" s="1">
        <f t="shared" si="81"/>
        <v>2.8250000000000002</v>
      </c>
      <c r="W160" s="1">
        <f t="shared" si="81"/>
        <v>3.1194444444444445</v>
      </c>
      <c r="X160" s="1">
        <f t="shared" si="81"/>
        <v>3.3333333333333335</v>
      </c>
      <c r="Y160" s="1">
        <f t="shared" si="81"/>
        <v>3.6222222222222222</v>
      </c>
      <c r="Z160" s="1">
        <f t="shared" si="81"/>
        <v>3.838888888888889</v>
      </c>
      <c r="AA160" s="1">
        <f t="shared" si="81"/>
        <v>4.1333333333333337</v>
      </c>
      <c r="AB160" s="1">
        <f t="shared" si="81"/>
        <v>4.3472222222222223</v>
      </c>
      <c r="AC160" s="1">
        <f t="shared" si="81"/>
        <v>4.6388888888888893</v>
      </c>
      <c r="AD160" s="1">
        <f t="shared" si="81"/>
        <v>4.8555555555555552</v>
      </c>
      <c r="AE160" s="1">
        <f t="shared" si="81"/>
        <v>4.8555555555555552</v>
      </c>
      <c r="AF160" s="3">
        <f t="shared" si="81"/>
        <v>5.15</v>
      </c>
      <c r="AG160" s="1">
        <f t="shared" si="78"/>
        <v>5.3638888888888889</v>
      </c>
      <c r="AH160" s="1">
        <f t="shared" si="78"/>
        <v>5.6527777777777777</v>
      </c>
      <c r="AI160" s="1">
        <f t="shared" si="78"/>
        <v>5.6527777777777777</v>
      </c>
      <c r="AJ160" s="1">
        <f t="shared" si="78"/>
        <v>5.8694444444444445</v>
      </c>
      <c r="AK160" s="1">
        <f t="shared" si="78"/>
        <v>5.8694444444444445</v>
      </c>
      <c r="AL160" s="1">
        <f t="shared" si="78"/>
        <v>6.3777777777777782</v>
      </c>
      <c r="AM160" s="1">
        <f t="shared" si="78"/>
        <v>6.8833333333333337</v>
      </c>
      <c r="AN160" s="1">
        <f t="shared" si="78"/>
        <v>6.8833333333333337</v>
      </c>
      <c r="AO160" s="1">
        <f t="shared" si="78"/>
        <v>7.3916666666666666</v>
      </c>
      <c r="AP160" s="1">
        <f t="shared" si="78"/>
        <v>7.8972222222222221</v>
      </c>
      <c r="AQ160" s="1">
        <f t="shared" si="78"/>
        <v>7.8972222222222221</v>
      </c>
      <c r="AR160" s="1">
        <f t="shared" si="78"/>
        <v>8.405555555555555</v>
      </c>
      <c r="AS160" s="1">
        <f t="shared" si="78"/>
        <v>8.9138888888888896</v>
      </c>
      <c r="AT160" s="1">
        <f t="shared" si="78"/>
        <v>9.4222222222222225</v>
      </c>
      <c r="AU160" s="1">
        <f t="shared" si="78"/>
        <v>9.9277777777777771</v>
      </c>
      <c r="AV160" s="1">
        <f t="shared" si="78"/>
        <v>9.9277777777777771</v>
      </c>
      <c r="AW160" s="1">
        <f t="shared" si="82"/>
        <v>14.494444444444444</v>
      </c>
      <c r="AX160" s="1">
        <f t="shared" si="79"/>
        <v>15</v>
      </c>
      <c r="AY160" s="1">
        <f t="shared" si="79"/>
        <v>15.508333333333333</v>
      </c>
      <c r="AZ160" s="1">
        <f t="shared" si="79"/>
        <v>16.013888888888889</v>
      </c>
      <c r="BA160" s="1">
        <f t="shared" si="79"/>
        <v>16.522222222222222</v>
      </c>
      <c r="BB160" s="1">
        <f t="shared" si="79"/>
        <v>17.030555555555555</v>
      </c>
      <c r="BC160" s="1">
        <f t="shared" si="79"/>
        <v>17.538888888888888</v>
      </c>
      <c r="BD160" s="1">
        <f t="shared" si="79"/>
        <v>18.044444444444444</v>
      </c>
      <c r="BE160" s="1">
        <f t="shared" si="79"/>
        <v>18.044444444444444</v>
      </c>
      <c r="BF160" s="1">
        <f t="shared" si="79"/>
        <v>26.669444444444444</v>
      </c>
      <c r="BG160" s="1">
        <f t="shared" si="79"/>
        <v>27.175000000000001</v>
      </c>
      <c r="BH160" s="1">
        <f t="shared" si="79"/>
        <v>27.683333333333334</v>
      </c>
      <c r="BI160" s="1">
        <f t="shared" si="79"/>
        <v>28.18888888888889</v>
      </c>
      <c r="BJ160" s="1">
        <f t="shared" si="79"/>
        <v>28.697222222222223</v>
      </c>
      <c r="BK160" s="1">
        <f t="shared" si="79"/>
        <v>29.205555555555556</v>
      </c>
      <c r="BL160" s="1">
        <f t="shared" si="79"/>
        <v>29.713888888888889</v>
      </c>
      <c r="BM160" s="1">
        <f t="shared" si="79"/>
        <v>30.219444444444445</v>
      </c>
      <c r="BN160" s="1">
        <f t="shared" si="83"/>
        <v>30.727777777777778</v>
      </c>
      <c r="BO160" s="1">
        <f t="shared" si="80"/>
        <v>30.727777777777778</v>
      </c>
      <c r="BP160" s="1">
        <f t="shared" si="80"/>
        <v>31.233333333333334</v>
      </c>
      <c r="BQ160" s="1">
        <f t="shared" si="80"/>
        <v>31.741666666666667</v>
      </c>
      <c r="BR160" s="1">
        <f t="shared" si="80"/>
        <v>32.24722222222222</v>
      </c>
      <c r="BS160" s="1">
        <f t="shared" si="80"/>
        <v>32.755555555555553</v>
      </c>
      <c r="BT160" s="1">
        <f t="shared" si="80"/>
        <v>33.263888888888886</v>
      </c>
      <c r="BU160" s="1">
        <f t="shared" si="80"/>
        <v>33.772222222222226</v>
      </c>
      <c r="BV160" s="1">
        <f t="shared" si="80"/>
        <v>33.772222222222226</v>
      </c>
      <c r="BW160" s="1">
        <f t="shared" si="80"/>
        <v>34.277777777777779</v>
      </c>
      <c r="BX160" s="1">
        <f t="shared" si="80"/>
        <v>34.786111111111111</v>
      </c>
      <c r="BY160" s="1">
        <f t="shared" si="80"/>
        <v>35.291666666666664</v>
      </c>
      <c r="BZ160" s="1">
        <f t="shared" si="80"/>
        <v>35.799999999999997</v>
      </c>
      <c r="CA160" s="1">
        <f t="shared" si="80"/>
        <v>36.305555555555557</v>
      </c>
      <c r="CB160" s="1">
        <f t="shared" si="80"/>
        <v>36.81388888888889</v>
      </c>
      <c r="CC160" s="1">
        <f t="shared" si="80"/>
        <v>37.322222222222223</v>
      </c>
      <c r="CD160" s="1">
        <f t="shared" si="80"/>
        <v>37.830555555555556</v>
      </c>
      <c r="CE160" s="1">
        <f t="shared" si="84"/>
        <v>38.336111111111109</v>
      </c>
      <c r="CF160" s="1">
        <f t="shared" si="84"/>
        <v>38.844444444444441</v>
      </c>
      <c r="CG160" s="1">
        <f t="shared" si="84"/>
        <v>39.35</v>
      </c>
      <c r="CH160" s="1">
        <f t="shared" si="84"/>
        <v>39.858333333333334</v>
      </c>
      <c r="CI160" s="1">
        <f t="shared" si="84"/>
        <v>40.363888888888887</v>
      </c>
      <c r="CJ160" s="1">
        <f t="shared" si="84"/>
        <v>40.87222222222222</v>
      </c>
      <c r="CK160" s="1">
        <f t="shared" si="84"/>
        <v>41.380555555555553</v>
      </c>
      <c r="CL160" s="1">
        <f t="shared" si="84"/>
        <v>41.888888888888886</v>
      </c>
      <c r="CM160" s="1">
        <f t="shared" si="84"/>
        <v>42.394444444444446</v>
      </c>
      <c r="CN160" s="1">
        <f t="shared" si="84"/>
        <v>42.902777777777779</v>
      </c>
      <c r="CO160" s="1">
        <f t="shared" si="84"/>
        <v>43.408333333333331</v>
      </c>
      <c r="CP160" s="1">
        <f t="shared" si="84"/>
        <v>43.916666666666664</v>
      </c>
      <c r="CQ160" s="1">
        <f t="shared" si="84"/>
        <v>44.422222222222224</v>
      </c>
      <c r="CR160" s="1">
        <f t="shared" si="84"/>
        <v>44.930555555555557</v>
      </c>
      <c r="CS160" s="1">
        <f t="shared" si="84"/>
        <v>45.43888888888889</v>
      </c>
      <c r="CT160" s="1">
        <f t="shared" si="84"/>
        <v>45.947222222222223</v>
      </c>
      <c r="CU160" s="1">
        <f t="shared" si="86"/>
        <v>46.452777777777776</v>
      </c>
      <c r="CV160" s="1">
        <f t="shared" si="86"/>
        <v>46.961111111111109</v>
      </c>
      <c r="CW160" s="1">
        <f t="shared" si="86"/>
        <v>47.466666666666669</v>
      </c>
      <c r="CX160" s="1">
        <f t="shared" si="86"/>
        <v>47.975000000000001</v>
      </c>
      <c r="CY160" s="1">
        <f t="shared" si="86"/>
        <v>48.480555555555554</v>
      </c>
      <c r="CZ160" s="1">
        <f t="shared" si="86"/>
        <v>48.988888888888887</v>
      </c>
      <c r="DA160" s="1">
        <f t="shared" si="86"/>
        <v>49.49722222222222</v>
      </c>
      <c r="DB160" s="1">
        <f t="shared" si="86"/>
        <v>50.005555555555553</v>
      </c>
      <c r="DC160" s="1">
        <f t="shared" si="86"/>
        <v>50.005555555555553</v>
      </c>
    </row>
    <row r="161" spans="1:107" x14ac:dyDescent="0.25">
      <c r="A161">
        <f t="shared" si="74"/>
        <v>5</v>
      </c>
      <c r="B161" s="2">
        <f>yields_BRUTE!B161</f>
        <v>42236</v>
      </c>
      <c r="C161" s="1">
        <f t="shared" si="85"/>
        <v>-0.4777777777777778</v>
      </c>
      <c r="D161" s="1">
        <f t="shared" si="85"/>
        <v>-0.43888888888888888</v>
      </c>
      <c r="E161" s="1">
        <f t="shared" si="85"/>
        <v>-0.22222222222222221</v>
      </c>
      <c r="F161" s="1">
        <f t="shared" si="85"/>
        <v>3.3333333333333333E-2</v>
      </c>
      <c r="G161" s="1">
        <f t="shared" si="85"/>
        <v>7.2222222222222215E-2</v>
      </c>
      <c r="H161" s="1">
        <f t="shared" si="85"/>
        <v>0.28611111111111109</v>
      </c>
      <c r="I161" s="1">
        <f t="shared" si="85"/>
        <v>0.28611111111111109</v>
      </c>
      <c r="J161" s="1">
        <f t="shared" si="85"/>
        <v>0.53888888888888886</v>
      </c>
      <c r="K161" s="1">
        <f t="shared" si="85"/>
        <v>0.57777777777777772</v>
      </c>
      <c r="L161" s="1">
        <f t="shared" si="85"/>
        <v>0.7944444444444444</v>
      </c>
      <c r="M161" s="1">
        <f t="shared" si="85"/>
        <v>1.05</v>
      </c>
      <c r="N161" s="1">
        <f t="shared" si="85"/>
        <v>1.05</v>
      </c>
      <c r="O161" s="1">
        <f t="shared" si="85"/>
        <v>1.0888888888888888</v>
      </c>
      <c r="P161" s="1">
        <f t="shared" si="85"/>
        <v>1.3027777777777778</v>
      </c>
      <c r="Q161" s="1">
        <f t="shared" si="85"/>
        <v>1.5916666666666666</v>
      </c>
      <c r="R161" s="1">
        <f t="shared" si="85"/>
        <v>1.8083333333333333</v>
      </c>
      <c r="S161" s="1">
        <f t="shared" si="81"/>
        <v>2.1027777777777779</v>
      </c>
      <c r="T161" s="1">
        <f t="shared" si="81"/>
        <v>2.3166666666666669</v>
      </c>
      <c r="U161" s="1">
        <f t="shared" si="81"/>
        <v>2.6055555555555556</v>
      </c>
      <c r="V161" s="1">
        <f t="shared" si="81"/>
        <v>2.8222222222222224</v>
      </c>
      <c r="W161" s="1">
        <f t="shared" si="81"/>
        <v>3.1166666666666667</v>
      </c>
      <c r="X161" s="1">
        <f t="shared" si="81"/>
        <v>3.3305555555555557</v>
      </c>
      <c r="Y161" s="1">
        <f t="shared" si="81"/>
        <v>3.6194444444444445</v>
      </c>
      <c r="Z161" s="1">
        <f t="shared" si="81"/>
        <v>3.8361111111111112</v>
      </c>
      <c r="AA161" s="1">
        <f t="shared" si="81"/>
        <v>4.1305555555555555</v>
      </c>
      <c r="AB161" s="1">
        <f t="shared" si="81"/>
        <v>4.3444444444444441</v>
      </c>
      <c r="AC161" s="1">
        <f t="shared" si="81"/>
        <v>4.6361111111111111</v>
      </c>
      <c r="AD161" s="1">
        <f t="shared" si="81"/>
        <v>4.8527777777777779</v>
      </c>
      <c r="AE161" s="1">
        <f t="shared" si="81"/>
        <v>4.8527777777777779</v>
      </c>
      <c r="AF161" s="3">
        <f t="shared" si="81"/>
        <v>5.1472222222222221</v>
      </c>
      <c r="AG161" s="1">
        <f t="shared" si="81"/>
        <v>5.3611111111111107</v>
      </c>
      <c r="AH161" s="1">
        <f t="shared" si="81"/>
        <v>5.65</v>
      </c>
      <c r="AI161" s="1">
        <f t="shared" ref="AI161:AX176" si="87">(AI$1-$B161)/360</f>
        <v>5.65</v>
      </c>
      <c r="AJ161" s="1">
        <f t="shared" si="87"/>
        <v>5.8666666666666663</v>
      </c>
      <c r="AK161" s="1">
        <f t="shared" si="87"/>
        <v>5.8666666666666663</v>
      </c>
      <c r="AL161" s="1">
        <f t="shared" si="87"/>
        <v>6.375</v>
      </c>
      <c r="AM161" s="1">
        <f t="shared" si="87"/>
        <v>6.8805555555555555</v>
      </c>
      <c r="AN161" s="1">
        <f t="shared" si="87"/>
        <v>6.8805555555555555</v>
      </c>
      <c r="AO161" s="1">
        <f t="shared" si="87"/>
        <v>7.3888888888888893</v>
      </c>
      <c r="AP161" s="1">
        <f t="shared" si="87"/>
        <v>7.8944444444444448</v>
      </c>
      <c r="AQ161" s="1">
        <f t="shared" si="87"/>
        <v>7.8944444444444448</v>
      </c>
      <c r="AR161" s="1">
        <f t="shared" si="87"/>
        <v>8.4027777777777786</v>
      </c>
      <c r="AS161" s="1">
        <f t="shared" si="87"/>
        <v>8.9111111111111114</v>
      </c>
      <c r="AT161" s="1">
        <f t="shared" si="87"/>
        <v>9.4194444444444443</v>
      </c>
      <c r="AU161" s="1">
        <f t="shared" si="87"/>
        <v>9.9250000000000007</v>
      </c>
      <c r="AV161" s="1">
        <f t="shared" si="87"/>
        <v>9.9250000000000007</v>
      </c>
      <c r="AW161" s="1">
        <f t="shared" si="82"/>
        <v>14.491666666666667</v>
      </c>
      <c r="AX161" s="1">
        <f t="shared" si="82"/>
        <v>14.997222222222222</v>
      </c>
      <c r="AY161" s="1">
        <f t="shared" si="82"/>
        <v>15.505555555555556</v>
      </c>
      <c r="AZ161" s="1">
        <f t="shared" si="82"/>
        <v>16.011111111111113</v>
      </c>
      <c r="BA161" s="1">
        <f t="shared" si="82"/>
        <v>16.519444444444446</v>
      </c>
      <c r="BB161" s="1">
        <f t="shared" si="82"/>
        <v>17.027777777777779</v>
      </c>
      <c r="BC161" s="1">
        <f t="shared" si="82"/>
        <v>17.536111111111111</v>
      </c>
      <c r="BD161" s="1">
        <f t="shared" si="82"/>
        <v>18.041666666666668</v>
      </c>
      <c r="BE161" s="1">
        <f t="shared" si="82"/>
        <v>18.041666666666668</v>
      </c>
      <c r="BF161" s="1">
        <f t="shared" si="82"/>
        <v>26.666666666666668</v>
      </c>
      <c r="BG161" s="1">
        <f t="shared" si="82"/>
        <v>27.172222222222221</v>
      </c>
      <c r="BH161" s="1">
        <f t="shared" si="82"/>
        <v>27.680555555555557</v>
      </c>
      <c r="BI161" s="1">
        <f t="shared" si="82"/>
        <v>28.18611111111111</v>
      </c>
      <c r="BJ161" s="1">
        <f t="shared" si="82"/>
        <v>28.694444444444443</v>
      </c>
      <c r="BK161" s="1">
        <f t="shared" si="82"/>
        <v>29.202777777777779</v>
      </c>
      <c r="BL161" s="1">
        <f t="shared" si="82"/>
        <v>29.711111111111112</v>
      </c>
      <c r="BM161" s="1">
        <f t="shared" ref="BM161:CB176" si="88">(BM$1-$B161)/360</f>
        <v>30.216666666666665</v>
      </c>
      <c r="BN161" s="1">
        <f t="shared" si="83"/>
        <v>30.725000000000001</v>
      </c>
      <c r="BO161" s="1">
        <f t="shared" si="83"/>
        <v>30.725000000000001</v>
      </c>
      <c r="BP161" s="1">
        <f t="shared" si="83"/>
        <v>31.230555555555554</v>
      </c>
      <c r="BQ161" s="1">
        <f t="shared" si="83"/>
        <v>31.738888888888887</v>
      </c>
      <c r="BR161" s="1">
        <f t="shared" si="83"/>
        <v>32.244444444444447</v>
      </c>
      <c r="BS161" s="1">
        <f t="shared" si="83"/>
        <v>32.75277777777778</v>
      </c>
      <c r="BT161" s="1">
        <f t="shared" si="83"/>
        <v>33.261111111111113</v>
      </c>
      <c r="BU161" s="1">
        <f t="shared" si="83"/>
        <v>33.769444444444446</v>
      </c>
      <c r="BV161" s="1">
        <f t="shared" si="83"/>
        <v>33.769444444444446</v>
      </c>
      <c r="BW161" s="1">
        <f t="shared" si="83"/>
        <v>34.274999999999999</v>
      </c>
      <c r="BX161" s="1">
        <f t="shared" si="83"/>
        <v>34.783333333333331</v>
      </c>
      <c r="BY161" s="1">
        <f t="shared" si="83"/>
        <v>35.288888888888891</v>
      </c>
      <c r="BZ161" s="1">
        <f t="shared" si="83"/>
        <v>35.797222222222224</v>
      </c>
      <c r="CA161" s="1">
        <f t="shared" si="83"/>
        <v>36.302777777777777</v>
      </c>
      <c r="CB161" s="1">
        <f t="shared" si="83"/>
        <v>36.81111111111111</v>
      </c>
      <c r="CC161" s="1">
        <f t="shared" si="83"/>
        <v>37.319444444444443</v>
      </c>
      <c r="CD161" s="1">
        <f t="shared" ref="CD161:CS176" si="89">(CD$1-$B161)/360</f>
        <v>37.827777777777776</v>
      </c>
      <c r="CE161" s="1">
        <f t="shared" si="84"/>
        <v>38.333333333333336</v>
      </c>
      <c r="CF161" s="1">
        <f t="shared" si="84"/>
        <v>38.841666666666669</v>
      </c>
      <c r="CG161" s="1">
        <f t="shared" si="84"/>
        <v>39.347222222222221</v>
      </c>
      <c r="CH161" s="1">
        <f t="shared" si="84"/>
        <v>39.855555555555554</v>
      </c>
      <c r="CI161" s="1">
        <f t="shared" si="84"/>
        <v>40.361111111111114</v>
      </c>
      <c r="CJ161" s="1">
        <f t="shared" si="84"/>
        <v>40.869444444444447</v>
      </c>
      <c r="CK161" s="1">
        <f t="shared" si="84"/>
        <v>41.37777777777778</v>
      </c>
      <c r="CL161" s="1">
        <f t="shared" si="84"/>
        <v>41.886111111111113</v>
      </c>
      <c r="CM161" s="1">
        <f t="shared" si="84"/>
        <v>42.391666666666666</v>
      </c>
      <c r="CN161" s="1">
        <f t="shared" si="84"/>
        <v>42.9</v>
      </c>
      <c r="CO161" s="1">
        <f t="shared" si="84"/>
        <v>43.405555555555559</v>
      </c>
      <c r="CP161" s="1">
        <f t="shared" si="84"/>
        <v>43.913888888888891</v>
      </c>
      <c r="CQ161" s="1">
        <f t="shared" si="84"/>
        <v>44.419444444444444</v>
      </c>
      <c r="CR161" s="1">
        <f t="shared" si="84"/>
        <v>44.927777777777777</v>
      </c>
      <c r="CS161" s="1">
        <f t="shared" si="84"/>
        <v>45.43611111111111</v>
      </c>
      <c r="CT161" s="1">
        <f t="shared" si="84"/>
        <v>45.944444444444443</v>
      </c>
      <c r="CU161" s="1">
        <f t="shared" si="86"/>
        <v>46.45</v>
      </c>
      <c r="CV161" s="1">
        <f t="shared" si="86"/>
        <v>46.958333333333336</v>
      </c>
      <c r="CW161" s="1">
        <f t="shared" si="86"/>
        <v>47.463888888888889</v>
      </c>
      <c r="CX161" s="1">
        <f t="shared" si="86"/>
        <v>47.972222222222221</v>
      </c>
      <c r="CY161" s="1">
        <f t="shared" si="86"/>
        <v>48.477777777777774</v>
      </c>
      <c r="CZ161" s="1">
        <f t="shared" si="86"/>
        <v>48.986111111111114</v>
      </c>
      <c r="DA161" s="1">
        <f t="shared" si="86"/>
        <v>49.494444444444447</v>
      </c>
      <c r="DB161" s="1">
        <f t="shared" si="86"/>
        <v>50.00277777777778</v>
      </c>
      <c r="DC161" s="1">
        <f t="shared" si="86"/>
        <v>50.00277777777778</v>
      </c>
    </row>
    <row r="162" spans="1:107" x14ac:dyDescent="0.25">
      <c r="A162">
        <f t="shared" si="74"/>
        <v>6</v>
      </c>
      <c r="B162" s="2">
        <f>yields_BRUTE!B162</f>
        <v>42237</v>
      </c>
      <c r="C162" s="1">
        <f t="shared" si="85"/>
        <v>-0.48055555555555557</v>
      </c>
      <c r="D162" s="1">
        <f t="shared" si="85"/>
        <v>-0.44166666666666665</v>
      </c>
      <c r="E162" s="1">
        <f t="shared" si="85"/>
        <v>-0.22500000000000001</v>
      </c>
      <c r="F162" s="1">
        <f t="shared" si="85"/>
        <v>3.0555555555555555E-2</v>
      </c>
      <c r="G162" s="1">
        <f t="shared" si="85"/>
        <v>6.9444444444444448E-2</v>
      </c>
      <c r="H162" s="1">
        <f t="shared" si="85"/>
        <v>0.28333333333333333</v>
      </c>
      <c r="I162" s="1">
        <f t="shared" si="85"/>
        <v>0.28333333333333333</v>
      </c>
      <c r="J162" s="1">
        <f t="shared" si="85"/>
        <v>0.53611111111111109</v>
      </c>
      <c r="K162" s="1">
        <f t="shared" si="85"/>
        <v>0.57499999999999996</v>
      </c>
      <c r="L162" s="1">
        <f t="shared" si="85"/>
        <v>0.79166666666666663</v>
      </c>
      <c r="M162" s="1">
        <f t="shared" si="85"/>
        <v>1.0472222222222223</v>
      </c>
      <c r="N162" s="1">
        <f t="shared" si="85"/>
        <v>1.0472222222222223</v>
      </c>
      <c r="O162" s="1">
        <f t="shared" si="85"/>
        <v>1.086111111111111</v>
      </c>
      <c r="P162" s="1">
        <f t="shared" si="85"/>
        <v>1.3</v>
      </c>
      <c r="Q162" s="1">
        <f t="shared" si="85"/>
        <v>1.5888888888888888</v>
      </c>
      <c r="R162" s="1">
        <f t="shared" ref="R162:AG177" si="90">(R$1-$B162)/360</f>
        <v>1.8055555555555556</v>
      </c>
      <c r="S162" s="1">
        <f t="shared" si="90"/>
        <v>2.1</v>
      </c>
      <c r="T162" s="1">
        <f t="shared" si="90"/>
        <v>2.3138888888888891</v>
      </c>
      <c r="U162" s="1">
        <f t="shared" si="90"/>
        <v>2.6027777777777779</v>
      </c>
      <c r="V162" s="1">
        <f t="shared" si="90"/>
        <v>2.8194444444444446</v>
      </c>
      <c r="W162" s="1">
        <f t="shared" si="90"/>
        <v>3.1138888888888889</v>
      </c>
      <c r="X162" s="1">
        <f t="shared" si="90"/>
        <v>3.3277777777777779</v>
      </c>
      <c r="Y162" s="1">
        <f t="shared" si="90"/>
        <v>3.6166666666666667</v>
      </c>
      <c r="Z162" s="1">
        <f t="shared" si="90"/>
        <v>3.8333333333333335</v>
      </c>
      <c r="AA162" s="1">
        <f t="shared" si="90"/>
        <v>4.1277777777777782</v>
      </c>
      <c r="AB162" s="1">
        <f t="shared" si="90"/>
        <v>4.3416666666666668</v>
      </c>
      <c r="AC162" s="1">
        <f t="shared" si="90"/>
        <v>4.6333333333333337</v>
      </c>
      <c r="AD162" s="1">
        <f t="shared" si="90"/>
        <v>4.8499999999999996</v>
      </c>
      <c r="AE162" s="1">
        <f t="shared" si="90"/>
        <v>4.8499999999999996</v>
      </c>
      <c r="AF162" s="3">
        <f t="shared" si="90"/>
        <v>5.1444444444444448</v>
      </c>
      <c r="AG162" s="1">
        <f t="shared" si="90"/>
        <v>5.3583333333333334</v>
      </c>
      <c r="AH162" s="1">
        <f t="shared" ref="AH162:AW177" si="91">(AH$1-$B162)/360</f>
        <v>5.6472222222222221</v>
      </c>
      <c r="AI162" s="1">
        <f t="shared" si="87"/>
        <v>5.6472222222222221</v>
      </c>
      <c r="AJ162" s="1">
        <f t="shared" si="87"/>
        <v>5.8638888888888889</v>
      </c>
      <c r="AK162" s="1">
        <f t="shared" si="87"/>
        <v>5.8638888888888889</v>
      </c>
      <c r="AL162" s="1">
        <f t="shared" si="87"/>
        <v>6.3722222222222218</v>
      </c>
      <c r="AM162" s="1">
        <f t="shared" si="87"/>
        <v>6.8777777777777782</v>
      </c>
      <c r="AN162" s="1">
        <f t="shared" si="87"/>
        <v>6.8777777777777782</v>
      </c>
      <c r="AO162" s="1">
        <f t="shared" si="87"/>
        <v>7.3861111111111111</v>
      </c>
      <c r="AP162" s="1">
        <f t="shared" si="87"/>
        <v>7.8916666666666666</v>
      </c>
      <c r="AQ162" s="1">
        <f t="shared" si="87"/>
        <v>7.8916666666666666</v>
      </c>
      <c r="AR162" s="1">
        <f t="shared" si="87"/>
        <v>8.4</v>
      </c>
      <c r="AS162" s="1">
        <f t="shared" si="87"/>
        <v>8.9083333333333332</v>
      </c>
      <c r="AT162" s="1">
        <f t="shared" si="87"/>
        <v>9.4166666666666661</v>
      </c>
      <c r="AU162" s="1">
        <f t="shared" si="87"/>
        <v>9.9222222222222225</v>
      </c>
      <c r="AV162" s="1">
        <f t="shared" si="87"/>
        <v>9.9222222222222225</v>
      </c>
      <c r="AW162" s="1">
        <f t="shared" si="87"/>
        <v>14.488888888888889</v>
      </c>
      <c r="AX162" s="1">
        <f t="shared" si="87"/>
        <v>14.994444444444444</v>
      </c>
      <c r="AY162" s="1">
        <f t="shared" ref="AY162:BN177" si="92">(AY$1-$B162)/360</f>
        <v>15.502777777777778</v>
      </c>
      <c r="AZ162" s="1">
        <f t="shared" si="92"/>
        <v>16.008333333333333</v>
      </c>
      <c r="BA162" s="1">
        <f t="shared" si="92"/>
        <v>16.516666666666666</v>
      </c>
      <c r="BB162" s="1">
        <f t="shared" si="92"/>
        <v>17.024999999999999</v>
      </c>
      <c r="BC162" s="1">
        <f t="shared" si="92"/>
        <v>17.533333333333335</v>
      </c>
      <c r="BD162" s="1">
        <f t="shared" si="92"/>
        <v>18.038888888888888</v>
      </c>
      <c r="BE162" s="1">
        <f t="shared" si="92"/>
        <v>18.038888888888888</v>
      </c>
      <c r="BF162" s="1">
        <f t="shared" si="92"/>
        <v>26.663888888888888</v>
      </c>
      <c r="BG162" s="1">
        <f t="shared" si="92"/>
        <v>27.169444444444444</v>
      </c>
      <c r="BH162" s="1">
        <f t="shared" si="92"/>
        <v>27.677777777777777</v>
      </c>
      <c r="BI162" s="1">
        <f t="shared" si="92"/>
        <v>28.183333333333334</v>
      </c>
      <c r="BJ162" s="1">
        <f t="shared" si="92"/>
        <v>28.691666666666666</v>
      </c>
      <c r="BK162" s="1">
        <f t="shared" si="92"/>
        <v>29.2</v>
      </c>
      <c r="BL162" s="1">
        <f t="shared" si="92"/>
        <v>29.708333333333332</v>
      </c>
      <c r="BM162" s="1">
        <f t="shared" si="88"/>
        <v>30.213888888888889</v>
      </c>
      <c r="BN162" s="1">
        <f t="shared" si="88"/>
        <v>30.722222222222221</v>
      </c>
      <c r="BO162" s="1">
        <f t="shared" si="88"/>
        <v>30.722222222222221</v>
      </c>
      <c r="BP162" s="1">
        <f t="shared" si="88"/>
        <v>31.227777777777778</v>
      </c>
      <c r="BQ162" s="1">
        <f t="shared" si="88"/>
        <v>31.736111111111111</v>
      </c>
      <c r="BR162" s="1">
        <f t="shared" si="88"/>
        <v>32.241666666666667</v>
      </c>
      <c r="BS162" s="1">
        <f t="shared" si="88"/>
        <v>32.75</v>
      </c>
      <c r="BT162" s="1">
        <f t="shared" si="88"/>
        <v>33.258333333333333</v>
      </c>
      <c r="BU162" s="1">
        <f t="shared" si="88"/>
        <v>33.766666666666666</v>
      </c>
      <c r="BV162" s="1">
        <f t="shared" si="88"/>
        <v>33.766666666666666</v>
      </c>
      <c r="BW162" s="1">
        <f t="shared" si="88"/>
        <v>34.272222222222226</v>
      </c>
      <c r="BX162" s="1">
        <f t="shared" si="88"/>
        <v>34.780555555555559</v>
      </c>
      <c r="BY162" s="1">
        <f t="shared" si="88"/>
        <v>35.286111111111111</v>
      </c>
      <c r="BZ162" s="1">
        <f t="shared" si="88"/>
        <v>35.794444444444444</v>
      </c>
      <c r="CA162" s="1">
        <f t="shared" si="88"/>
        <v>36.299999999999997</v>
      </c>
      <c r="CB162" s="1">
        <f t="shared" si="88"/>
        <v>36.80833333333333</v>
      </c>
      <c r="CC162" s="1">
        <f t="shared" ref="CC162:CR177" si="93">(CC$1-$B162)/360</f>
        <v>37.31666666666667</v>
      </c>
      <c r="CD162" s="1">
        <f t="shared" si="89"/>
        <v>37.825000000000003</v>
      </c>
      <c r="CE162" s="1">
        <f t="shared" si="89"/>
        <v>38.330555555555556</v>
      </c>
      <c r="CF162" s="1">
        <f t="shared" si="89"/>
        <v>38.838888888888889</v>
      </c>
      <c r="CG162" s="1">
        <f t="shared" si="89"/>
        <v>39.344444444444441</v>
      </c>
      <c r="CH162" s="1">
        <f t="shared" si="89"/>
        <v>39.852777777777774</v>
      </c>
      <c r="CI162" s="1">
        <f t="shared" si="89"/>
        <v>40.358333333333334</v>
      </c>
      <c r="CJ162" s="1">
        <f t="shared" si="89"/>
        <v>40.866666666666667</v>
      </c>
      <c r="CK162" s="1">
        <f t="shared" si="89"/>
        <v>41.375</v>
      </c>
      <c r="CL162" s="1">
        <f t="shared" si="89"/>
        <v>41.883333333333333</v>
      </c>
      <c r="CM162" s="1">
        <f t="shared" si="89"/>
        <v>42.388888888888886</v>
      </c>
      <c r="CN162" s="1">
        <f t="shared" si="89"/>
        <v>42.897222222222226</v>
      </c>
      <c r="CO162" s="1">
        <f t="shared" si="89"/>
        <v>43.402777777777779</v>
      </c>
      <c r="CP162" s="1">
        <f t="shared" si="89"/>
        <v>43.911111111111111</v>
      </c>
      <c r="CQ162" s="1">
        <f t="shared" si="89"/>
        <v>44.416666666666664</v>
      </c>
      <c r="CR162" s="1">
        <f t="shared" si="89"/>
        <v>44.924999999999997</v>
      </c>
      <c r="CS162" s="1">
        <f t="shared" si="89"/>
        <v>45.43333333333333</v>
      </c>
      <c r="CT162" s="1">
        <f t="shared" ref="CT162:DC177" si="94">(CT$1-$B162)/360</f>
        <v>45.94166666666667</v>
      </c>
      <c r="CU162" s="1">
        <f t="shared" si="86"/>
        <v>46.447222222222223</v>
      </c>
      <c r="CV162" s="1">
        <f t="shared" si="86"/>
        <v>46.955555555555556</v>
      </c>
      <c r="CW162" s="1">
        <f t="shared" si="86"/>
        <v>47.461111111111109</v>
      </c>
      <c r="CX162" s="1">
        <f t="shared" si="86"/>
        <v>47.969444444444441</v>
      </c>
      <c r="CY162" s="1">
        <f t="shared" si="86"/>
        <v>48.475000000000001</v>
      </c>
      <c r="CZ162" s="1">
        <f t="shared" si="86"/>
        <v>48.983333333333334</v>
      </c>
      <c r="DA162" s="1">
        <f t="shared" si="86"/>
        <v>49.491666666666667</v>
      </c>
      <c r="DB162" s="1">
        <f t="shared" si="86"/>
        <v>50</v>
      </c>
      <c r="DC162" s="1">
        <f t="shared" si="86"/>
        <v>50</v>
      </c>
    </row>
    <row r="163" spans="1:107" x14ac:dyDescent="0.25">
      <c r="A163">
        <f t="shared" si="74"/>
        <v>2</v>
      </c>
      <c r="B163" s="2">
        <f>yields_BRUTE!B163</f>
        <v>42240</v>
      </c>
      <c r="C163" s="1">
        <f t="shared" ref="C163:R178" si="95">(C$1-$B163)/360</f>
        <v>-0.48888888888888887</v>
      </c>
      <c r="D163" s="1">
        <f t="shared" si="95"/>
        <v>-0.45</v>
      </c>
      <c r="E163" s="1">
        <f t="shared" si="95"/>
        <v>-0.23333333333333334</v>
      </c>
      <c r="F163" s="1">
        <f t="shared" si="95"/>
        <v>2.2222222222222223E-2</v>
      </c>
      <c r="G163" s="1">
        <f t="shared" si="95"/>
        <v>6.1111111111111109E-2</v>
      </c>
      <c r="H163" s="1">
        <f t="shared" si="95"/>
        <v>0.27500000000000002</v>
      </c>
      <c r="I163" s="1">
        <f t="shared" si="95"/>
        <v>0.27500000000000002</v>
      </c>
      <c r="J163" s="1">
        <f t="shared" si="95"/>
        <v>0.52777777777777779</v>
      </c>
      <c r="K163" s="1">
        <f t="shared" si="95"/>
        <v>0.56666666666666665</v>
      </c>
      <c r="L163" s="1">
        <f t="shared" si="95"/>
        <v>0.78333333333333333</v>
      </c>
      <c r="M163" s="1">
        <f t="shared" si="95"/>
        <v>1.038888888888889</v>
      </c>
      <c r="N163" s="1">
        <f t="shared" si="95"/>
        <v>1.038888888888889</v>
      </c>
      <c r="O163" s="1">
        <f t="shared" si="95"/>
        <v>1.0777777777777777</v>
      </c>
      <c r="P163" s="1">
        <f t="shared" si="95"/>
        <v>1.2916666666666667</v>
      </c>
      <c r="Q163" s="1">
        <f t="shared" si="95"/>
        <v>1.5805555555555555</v>
      </c>
      <c r="R163" s="1">
        <f t="shared" si="90"/>
        <v>1.7972222222222223</v>
      </c>
      <c r="S163" s="1">
        <f t="shared" si="90"/>
        <v>2.0916666666666668</v>
      </c>
      <c r="T163" s="1">
        <f t="shared" si="90"/>
        <v>2.3055555555555554</v>
      </c>
      <c r="U163" s="1">
        <f t="shared" si="90"/>
        <v>2.5944444444444446</v>
      </c>
      <c r="V163" s="1">
        <f t="shared" si="90"/>
        <v>2.8111111111111109</v>
      </c>
      <c r="W163" s="1">
        <f t="shared" si="90"/>
        <v>3.1055555555555556</v>
      </c>
      <c r="X163" s="1">
        <f t="shared" si="90"/>
        <v>3.3194444444444446</v>
      </c>
      <c r="Y163" s="1">
        <f t="shared" si="90"/>
        <v>3.6083333333333334</v>
      </c>
      <c r="Z163" s="1">
        <f t="shared" si="90"/>
        <v>3.8250000000000002</v>
      </c>
      <c r="AA163" s="1">
        <f t="shared" si="90"/>
        <v>4.1194444444444445</v>
      </c>
      <c r="AB163" s="1">
        <f t="shared" si="90"/>
        <v>4.333333333333333</v>
      </c>
      <c r="AC163" s="1">
        <f t="shared" si="90"/>
        <v>4.625</v>
      </c>
      <c r="AD163" s="1">
        <f t="shared" si="90"/>
        <v>4.8416666666666668</v>
      </c>
      <c r="AE163" s="1">
        <f t="shared" si="90"/>
        <v>4.8416666666666668</v>
      </c>
      <c r="AF163" s="3">
        <f t="shared" si="90"/>
        <v>5.1361111111111111</v>
      </c>
      <c r="AG163" s="1">
        <f t="shared" si="90"/>
        <v>5.35</v>
      </c>
      <c r="AH163" s="1">
        <f t="shared" si="91"/>
        <v>5.6388888888888893</v>
      </c>
      <c r="AI163" s="1">
        <f t="shared" si="87"/>
        <v>5.6388888888888893</v>
      </c>
      <c r="AJ163" s="1">
        <f t="shared" si="87"/>
        <v>5.8555555555555552</v>
      </c>
      <c r="AK163" s="1">
        <f t="shared" si="87"/>
        <v>5.8555555555555552</v>
      </c>
      <c r="AL163" s="1">
        <f t="shared" si="87"/>
        <v>6.3638888888888889</v>
      </c>
      <c r="AM163" s="1">
        <f t="shared" si="87"/>
        <v>6.8694444444444445</v>
      </c>
      <c r="AN163" s="1">
        <f t="shared" si="87"/>
        <v>6.8694444444444445</v>
      </c>
      <c r="AO163" s="1">
        <f t="shared" si="87"/>
        <v>7.3777777777777782</v>
      </c>
      <c r="AP163" s="1">
        <f t="shared" si="87"/>
        <v>7.8833333333333337</v>
      </c>
      <c r="AQ163" s="1">
        <f t="shared" si="87"/>
        <v>7.8833333333333337</v>
      </c>
      <c r="AR163" s="1">
        <f t="shared" si="87"/>
        <v>8.3916666666666675</v>
      </c>
      <c r="AS163" s="1">
        <f t="shared" si="87"/>
        <v>8.9</v>
      </c>
      <c r="AT163" s="1">
        <f t="shared" si="87"/>
        <v>9.4083333333333332</v>
      </c>
      <c r="AU163" s="1">
        <f t="shared" si="87"/>
        <v>9.9138888888888896</v>
      </c>
      <c r="AV163" s="1">
        <f t="shared" si="87"/>
        <v>9.9138888888888896</v>
      </c>
      <c r="AW163" s="1">
        <f t="shared" si="87"/>
        <v>14.480555555555556</v>
      </c>
      <c r="AX163" s="1">
        <f t="shared" si="87"/>
        <v>14.986111111111111</v>
      </c>
      <c r="AY163" s="1">
        <f t="shared" si="92"/>
        <v>15.494444444444444</v>
      </c>
      <c r="AZ163" s="1">
        <f t="shared" si="92"/>
        <v>16</v>
      </c>
      <c r="BA163" s="1">
        <f t="shared" si="92"/>
        <v>16.508333333333333</v>
      </c>
      <c r="BB163" s="1">
        <f t="shared" si="92"/>
        <v>17.016666666666666</v>
      </c>
      <c r="BC163" s="1">
        <f t="shared" si="92"/>
        <v>17.524999999999999</v>
      </c>
      <c r="BD163" s="1">
        <f t="shared" si="92"/>
        <v>18.030555555555555</v>
      </c>
      <c r="BE163" s="1">
        <f t="shared" si="92"/>
        <v>18.030555555555555</v>
      </c>
      <c r="BF163" s="1">
        <f t="shared" si="92"/>
        <v>26.655555555555555</v>
      </c>
      <c r="BG163" s="1">
        <f t="shared" si="92"/>
        <v>27.161111111111111</v>
      </c>
      <c r="BH163" s="1">
        <f t="shared" si="92"/>
        <v>27.669444444444444</v>
      </c>
      <c r="BI163" s="1">
        <f t="shared" si="92"/>
        <v>28.175000000000001</v>
      </c>
      <c r="BJ163" s="1">
        <f t="shared" si="92"/>
        <v>28.683333333333334</v>
      </c>
      <c r="BK163" s="1">
        <f t="shared" si="92"/>
        <v>29.191666666666666</v>
      </c>
      <c r="BL163" s="1">
        <f t="shared" si="92"/>
        <v>29.7</v>
      </c>
      <c r="BM163" s="1">
        <f t="shared" si="88"/>
        <v>30.205555555555556</v>
      </c>
      <c r="BN163" s="1">
        <f t="shared" si="88"/>
        <v>30.713888888888889</v>
      </c>
      <c r="BO163" s="1">
        <f t="shared" si="88"/>
        <v>30.713888888888889</v>
      </c>
      <c r="BP163" s="1">
        <f t="shared" si="88"/>
        <v>31.219444444444445</v>
      </c>
      <c r="BQ163" s="1">
        <f t="shared" si="88"/>
        <v>31.727777777777778</v>
      </c>
      <c r="BR163" s="1">
        <f t="shared" si="88"/>
        <v>32.233333333333334</v>
      </c>
      <c r="BS163" s="1">
        <f t="shared" si="88"/>
        <v>32.741666666666667</v>
      </c>
      <c r="BT163" s="1">
        <f t="shared" si="88"/>
        <v>33.25</v>
      </c>
      <c r="BU163" s="1">
        <f t="shared" si="88"/>
        <v>33.758333333333333</v>
      </c>
      <c r="BV163" s="1">
        <f t="shared" si="88"/>
        <v>33.758333333333333</v>
      </c>
      <c r="BW163" s="1">
        <f t="shared" si="88"/>
        <v>34.263888888888886</v>
      </c>
      <c r="BX163" s="1">
        <f t="shared" si="88"/>
        <v>34.772222222222226</v>
      </c>
      <c r="BY163" s="1">
        <f t="shared" si="88"/>
        <v>35.277777777777779</v>
      </c>
      <c r="BZ163" s="1">
        <f t="shared" si="88"/>
        <v>35.786111111111111</v>
      </c>
      <c r="CA163" s="1">
        <f t="shared" si="88"/>
        <v>36.291666666666664</v>
      </c>
      <c r="CB163" s="1">
        <f t="shared" si="88"/>
        <v>36.799999999999997</v>
      </c>
      <c r="CC163" s="1">
        <f t="shared" si="93"/>
        <v>37.30833333333333</v>
      </c>
      <c r="CD163" s="1">
        <f t="shared" si="89"/>
        <v>37.81666666666667</v>
      </c>
      <c r="CE163" s="1">
        <f t="shared" si="89"/>
        <v>38.322222222222223</v>
      </c>
      <c r="CF163" s="1">
        <f t="shared" si="89"/>
        <v>38.830555555555556</v>
      </c>
      <c r="CG163" s="1">
        <f t="shared" si="89"/>
        <v>39.336111111111109</v>
      </c>
      <c r="CH163" s="1">
        <f t="shared" si="89"/>
        <v>39.844444444444441</v>
      </c>
      <c r="CI163" s="1">
        <f t="shared" si="89"/>
        <v>40.35</v>
      </c>
      <c r="CJ163" s="1">
        <f t="shared" si="89"/>
        <v>40.858333333333334</v>
      </c>
      <c r="CK163" s="1">
        <f t="shared" si="89"/>
        <v>41.366666666666667</v>
      </c>
      <c r="CL163" s="1">
        <f t="shared" si="89"/>
        <v>41.875</v>
      </c>
      <c r="CM163" s="1">
        <f t="shared" si="89"/>
        <v>42.380555555555553</v>
      </c>
      <c r="CN163" s="1">
        <f t="shared" si="89"/>
        <v>42.888888888888886</v>
      </c>
      <c r="CO163" s="1">
        <f t="shared" si="89"/>
        <v>43.394444444444446</v>
      </c>
      <c r="CP163" s="1">
        <f t="shared" si="89"/>
        <v>43.902777777777779</v>
      </c>
      <c r="CQ163" s="1">
        <f t="shared" si="89"/>
        <v>44.408333333333331</v>
      </c>
      <c r="CR163" s="1">
        <f t="shared" si="89"/>
        <v>44.916666666666664</v>
      </c>
      <c r="CS163" s="1">
        <f t="shared" si="89"/>
        <v>45.424999999999997</v>
      </c>
      <c r="CT163" s="1">
        <f t="shared" si="94"/>
        <v>45.93333333333333</v>
      </c>
      <c r="CU163" s="1">
        <f t="shared" si="86"/>
        <v>46.43888888888889</v>
      </c>
      <c r="CV163" s="1">
        <f t="shared" si="86"/>
        <v>46.947222222222223</v>
      </c>
      <c r="CW163" s="1">
        <f t="shared" si="86"/>
        <v>47.452777777777776</v>
      </c>
      <c r="CX163" s="1">
        <f t="shared" si="86"/>
        <v>47.961111111111109</v>
      </c>
      <c r="CY163" s="1">
        <f t="shared" si="86"/>
        <v>48.466666666666669</v>
      </c>
      <c r="CZ163" s="1">
        <f t="shared" si="86"/>
        <v>48.975000000000001</v>
      </c>
      <c r="DA163" s="1">
        <f t="shared" si="86"/>
        <v>49.483333333333334</v>
      </c>
      <c r="DB163" s="1">
        <f t="shared" si="86"/>
        <v>49.991666666666667</v>
      </c>
      <c r="DC163" s="1">
        <f t="shared" si="86"/>
        <v>49.991666666666667</v>
      </c>
    </row>
    <row r="164" spans="1:107" x14ac:dyDescent="0.25">
      <c r="A164">
        <f t="shared" si="74"/>
        <v>3</v>
      </c>
      <c r="B164" s="2">
        <f>yields_BRUTE!B164</f>
        <v>42241</v>
      </c>
      <c r="C164" s="1">
        <f t="shared" si="95"/>
        <v>-0.49166666666666664</v>
      </c>
      <c r="D164" s="1">
        <f t="shared" si="95"/>
        <v>-0.45277777777777778</v>
      </c>
      <c r="E164" s="1">
        <f t="shared" si="95"/>
        <v>-0.2361111111111111</v>
      </c>
      <c r="F164" s="1">
        <f t="shared" si="95"/>
        <v>1.9444444444444445E-2</v>
      </c>
      <c r="G164" s="1">
        <f t="shared" si="95"/>
        <v>5.8333333333333334E-2</v>
      </c>
      <c r="H164" s="1">
        <f t="shared" si="95"/>
        <v>0.2722222222222222</v>
      </c>
      <c r="I164" s="1">
        <f t="shared" si="95"/>
        <v>0.2722222222222222</v>
      </c>
      <c r="J164" s="1">
        <f t="shared" si="95"/>
        <v>0.52500000000000002</v>
      </c>
      <c r="K164" s="1">
        <f t="shared" si="95"/>
        <v>0.56388888888888888</v>
      </c>
      <c r="L164" s="1">
        <f t="shared" si="95"/>
        <v>0.78055555555555556</v>
      </c>
      <c r="M164" s="1">
        <f t="shared" si="95"/>
        <v>1.0361111111111112</v>
      </c>
      <c r="N164" s="1">
        <f t="shared" si="95"/>
        <v>1.0361111111111112</v>
      </c>
      <c r="O164" s="1">
        <f t="shared" si="95"/>
        <v>1.075</v>
      </c>
      <c r="P164" s="1">
        <f t="shared" si="95"/>
        <v>1.288888888888889</v>
      </c>
      <c r="Q164" s="1">
        <f t="shared" si="95"/>
        <v>1.5777777777777777</v>
      </c>
      <c r="R164" s="1">
        <f t="shared" si="90"/>
        <v>1.7944444444444445</v>
      </c>
      <c r="S164" s="1">
        <f t="shared" si="90"/>
        <v>2.088888888888889</v>
      </c>
      <c r="T164" s="1">
        <f t="shared" si="90"/>
        <v>2.3027777777777776</v>
      </c>
      <c r="U164" s="1">
        <f t="shared" si="90"/>
        <v>2.5916666666666668</v>
      </c>
      <c r="V164" s="1">
        <f t="shared" si="90"/>
        <v>2.8083333333333331</v>
      </c>
      <c r="W164" s="1">
        <f t="shared" si="90"/>
        <v>3.1027777777777779</v>
      </c>
      <c r="X164" s="1">
        <f t="shared" si="90"/>
        <v>3.3166666666666669</v>
      </c>
      <c r="Y164" s="1">
        <f t="shared" si="90"/>
        <v>3.6055555555555556</v>
      </c>
      <c r="Z164" s="1">
        <f t="shared" si="90"/>
        <v>3.8222222222222224</v>
      </c>
      <c r="AA164" s="1">
        <f t="shared" si="90"/>
        <v>4.1166666666666663</v>
      </c>
      <c r="AB164" s="1">
        <f t="shared" si="90"/>
        <v>4.3305555555555557</v>
      </c>
      <c r="AC164" s="1">
        <f t="shared" si="90"/>
        <v>4.6222222222222218</v>
      </c>
      <c r="AD164" s="1">
        <f t="shared" si="90"/>
        <v>4.8388888888888886</v>
      </c>
      <c r="AE164" s="1">
        <f t="shared" si="90"/>
        <v>4.8388888888888886</v>
      </c>
      <c r="AF164" s="3">
        <f t="shared" si="90"/>
        <v>5.1333333333333337</v>
      </c>
      <c r="AG164" s="1">
        <f t="shared" si="90"/>
        <v>5.3472222222222223</v>
      </c>
      <c r="AH164" s="1">
        <f t="shared" si="91"/>
        <v>5.6361111111111111</v>
      </c>
      <c r="AI164" s="1">
        <f t="shared" si="87"/>
        <v>5.6361111111111111</v>
      </c>
      <c r="AJ164" s="1">
        <f t="shared" si="87"/>
        <v>5.8527777777777779</v>
      </c>
      <c r="AK164" s="1">
        <f t="shared" si="87"/>
        <v>5.8527777777777779</v>
      </c>
      <c r="AL164" s="1">
        <f t="shared" si="87"/>
        <v>6.3611111111111107</v>
      </c>
      <c r="AM164" s="1">
        <f t="shared" si="87"/>
        <v>6.8666666666666663</v>
      </c>
      <c r="AN164" s="1">
        <f t="shared" si="87"/>
        <v>6.8666666666666663</v>
      </c>
      <c r="AO164" s="1">
        <f t="shared" si="87"/>
        <v>7.375</v>
      </c>
      <c r="AP164" s="1">
        <f t="shared" si="87"/>
        <v>7.8805555555555555</v>
      </c>
      <c r="AQ164" s="1">
        <f t="shared" si="87"/>
        <v>7.8805555555555555</v>
      </c>
      <c r="AR164" s="1">
        <f t="shared" si="87"/>
        <v>8.3888888888888893</v>
      </c>
      <c r="AS164" s="1">
        <f t="shared" si="87"/>
        <v>8.8972222222222221</v>
      </c>
      <c r="AT164" s="1">
        <f t="shared" si="87"/>
        <v>9.405555555555555</v>
      </c>
      <c r="AU164" s="1">
        <f t="shared" si="87"/>
        <v>9.9111111111111114</v>
      </c>
      <c r="AV164" s="1">
        <f t="shared" si="87"/>
        <v>9.9111111111111114</v>
      </c>
      <c r="AW164" s="1">
        <f t="shared" si="87"/>
        <v>14.477777777777778</v>
      </c>
      <c r="AX164" s="1">
        <f t="shared" si="87"/>
        <v>14.983333333333333</v>
      </c>
      <c r="AY164" s="1">
        <f t="shared" si="92"/>
        <v>15.491666666666667</v>
      </c>
      <c r="AZ164" s="1">
        <f t="shared" si="92"/>
        <v>15.997222222222222</v>
      </c>
      <c r="BA164" s="1">
        <f t="shared" si="92"/>
        <v>16.505555555555556</v>
      </c>
      <c r="BB164" s="1">
        <f t="shared" si="92"/>
        <v>17.013888888888889</v>
      </c>
      <c r="BC164" s="1">
        <f t="shared" si="92"/>
        <v>17.522222222222222</v>
      </c>
      <c r="BD164" s="1">
        <f t="shared" si="92"/>
        <v>18.027777777777779</v>
      </c>
      <c r="BE164" s="1">
        <f t="shared" si="92"/>
        <v>18.027777777777779</v>
      </c>
      <c r="BF164" s="1">
        <f t="shared" si="92"/>
        <v>26.652777777777779</v>
      </c>
      <c r="BG164" s="1">
        <f t="shared" si="92"/>
        <v>27.158333333333335</v>
      </c>
      <c r="BH164" s="1">
        <f t="shared" si="92"/>
        <v>27.666666666666668</v>
      </c>
      <c r="BI164" s="1">
        <f t="shared" si="92"/>
        <v>28.172222222222221</v>
      </c>
      <c r="BJ164" s="1">
        <f t="shared" si="92"/>
        <v>28.680555555555557</v>
      </c>
      <c r="BK164" s="1">
        <f t="shared" si="92"/>
        <v>29.18888888888889</v>
      </c>
      <c r="BL164" s="1">
        <f t="shared" si="92"/>
        <v>29.697222222222223</v>
      </c>
      <c r="BM164" s="1">
        <f t="shared" si="88"/>
        <v>30.202777777777779</v>
      </c>
      <c r="BN164" s="1">
        <f t="shared" si="88"/>
        <v>30.711111111111112</v>
      </c>
      <c r="BO164" s="1">
        <f t="shared" si="88"/>
        <v>30.711111111111112</v>
      </c>
      <c r="BP164" s="1">
        <f t="shared" si="88"/>
        <v>31.216666666666665</v>
      </c>
      <c r="BQ164" s="1">
        <f t="shared" si="88"/>
        <v>31.725000000000001</v>
      </c>
      <c r="BR164" s="1">
        <f t="shared" si="88"/>
        <v>32.230555555555554</v>
      </c>
      <c r="BS164" s="1">
        <f t="shared" si="88"/>
        <v>32.738888888888887</v>
      </c>
      <c r="BT164" s="1">
        <f t="shared" si="88"/>
        <v>33.24722222222222</v>
      </c>
      <c r="BU164" s="1">
        <f t="shared" si="88"/>
        <v>33.755555555555553</v>
      </c>
      <c r="BV164" s="1">
        <f t="shared" si="88"/>
        <v>33.755555555555553</v>
      </c>
      <c r="BW164" s="1">
        <f t="shared" si="88"/>
        <v>34.261111111111113</v>
      </c>
      <c r="BX164" s="1">
        <f t="shared" si="88"/>
        <v>34.769444444444446</v>
      </c>
      <c r="BY164" s="1">
        <f t="shared" si="88"/>
        <v>35.274999999999999</v>
      </c>
      <c r="BZ164" s="1">
        <f t="shared" si="88"/>
        <v>35.783333333333331</v>
      </c>
      <c r="CA164" s="1">
        <f t="shared" si="88"/>
        <v>36.288888888888891</v>
      </c>
      <c r="CB164" s="1">
        <f t="shared" si="88"/>
        <v>36.797222222222224</v>
      </c>
      <c r="CC164" s="1">
        <f t="shared" si="93"/>
        <v>37.305555555555557</v>
      </c>
      <c r="CD164" s="1">
        <f t="shared" si="89"/>
        <v>37.81388888888889</v>
      </c>
      <c r="CE164" s="1">
        <f t="shared" si="89"/>
        <v>38.319444444444443</v>
      </c>
      <c r="CF164" s="1">
        <f t="shared" si="89"/>
        <v>38.827777777777776</v>
      </c>
      <c r="CG164" s="1">
        <f t="shared" si="89"/>
        <v>39.333333333333336</v>
      </c>
      <c r="CH164" s="1">
        <f t="shared" si="89"/>
        <v>39.841666666666669</v>
      </c>
      <c r="CI164" s="1">
        <f t="shared" si="89"/>
        <v>40.347222222222221</v>
      </c>
      <c r="CJ164" s="1">
        <f t="shared" si="89"/>
        <v>40.855555555555554</v>
      </c>
      <c r="CK164" s="1">
        <f t="shared" si="89"/>
        <v>41.363888888888887</v>
      </c>
      <c r="CL164" s="1">
        <f t="shared" si="89"/>
        <v>41.87222222222222</v>
      </c>
      <c r="CM164" s="1">
        <f t="shared" si="89"/>
        <v>42.37777777777778</v>
      </c>
      <c r="CN164" s="1">
        <f t="shared" si="89"/>
        <v>42.886111111111113</v>
      </c>
      <c r="CO164" s="1">
        <f t="shared" si="89"/>
        <v>43.391666666666666</v>
      </c>
      <c r="CP164" s="1">
        <f t="shared" si="89"/>
        <v>43.9</v>
      </c>
      <c r="CQ164" s="1">
        <f t="shared" si="89"/>
        <v>44.405555555555559</v>
      </c>
      <c r="CR164" s="1">
        <f t="shared" si="89"/>
        <v>44.913888888888891</v>
      </c>
      <c r="CS164" s="1">
        <f t="shared" si="89"/>
        <v>45.422222222222224</v>
      </c>
      <c r="CT164" s="1">
        <f t="shared" si="94"/>
        <v>45.930555555555557</v>
      </c>
      <c r="CU164" s="1">
        <f t="shared" si="86"/>
        <v>46.43611111111111</v>
      </c>
      <c r="CV164" s="1">
        <f t="shared" si="86"/>
        <v>46.944444444444443</v>
      </c>
      <c r="CW164" s="1">
        <f t="shared" si="86"/>
        <v>47.45</v>
      </c>
      <c r="CX164" s="1">
        <f t="shared" si="86"/>
        <v>47.958333333333336</v>
      </c>
      <c r="CY164" s="1">
        <f t="shared" si="86"/>
        <v>48.463888888888889</v>
      </c>
      <c r="CZ164" s="1">
        <f t="shared" si="86"/>
        <v>48.972222222222221</v>
      </c>
      <c r="DA164" s="1">
        <f t="shared" si="86"/>
        <v>49.480555555555554</v>
      </c>
      <c r="DB164" s="1">
        <f t="shared" si="86"/>
        <v>49.988888888888887</v>
      </c>
      <c r="DC164" s="1">
        <f t="shared" si="86"/>
        <v>49.988888888888887</v>
      </c>
    </row>
    <row r="165" spans="1:107" x14ac:dyDescent="0.25">
      <c r="A165">
        <f t="shared" si="74"/>
        <v>4</v>
      </c>
      <c r="B165" s="2">
        <f>yields_BRUTE!B165</f>
        <v>42242</v>
      </c>
      <c r="C165" s="1">
        <f t="shared" si="95"/>
        <v>-0.49444444444444446</v>
      </c>
      <c r="D165" s="1">
        <f t="shared" si="95"/>
        <v>-0.45555555555555555</v>
      </c>
      <c r="E165" s="1">
        <f t="shared" si="95"/>
        <v>-0.2388888888888889</v>
      </c>
      <c r="F165" s="1">
        <f t="shared" si="95"/>
        <v>1.6666666666666666E-2</v>
      </c>
      <c r="G165" s="1">
        <f t="shared" si="95"/>
        <v>5.5555555555555552E-2</v>
      </c>
      <c r="H165" s="1">
        <f t="shared" si="95"/>
        <v>0.26944444444444443</v>
      </c>
      <c r="I165" s="1">
        <f t="shared" si="95"/>
        <v>0.26944444444444443</v>
      </c>
      <c r="J165" s="1">
        <f t="shared" si="95"/>
        <v>0.52222222222222225</v>
      </c>
      <c r="K165" s="1">
        <f t="shared" si="95"/>
        <v>0.56111111111111112</v>
      </c>
      <c r="L165" s="1">
        <f t="shared" si="95"/>
        <v>0.77777777777777779</v>
      </c>
      <c r="M165" s="1">
        <f t="shared" si="95"/>
        <v>1.0333333333333334</v>
      </c>
      <c r="N165" s="1">
        <f t="shared" si="95"/>
        <v>1.0333333333333334</v>
      </c>
      <c r="O165" s="1">
        <f t="shared" si="95"/>
        <v>1.0722222222222222</v>
      </c>
      <c r="P165" s="1">
        <f t="shared" si="95"/>
        <v>1.2861111111111112</v>
      </c>
      <c r="Q165" s="1">
        <f t="shared" si="95"/>
        <v>1.575</v>
      </c>
      <c r="R165" s="1">
        <f t="shared" si="90"/>
        <v>1.7916666666666667</v>
      </c>
      <c r="S165" s="1">
        <f t="shared" si="90"/>
        <v>2.0861111111111112</v>
      </c>
      <c r="T165" s="1">
        <f t="shared" si="90"/>
        <v>2.2999999999999998</v>
      </c>
      <c r="U165" s="1">
        <f t="shared" si="90"/>
        <v>2.588888888888889</v>
      </c>
      <c r="V165" s="1">
        <f t="shared" si="90"/>
        <v>2.8055555555555554</v>
      </c>
      <c r="W165" s="1">
        <f t="shared" si="90"/>
        <v>3.1</v>
      </c>
      <c r="X165" s="1">
        <f t="shared" si="90"/>
        <v>3.3138888888888891</v>
      </c>
      <c r="Y165" s="1">
        <f t="shared" si="90"/>
        <v>3.6027777777777779</v>
      </c>
      <c r="Z165" s="1">
        <f t="shared" si="90"/>
        <v>3.8194444444444446</v>
      </c>
      <c r="AA165" s="1">
        <f t="shared" si="90"/>
        <v>4.1138888888888889</v>
      </c>
      <c r="AB165" s="1">
        <f t="shared" si="90"/>
        <v>4.3277777777777775</v>
      </c>
      <c r="AC165" s="1">
        <f t="shared" si="90"/>
        <v>4.6194444444444445</v>
      </c>
      <c r="AD165" s="1">
        <f t="shared" si="90"/>
        <v>4.8361111111111112</v>
      </c>
      <c r="AE165" s="1">
        <f t="shared" si="90"/>
        <v>4.8361111111111112</v>
      </c>
      <c r="AF165" s="3">
        <f t="shared" si="90"/>
        <v>5.1305555555555555</v>
      </c>
      <c r="AG165" s="1">
        <f t="shared" si="90"/>
        <v>5.3444444444444441</v>
      </c>
      <c r="AH165" s="1">
        <f t="shared" si="91"/>
        <v>5.6333333333333337</v>
      </c>
      <c r="AI165" s="1">
        <f t="shared" si="87"/>
        <v>5.6333333333333337</v>
      </c>
      <c r="AJ165" s="1">
        <f t="shared" si="87"/>
        <v>5.85</v>
      </c>
      <c r="AK165" s="1">
        <f t="shared" si="87"/>
        <v>5.85</v>
      </c>
      <c r="AL165" s="1">
        <f t="shared" si="87"/>
        <v>6.3583333333333334</v>
      </c>
      <c r="AM165" s="1">
        <f t="shared" si="87"/>
        <v>6.8638888888888889</v>
      </c>
      <c r="AN165" s="1">
        <f t="shared" si="87"/>
        <v>6.8638888888888889</v>
      </c>
      <c r="AO165" s="1">
        <f t="shared" si="87"/>
        <v>7.3722222222222218</v>
      </c>
      <c r="AP165" s="1">
        <f t="shared" si="87"/>
        <v>7.8777777777777782</v>
      </c>
      <c r="AQ165" s="1">
        <f t="shared" si="87"/>
        <v>7.8777777777777782</v>
      </c>
      <c r="AR165" s="1">
        <f t="shared" si="87"/>
        <v>8.3861111111111111</v>
      </c>
      <c r="AS165" s="1">
        <f t="shared" si="87"/>
        <v>8.8944444444444439</v>
      </c>
      <c r="AT165" s="1">
        <f t="shared" si="87"/>
        <v>9.4027777777777786</v>
      </c>
      <c r="AU165" s="1">
        <f t="shared" si="87"/>
        <v>9.9083333333333332</v>
      </c>
      <c r="AV165" s="1">
        <f t="shared" si="87"/>
        <v>9.9083333333333332</v>
      </c>
      <c r="AW165" s="1">
        <f t="shared" si="87"/>
        <v>14.475</v>
      </c>
      <c r="AX165" s="1">
        <f t="shared" si="87"/>
        <v>14.980555555555556</v>
      </c>
      <c r="AY165" s="1">
        <f t="shared" si="92"/>
        <v>15.488888888888889</v>
      </c>
      <c r="AZ165" s="1">
        <f t="shared" si="92"/>
        <v>15.994444444444444</v>
      </c>
      <c r="BA165" s="1">
        <f t="shared" si="92"/>
        <v>16.502777777777776</v>
      </c>
      <c r="BB165" s="1">
        <f t="shared" si="92"/>
        <v>17.011111111111113</v>
      </c>
      <c r="BC165" s="1">
        <f t="shared" si="92"/>
        <v>17.519444444444446</v>
      </c>
      <c r="BD165" s="1">
        <f t="shared" si="92"/>
        <v>18.024999999999999</v>
      </c>
      <c r="BE165" s="1">
        <f t="shared" si="92"/>
        <v>18.024999999999999</v>
      </c>
      <c r="BF165" s="1">
        <f t="shared" si="92"/>
        <v>26.65</v>
      </c>
      <c r="BG165" s="1">
        <f t="shared" si="92"/>
        <v>27.155555555555555</v>
      </c>
      <c r="BH165" s="1">
        <f t="shared" si="92"/>
        <v>27.663888888888888</v>
      </c>
      <c r="BI165" s="1">
        <f t="shared" si="92"/>
        <v>28.169444444444444</v>
      </c>
      <c r="BJ165" s="1">
        <f t="shared" si="92"/>
        <v>28.677777777777777</v>
      </c>
      <c r="BK165" s="1">
        <f t="shared" si="92"/>
        <v>29.18611111111111</v>
      </c>
      <c r="BL165" s="1">
        <f t="shared" si="92"/>
        <v>29.694444444444443</v>
      </c>
      <c r="BM165" s="1">
        <f t="shared" si="88"/>
        <v>30.2</v>
      </c>
      <c r="BN165" s="1">
        <f t="shared" si="88"/>
        <v>30.708333333333332</v>
      </c>
      <c r="BO165" s="1">
        <f t="shared" si="88"/>
        <v>30.708333333333332</v>
      </c>
      <c r="BP165" s="1">
        <f t="shared" si="88"/>
        <v>31.213888888888889</v>
      </c>
      <c r="BQ165" s="1">
        <f t="shared" si="88"/>
        <v>31.722222222222221</v>
      </c>
      <c r="BR165" s="1">
        <f t="shared" si="88"/>
        <v>32.227777777777774</v>
      </c>
      <c r="BS165" s="1">
        <f t="shared" si="88"/>
        <v>32.736111111111114</v>
      </c>
      <c r="BT165" s="1">
        <f t="shared" si="88"/>
        <v>33.244444444444447</v>
      </c>
      <c r="BU165" s="1">
        <f t="shared" si="88"/>
        <v>33.75277777777778</v>
      </c>
      <c r="BV165" s="1">
        <f t="shared" si="88"/>
        <v>33.75277777777778</v>
      </c>
      <c r="BW165" s="1">
        <f t="shared" si="88"/>
        <v>34.258333333333333</v>
      </c>
      <c r="BX165" s="1">
        <f t="shared" si="88"/>
        <v>34.766666666666666</v>
      </c>
      <c r="BY165" s="1">
        <f t="shared" si="88"/>
        <v>35.272222222222226</v>
      </c>
      <c r="BZ165" s="1">
        <f t="shared" si="88"/>
        <v>35.780555555555559</v>
      </c>
      <c r="CA165" s="1">
        <f t="shared" si="88"/>
        <v>36.286111111111111</v>
      </c>
      <c r="CB165" s="1">
        <f t="shared" si="88"/>
        <v>36.794444444444444</v>
      </c>
      <c r="CC165" s="1">
        <f t="shared" si="93"/>
        <v>37.302777777777777</v>
      </c>
      <c r="CD165" s="1">
        <f t="shared" si="89"/>
        <v>37.81111111111111</v>
      </c>
      <c r="CE165" s="1">
        <f t="shared" si="89"/>
        <v>38.31666666666667</v>
      </c>
      <c r="CF165" s="1">
        <f t="shared" si="89"/>
        <v>38.825000000000003</v>
      </c>
      <c r="CG165" s="1">
        <f t="shared" si="89"/>
        <v>39.330555555555556</v>
      </c>
      <c r="CH165" s="1">
        <f t="shared" si="89"/>
        <v>39.838888888888889</v>
      </c>
      <c r="CI165" s="1">
        <f t="shared" si="89"/>
        <v>40.344444444444441</v>
      </c>
      <c r="CJ165" s="1">
        <f t="shared" si="89"/>
        <v>40.852777777777774</v>
      </c>
      <c r="CK165" s="1">
        <f t="shared" si="89"/>
        <v>41.361111111111114</v>
      </c>
      <c r="CL165" s="1">
        <f t="shared" si="89"/>
        <v>41.869444444444447</v>
      </c>
      <c r="CM165" s="1">
        <f t="shared" si="89"/>
        <v>42.375</v>
      </c>
      <c r="CN165" s="1">
        <f t="shared" si="89"/>
        <v>42.883333333333333</v>
      </c>
      <c r="CO165" s="1">
        <f t="shared" si="89"/>
        <v>43.388888888888886</v>
      </c>
      <c r="CP165" s="1">
        <f t="shared" si="89"/>
        <v>43.897222222222226</v>
      </c>
      <c r="CQ165" s="1">
        <f t="shared" si="89"/>
        <v>44.402777777777779</v>
      </c>
      <c r="CR165" s="1">
        <f t="shared" si="89"/>
        <v>44.911111111111111</v>
      </c>
      <c r="CS165" s="1">
        <f t="shared" si="89"/>
        <v>45.419444444444444</v>
      </c>
      <c r="CT165" s="1">
        <f t="shared" si="94"/>
        <v>45.927777777777777</v>
      </c>
      <c r="CU165" s="1">
        <f t="shared" si="86"/>
        <v>46.43333333333333</v>
      </c>
      <c r="CV165" s="1">
        <f t="shared" si="86"/>
        <v>46.94166666666667</v>
      </c>
      <c r="CW165" s="1">
        <f t="shared" si="86"/>
        <v>47.447222222222223</v>
      </c>
      <c r="CX165" s="1">
        <f t="shared" si="86"/>
        <v>47.955555555555556</v>
      </c>
      <c r="CY165" s="1">
        <f t="shared" si="86"/>
        <v>48.461111111111109</v>
      </c>
      <c r="CZ165" s="1">
        <f t="shared" si="86"/>
        <v>48.969444444444441</v>
      </c>
      <c r="DA165" s="1">
        <f t="shared" si="86"/>
        <v>49.477777777777774</v>
      </c>
      <c r="DB165" s="1">
        <f t="shared" si="86"/>
        <v>49.986111111111114</v>
      </c>
      <c r="DC165" s="1">
        <f t="shared" si="86"/>
        <v>49.986111111111114</v>
      </c>
    </row>
    <row r="166" spans="1:107" x14ac:dyDescent="0.25">
      <c r="A166">
        <f t="shared" si="74"/>
        <v>5</v>
      </c>
      <c r="B166" s="2">
        <f>yields_BRUTE!B166</f>
        <v>42243</v>
      </c>
      <c r="C166" s="1">
        <f t="shared" si="95"/>
        <v>-0.49722222222222223</v>
      </c>
      <c r="D166" s="1">
        <f t="shared" si="95"/>
        <v>-0.45833333333333331</v>
      </c>
      <c r="E166" s="1">
        <f t="shared" si="95"/>
        <v>-0.24166666666666667</v>
      </c>
      <c r="F166" s="1">
        <f t="shared" si="95"/>
        <v>1.3888888888888888E-2</v>
      </c>
      <c r="G166" s="1">
        <f t="shared" si="95"/>
        <v>5.2777777777777778E-2</v>
      </c>
      <c r="H166" s="1">
        <f t="shared" si="95"/>
        <v>0.26666666666666666</v>
      </c>
      <c r="I166" s="1">
        <f t="shared" si="95"/>
        <v>0.26666666666666666</v>
      </c>
      <c r="J166" s="1">
        <f t="shared" si="95"/>
        <v>0.51944444444444449</v>
      </c>
      <c r="K166" s="1">
        <f t="shared" si="95"/>
        <v>0.55833333333333335</v>
      </c>
      <c r="L166" s="1">
        <f t="shared" si="95"/>
        <v>0.77500000000000002</v>
      </c>
      <c r="M166" s="1">
        <f t="shared" si="95"/>
        <v>1.0305555555555554</v>
      </c>
      <c r="N166" s="1">
        <f t="shared" si="95"/>
        <v>1.0305555555555554</v>
      </c>
      <c r="O166" s="1">
        <f t="shared" si="95"/>
        <v>1.0694444444444444</v>
      </c>
      <c r="P166" s="1">
        <f t="shared" si="95"/>
        <v>1.2833333333333334</v>
      </c>
      <c r="Q166" s="1">
        <f t="shared" si="95"/>
        <v>1.5722222222222222</v>
      </c>
      <c r="R166" s="1">
        <f t="shared" si="90"/>
        <v>1.788888888888889</v>
      </c>
      <c r="S166" s="1">
        <f t="shared" si="90"/>
        <v>2.0833333333333335</v>
      </c>
      <c r="T166" s="1">
        <f t="shared" si="90"/>
        <v>2.2972222222222221</v>
      </c>
      <c r="U166" s="1">
        <f t="shared" si="90"/>
        <v>2.5861111111111112</v>
      </c>
      <c r="V166" s="1">
        <f t="shared" si="90"/>
        <v>2.8027777777777776</v>
      </c>
      <c r="W166" s="1">
        <f t="shared" si="90"/>
        <v>3.0972222222222223</v>
      </c>
      <c r="X166" s="1">
        <f t="shared" si="90"/>
        <v>3.3111111111111109</v>
      </c>
      <c r="Y166" s="1">
        <f t="shared" si="90"/>
        <v>3.6</v>
      </c>
      <c r="Z166" s="1">
        <f t="shared" si="90"/>
        <v>3.8166666666666669</v>
      </c>
      <c r="AA166" s="1">
        <f t="shared" si="90"/>
        <v>4.1111111111111107</v>
      </c>
      <c r="AB166" s="1">
        <f t="shared" si="90"/>
        <v>4.3250000000000002</v>
      </c>
      <c r="AC166" s="1">
        <f t="shared" si="90"/>
        <v>4.6166666666666663</v>
      </c>
      <c r="AD166" s="1">
        <f t="shared" si="90"/>
        <v>4.833333333333333</v>
      </c>
      <c r="AE166" s="1">
        <f t="shared" si="90"/>
        <v>4.833333333333333</v>
      </c>
      <c r="AF166" s="3">
        <f t="shared" si="90"/>
        <v>5.1277777777777782</v>
      </c>
      <c r="AG166" s="1">
        <f t="shared" si="90"/>
        <v>5.3416666666666668</v>
      </c>
      <c r="AH166" s="1">
        <f t="shared" si="91"/>
        <v>5.6305555555555555</v>
      </c>
      <c r="AI166" s="1">
        <f t="shared" si="87"/>
        <v>5.6305555555555555</v>
      </c>
      <c r="AJ166" s="1">
        <f t="shared" si="87"/>
        <v>5.8472222222222223</v>
      </c>
      <c r="AK166" s="1">
        <f t="shared" si="87"/>
        <v>5.8472222222222223</v>
      </c>
      <c r="AL166" s="1">
        <f t="shared" si="87"/>
        <v>6.3555555555555552</v>
      </c>
      <c r="AM166" s="1">
        <f t="shared" si="87"/>
        <v>6.8611111111111107</v>
      </c>
      <c r="AN166" s="1">
        <f t="shared" si="87"/>
        <v>6.8611111111111107</v>
      </c>
      <c r="AO166" s="1">
        <f t="shared" si="87"/>
        <v>7.3694444444444445</v>
      </c>
      <c r="AP166" s="1">
        <f t="shared" si="87"/>
        <v>7.875</v>
      </c>
      <c r="AQ166" s="1">
        <f t="shared" si="87"/>
        <v>7.875</v>
      </c>
      <c r="AR166" s="1">
        <f t="shared" si="87"/>
        <v>8.3833333333333329</v>
      </c>
      <c r="AS166" s="1">
        <f t="shared" si="87"/>
        <v>8.8916666666666675</v>
      </c>
      <c r="AT166" s="1">
        <f t="shared" si="87"/>
        <v>9.4</v>
      </c>
      <c r="AU166" s="1">
        <f t="shared" si="87"/>
        <v>9.905555555555555</v>
      </c>
      <c r="AV166" s="1">
        <f t="shared" si="87"/>
        <v>9.905555555555555</v>
      </c>
      <c r="AW166" s="1">
        <f t="shared" si="87"/>
        <v>14.472222222222221</v>
      </c>
      <c r="AX166" s="1">
        <f t="shared" si="87"/>
        <v>14.977777777777778</v>
      </c>
      <c r="AY166" s="1">
        <f t="shared" si="92"/>
        <v>15.486111111111111</v>
      </c>
      <c r="AZ166" s="1">
        <f t="shared" si="92"/>
        <v>15.991666666666667</v>
      </c>
      <c r="BA166" s="1">
        <f t="shared" si="92"/>
        <v>16.5</v>
      </c>
      <c r="BB166" s="1">
        <f t="shared" si="92"/>
        <v>17.008333333333333</v>
      </c>
      <c r="BC166" s="1">
        <f t="shared" si="92"/>
        <v>17.516666666666666</v>
      </c>
      <c r="BD166" s="1">
        <f t="shared" si="92"/>
        <v>18.022222222222222</v>
      </c>
      <c r="BE166" s="1">
        <f t="shared" si="92"/>
        <v>18.022222222222222</v>
      </c>
      <c r="BF166" s="1">
        <f t="shared" si="92"/>
        <v>26.647222222222222</v>
      </c>
      <c r="BG166" s="1">
        <f t="shared" si="92"/>
        <v>27.152777777777779</v>
      </c>
      <c r="BH166" s="1">
        <f t="shared" si="92"/>
        <v>27.661111111111111</v>
      </c>
      <c r="BI166" s="1">
        <f t="shared" si="92"/>
        <v>28.166666666666668</v>
      </c>
      <c r="BJ166" s="1">
        <f t="shared" si="92"/>
        <v>28.675000000000001</v>
      </c>
      <c r="BK166" s="1">
        <f t="shared" si="92"/>
        <v>29.183333333333334</v>
      </c>
      <c r="BL166" s="1">
        <f t="shared" si="92"/>
        <v>29.691666666666666</v>
      </c>
      <c r="BM166" s="1">
        <f t="shared" si="88"/>
        <v>30.197222222222223</v>
      </c>
      <c r="BN166" s="1">
        <f t="shared" si="88"/>
        <v>30.705555555555556</v>
      </c>
      <c r="BO166" s="1">
        <f t="shared" si="88"/>
        <v>30.705555555555556</v>
      </c>
      <c r="BP166" s="1">
        <f t="shared" si="88"/>
        <v>31.211111111111112</v>
      </c>
      <c r="BQ166" s="1">
        <f t="shared" si="88"/>
        <v>31.719444444444445</v>
      </c>
      <c r="BR166" s="1">
        <f t="shared" si="88"/>
        <v>32.225000000000001</v>
      </c>
      <c r="BS166" s="1">
        <f t="shared" si="88"/>
        <v>32.733333333333334</v>
      </c>
      <c r="BT166" s="1">
        <f t="shared" si="88"/>
        <v>33.241666666666667</v>
      </c>
      <c r="BU166" s="1">
        <f t="shared" si="88"/>
        <v>33.75</v>
      </c>
      <c r="BV166" s="1">
        <f t="shared" si="88"/>
        <v>33.75</v>
      </c>
      <c r="BW166" s="1">
        <f t="shared" si="88"/>
        <v>34.255555555555553</v>
      </c>
      <c r="BX166" s="1">
        <f t="shared" si="88"/>
        <v>34.763888888888886</v>
      </c>
      <c r="BY166" s="1">
        <f t="shared" si="88"/>
        <v>35.269444444444446</v>
      </c>
      <c r="BZ166" s="1">
        <f t="shared" si="88"/>
        <v>35.777777777777779</v>
      </c>
      <c r="CA166" s="1">
        <f t="shared" si="88"/>
        <v>36.283333333333331</v>
      </c>
      <c r="CB166" s="1">
        <f t="shared" si="88"/>
        <v>36.791666666666664</v>
      </c>
      <c r="CC166" s="1">
        <f t="shared" si="93"/>
        <v>37.299999999999997</v>
      </c>
      <c r="CD166" s="1">
        <f t="shared" si="89"/>
        <v>37.80833333333333</v>
      </c>
      <c r="CE166" s="1">
        <f t="shared" si="89"/>
        <v>38.31388888888889</v>
      </c>
      <c r="CF166" s="1">
        <f t="shared" si="89"/>
        <v>38.822222222222223</v>
      </c>
      <c r="CG166" s="1">
        <f t="shared" si="89"/>
        <v>39.327777777777776</v>
      </c>
      <c r="CH166" s="1">
        <f t="shared" si="89"/>
        <v>39.836111111111109</v>
      </c>
      <c r="CI166" s="1">
        <f t="shared" si="89"/>
        <v>40.341666666666669</v>
      </c>
      <c r="CJ166" s="1">
        <f t="shared" si="89"/>
        <v>40.85</v>
      </c>
      <c r="CK166" s="1">
        <f t="shared" si="89"/>
        <v>41.358333333333334</v>
      </c>
      <c r="CL166" s="1">
        <f t="shared" si="89"/>
        <v>41.866666666666667</v>
      </c>
      <c r="CM166" s="1">
        <f t="shared" si="89"/>
        <v>42.37222222222222</v>
      </c>
      <c r="CN166" s="1">
        <f t="shared" si="89"/>
        <v>42.880555555555553</v>
      </c>
      <c r="CO166" s="1">
        <f t="shared" si="89"/>
        <v>43.386111111111113</v>
      </c>
      <c r="CP166" s="1">
        <f t="shared" si="89"/>
        <v>43.894444444444446</v>
      </c>
      <c r="CQ166" s="1">
        <f t="shared" si="89"/>
        <v>44.4</v>
      </c>
      <c r="CR166" s="1">
        <f t="shared" si="89"/>
        <v>44.908333333333331</v>
      </c>
      <c r="CS166" s="1">
        <f t="shared" si="89"/>
        <v>45.416666666666664</v>
      </c>
      <c r="CT166" s="1">
        <f t="shared" si="94"/>
        <v>45.924999999999997</v>
      </c>
      <c r="CU166" s="1">
        <f t="shared" si="86"/>
        <v>46.430555555555557</v>
      </c>
      <c r="CV166" s="1">
        <f t="shared" si="86"/>
        <v>46.93888888888889</v>
      </c>
      <c r="CW166" s="1">
        <f t="shared" si="86"/>
        <v>47.444444444444443</v>
      </c>
      <c r="CX166" s="1">
        <f t="shared" si="86"/>
        <v>47.952777777777776</v>
      </c>
      <c r="CY166" s="1">
        <f t="shared" si="86"/>
        <v>48.458333333333336</v>
      </c>
      <c r="CZ166" s="1">
        <f t="shared" si="86"/>
        <v>48.966666666666669</v>
      </c>
      <c r="DA166" s="1">
        <f t="shared" si="86"/>
        <v>49.475000000000001</v>
      </c>
      <c r="DB166" s="1">
        <f t="shared" si="86"/>
        <v>49.983333333333334</v>
      </c>
      <c r="DC166" s="1">
        <f t="shared" si="86"/>
        <v>49.983333333333334</v>
      </c>
    </row>
    <row r="167" spans="1:107" x14ac:dyDescent="0.25">
      <c r="A167">
        <f t="shared" si="74"/>
        <v>6</v>
      </c>
      <c r="B167" s="2">
        <f>yields_BRUTE!B167</f>
        <v>42244</v>
      </c>
      <c r="C167" s="1">
        <f t="shared" si="95"/>
        <v>-0.5</v>
      </c>
      <c r="D167" s="1">
        <f t="shared" si="95"/>
        <v>-0.46111111111111114</v>
      </c>
      <c r="E167" s="1">
        <f t="shared" si="95"/>
        <v>-0.24444444444444444</v>
      </c>
      <c r="F167" s="1">
        <f t="shared" si="95"/>
        <v>1.1111111111111112E-2</v>
      </c>
      <c r="G167" s="1">
        <f t="shared" si="95"/>
        <v>0.05</v>
      </c>
      <c r="H167" s="1">
        <f t="shared" si="95"/>
        <v>0.2638888888888889</v>
      </c>
      <c r="I167" s="1">
        <f t="shared" si="95"/>
        <v>0.2638888888888889</v>
      </c>
      <c r="J167" s="1">
        <f t="shared" si="95"/>
        <v>0.51666666666666672</v>
      </c>
      <c r="K167" s="1">
        <f t="shared" si="95"/>
        <v>0.55555555555555558</v>
      </c>
      <c r="L167" s="1">
        <f t="shared" si="95"/>
        <v>0.77222222222222225</v>
      </c>
      <c r="M167" s="1">
        <f t="shared" si="95"/>
        <v>1.0277777777777777</v>
      </c>
      <c r="N167" s="1">
        <f t="shared" si="95"/>
        <v>1.0277777777777777</v>
      </c>
      <c r="O167" s="1">
        <f t="shared" si="95"/>
        <v>1.0666666666666667</v>
      </c>
      <c r="P167" s="1">
        <f t="shared" si="95"/>
        <v>1.2805555555555554</v>
      </c>
      <c r="Q167" s="1">
        <f t="shared" si="95"/>
        <v>1.5694444444444444</v>
      </c>
      <c r="R167" s="1">
        <f t="shared" si="90"/>
        <v>1.7861111111111112</v>
      </c>
      <c r="S167" s="1">
        <f t="shared" si="90"/>
        <v>2.0805555555555557</v>
      </c>
      <c r="T167" s="1">
        <f t="shared" si="90"/>
        <v>2.2944444444444443</v>
      </c>
      <c r="U167" s="1">
        <f t="shared" si="90"/>
        <v>2.5833333333333335</v>
      </c>
      <c r="V167" s="1">
        <f t="shared" si="90"/>
        <v>2.8</v>
      </c>
      <c r="W167" s="1">
        <f t="shared" si="90"/>
        <v>3.0944444444444446</v>
      </c>
      <c r="X167" s="1">
        <f t="shared" si="90"/>
        <v>3.3083333333333331</v>
      </c>
      <c r="Y167" s="1">
        <f t="shared" si="90"/>
        <v>3.5972222222222223</v>
      </c>
      <c r="Z167" s="1">
        <f t="shared" si="90"/>
        <v>3.8138888888888891</v>
      </c>
      <c r="AA167" s="1">
        <f t="shared" si="90"/>
        <v>4.1083333333333334</v>
      </c>
      <c r="AB167" s="1">
        <f t="shared" si="90"/>
        <v>4.322222222222222</v>
      </c>
      <c r="AC167" s="1">
        <f t="shared" si="90"/>
        <v>4.6138888888888889</v>
      </c>
      <c r="AD167" s="1">
        <f t="shared" si="90"/>
        <v>4.8305555555555557</v>
      </c>
      <c r="AE167" s="1">
        <f t="shared" si="90"/>
        <v>4.8305555555555557</v>
      </c>
      <c r="AF167" s="3">
        <f t="shared" si="90"/>
        <v>5.125</v>
      </c>
      <c r="AG167" s="1">
        <f t="shared" si="90"/>
        <v>5.3388888888888886</v>
      </c>
      <c r="AH167" s="1">
        <f t="shared" si="91"/>
        <v>5.6277777777777782</v>
      </c>
      <c r="AI167" s="1">
        <f t="shared" si="87"/>
        <v>5.6277777777777782</v>
      </c>
      <c r="AJ167" s="1">
        <f t="shared" si="87"/>
        <v>5.8444444444444441</v>
      </c>
      <c r="AK167" s="1">
        <f t="shared" si="87"/>
        <v>5.8444444444444441</v>
      </c>
      <c r="AL167" s="1">
        <f t="shared" si="87"/>
        <v>6.3527777777777779</v>
      </c>
      <c r="AM167" s="1">
        <f t="shared" si="87"/>
        <v>6.8583333333333334</v>
      </c>
      <c r="AN167" s="1">
        <f t="shared" si="87"/>
        <v>6.8583333333333334</v>
      </c>
      <c r="AO167" s="1">
        <f t="shared" si="87"/>
        <v>7.3666666666666663</v>
      </c>
      <c r="AP167" s="1">
        <f t="shared" si="87"/>
        <v>7.8722222222222218</v>
      </c>
      <c r="AQ167" s="1">
        <f t="shared" si="87"/>
        <v>7.8722222222222218</v>
      </c>
      <c r="AR167" s="1">
        <f t="shared" si="87"/>
        <v>8.3805555555555564</v>
      </c>
      <c r="AS167" s="1">
        <f t="shared" si="87"/>
        <v>8.8888888888888893</v>
      </c>
      <c r="AT167" s="1">
        <f t="shared" si="87"/>
        <v>9.3972222222222221</v>
      </c>
      <c r="AU167" s="1">
        <f t="shared" si="87"/>
        <v>9.9027777777777786</v>
      </c>
      <c r="AV167" s="1">
        <f t="shared" si="87"/>
        <v>9.9027777777777786</v>
      </c>
      <c r="AW167" s="1">
        <f t="shared" si="87"/>
        <v>14.469444444444445</v>
      </c>
      <c r="AX167" s="1">
        <f t="shared" si="87"/>
        <v>14.975</v>
      </c>
      <c r="AY167" s="1">
        <f t="shared" si="92"/>
        <v>15.483333333333333</v>
      </c>
      <c r="AZ167" s="1">
        <f t="shared" si="92"/>
        <v>15.988888888888889</v>
      </c>
      <c r="BA167" s="1">
        <f t="shared" si="92"/>
        <v>16.497222222222224</v>
      </c>
      <c r="BB167" s="1">
        <f t="shared" si="92"/>
        <v>17.005555555555556</v>
      </c>
      <c r="BC167" s="1">
        <f t="shared" si="92"/>
        <v>17.513888888888889</v>
      </c>
      <c r="BD167" s="1">
        <f t="shared" si="92"/>
        <v>18.019444444444446</v>
      </c>
      <c r="BE167" s="1">
        <f t="shared" si="92"/>
        <v>18.019444444444446</v>
      </c>
      <c r="BF167" s="1">
        <f t="shared" si="92"/>
        <v>26.644444444444446</v>
      </c>
      <c r="BG167" s="1">
        <f t="shared" si="92"/>
        <v>27.15</v>
      </c>
      <c r="BH167" s="1">
        <f t="shared" si="92"/>
        <v>27.658333333333335</v>
      </c>
      <c r="BI167" s="1">
        <f t="shared" si="92"/>
        <v>28.163888888888888</v>
      </c>
      <c r="BJ167" s="1">
        <f t="shared" si="92"/>
        <v>28.672222222222221</v>
      </c>
      <c r="BK167" s="1">
        <f t="shared" si="92"/>
        <v>29.180555555555557</v>
      </c>
      <c r="BL167" s="1">
        <f t="shared" si="92"/>
        <v>29.68888888888889</v>
      </c>
      <c r="BM167" s="1">
        <f t="shared" si="88"/>
        <v>30.194444444444443</v>
      </c>
      <c r="BN167" s="1">
        <f t="shared" si="88"/>
        <v>30.702777777777779</v>
      </c>
      <c r="BO167" s="1">
        <f t="shared" si="88"/>
        <v>30.702777777777779</v>
      </c>
      <c r="BP167" s="1">
        <f t="shared" si="88"/>
        <v>31.208333333333332</v>
      </c>
      <c r="BQ167" s="1">
        <f t="shared" si="88"/>
        <v>31.716666666666665</v>
      </c>
      <c r="BR167" s="1">
        <f t="shared" si="88"/>
        <v>32.222222222222221</v>
      </c>
      <c r="BS167" s="1">
        <f t="shared" si="88"/>
        <v>32.730555555555554</v>
      </c>
      <c r="BT167" s="1">
        <f t="shared" si="88"/>
        <v>33.238888888888887</v>
      </c>
      <c r="BU167" s="1">
        <f t="shared" si="88"/>
        <v>33.74722222222222</v>
      </c>
      <c r="BV167" s="1">
        <f t="shared" si="88"/>
        <v>33.74722222222222</v>
      </c>
      <c r="BW167" s="1">
        <f t="shared" si="88"/>
        <v>34.25277777777778</v>
      </c>
      <c r="BX167" s="1">
        <f t="shared" si="88"/>
        <v>34.761111111111113</v>
      </c>
      <c r="BY167" s="1">
        <f t="shared" si="88"/>
        <v>35.266666666666666</v>
      </c>
      <c r="BZ167" s="1">
        <f t="shared" si="88"/>
        <v>35.774999999999999</v>
      </c>
      <c r="CA167" s="1">
        <f t="shared" si="88"/>
        <v>36.280555555555559</v>
      </c>
      <c r="CB167" s="1">
        <f t="shared" si="88"/>
        <v>36.788888888888891</v>
      </c>
      <c r="CC167" s="1">
        <f t="shared" si="93"/>
        <v>37.297222222222224</v>
      </c>
      <c r="CD167" s="1">
        <f t="shared" si="89"/>
        <v>37.805555555555557</v>
      </c>
      <c r="CE167" s="1">
        <f t="shared" si="89"/>
        <v>38.31111111111111</v>
      </c>
      <c r="CF167" s="1">
        <f t="shared" si="89"/>
        <v>38.819444444444443</v>
      </c>
      <c r="CG167" s="1">
        <f t="shared" si="89"/>
        <v>39.325000000000003</v>
      </c>
      <c r="CH167" s="1">
        <f t="shared" si="89"/>
        <v>39.833333333333336</v>
      </c>
      <c r="CI167" s="1">
        <f t="shared" si="89"/>
        <v>40.338888888888889</v>
      </c>
      <c r="CJ167" s="1">
        <f t="shared" si="89"/>
        <v>40.847222222222221</v>
      </c>
      <c r="CK167" s="1">
        <f t="shared" si="89"/>
        <v>41.355555555555554</v>
      </c>
      <c r="CL167" s="1">
        <f t="shared" si="89"/>
        <v>41.863888888888887</v>
      </c>
      <c r="CM167" s="1">
        <f t="shared" si="89"/>
        <v>42.369444444444447</v>
      </c>
      <c r="CN167" s="1">
        <f t="shared" si="89"/>
        <v>42.87777777777778</v>
      </c>
      <c r="CO167" s="1">
        <f t="shared" si="89"/>
        <v>43.383333333333333</v>
      </c>
      <c r="CP167" s="1">
        <f t="shared" si="89"/>
        <v>43.891666666666666</v>
      </c>
      <c r="CQ167" s="1">
        <f t="shared" si="89"/>
        <v>44.397222222222226</v>
      </c>
      <c r="CR167" s="1">
        <f t="shared" si="89"/>
        <v>44.905555555555559</v>
      </c>
      <c r="CS167" s="1">
        <f t="shared" si="89"/>
        <v>45.413888888888891</v>
      </c>
      <c r="CT167" s="1">
        <f t="shared" si="94"/>
        <v>45.922222222222224</v>
      </c>
      <c r="CU167" s="1">
        <f t="shared" si="86"/>
        <v>46.427777777777777</v>
      </c>
      <c r="CV167" s="1">
        <f t="shared" si="86"/>
        <v>46.93611111111111</v>
      </c>
      <c r="CW167" s="1">
        <f t="shared" si="86"/>
        <v>47.44166666666667</v>
      </c>
      <c r="CX167" s="1">
        <f t="shared" si="86"/>
        <v>47.95</v>
      </c>
      <c r="CY167" s="1">
        <f t="shared" si="86"/>
        <v>48.455555555555556</v>
      </c>
      <c r="CZ167" s="1">
        <f t="shared" si="86"/>
        <v>48.963888888888889</v>
      </c>
      <c r="DA167" s="1">
        <f t="shared" si="86"/>
        <v>49.472222222222221</v>
      </c>
      <c r="DB167" s="1">
        <f t="shared" si="86"/>
        <v>49.980555555555554</v>
      </c>
      <c r="DC167" s="1">
        <f t="shared" si="86"/>
        <v>49.980555555555554</v>
      </c>
    </row>
    <row r="168" spans="1:107" x14ac:dyDescent="0.25">
      <c r="A168">
        <f t="shared" si="74"/>
        <v>2</v>
      </c>
      <c r="B168" s="2">
        <f>yields_BRUTE!B168</f>
        <v>42247</v>
      </c>
      <c r="C168" s="1">
        <f t="shared" si="95"/>
        <v>-0.5083333333333333</v>
      </c>
      <c r="D168" s="1">
        <f t="shared" si="95"/>
        <v>-0.46944444444444444</v>
      </c>
      <c r="E168" s="1">
        <f t="shared" si="95"/>
        <v>-0.25277777777777777</v>
      </c>
      <c r="F168" s="1">
        <f t="shared" si="95"/>
        <v>2.7777777777777779E-3</v>
      </c>
      <c r="G168" s="1">
        <f t="shared" si="95"/>
        <v>4.1666666666666664E-2</v>
      </c>
      <c r="H168" s="1">
        <f t="shared" si="95"/>
        <v>0.25555555555555554</v>
      </c>
      <c r="I168" s="1">
        <f t="shared" si="95"/>
        <v>0.25555555555555554</v>
      </c>
      <c r="J168" s="1">
        <f t="shared" si="95"/>
        <v>0.5083333333333333</v>
      </c>
      <c r="K168" s="1">
        <f t="shared" si="95"/>
        <v>0.54722222222222228</v>
      </c>
      <c r="L168" s="1">
        <f t="shared" si="95"/>
        <v>0.76388888888888884</v>
      </c>
      <c r="M168" s="1">
        <f t="shared" si="95"/>
        <v>1.0194444444444444</v>
      </c>
      <c r="N168" s="1">
        <f t="shared" si="95"/>
        <v>1.0194444444444444</v>
      </c>
      <c r="O168" s="1">
        <f t="shared" si="95"/>
        <v>1.0583333333333333</v>
      </c>
      <c r="P168" s="1">
        <f t="shared" si="95"/>
        <v>1.2722222222222221</v>
      </c>
      <c r="Q168" s="1">
        <f t="shared" si="95"/>
        <v>1.5611111111111111</v>
      </c>
      <c r="R168" s="1">
        <f t="shared" si="90"/>
        <v>1.7777777777777777</v>
      </c>
      <c r="S168" s="1">
        <f t="shared" si="90"/>
        <v>2.0722222222222224</v>
      </c>
      <c r="T168" s="1">
        <f t="shared" si="90"/>
        <v>2.286111111111111</v>
      </c>
      <c r="U168" s="1">
        <f t="shared" si="90"/>
        <v>2.5750000000000002</v>
      </c>
      <c r="V168" s="1">
        <f t="shared" si="90"/>
        <v>2.7916666666666665</v>
      </c>
      <c r="W168" s="1">
        <f t="shared" si="90"/>
        <v>3.0861111111111112</v>
      </c>
      <c r="X168" s="1">
        <f t="shared" si="90"/>
        <v>3.3</v>
      </c>
      <c r="Y168" s="1">
        <f t="shared" si="90"/>
        <v>3.588888888888889</v>
      </c>
      <c r="Z168" s="1">
        <f t="shared" si="90"/>
        <v>3.8055555555555554</v>
      </c>
      <c r="AA168" s="1">
        <f t="shared" si="90"/>
        <v>4.0999999999999996</v>
      </c>
      <c r="AB168" s="1">
        <f t="shared" si="90"/>
        <v>4.3138888888888891</v>
      </c>
      <c r="AC168" s="1">
        <f t="shared" si="90"/>
        <v>4.6055555555555552</v>
      </c>
      <c r="AD168" s="1">
        <f t="shared" si="90"/>
        <v>4.822222222222222</v>
      </c>
      <c r="AE168" s="1">
        <f t="shared" si="90"/>
        <v>4.822222222222222</v>
      </c>
      <c r="AF168" s="3">
        <f t="shared" si="90"/>
        <v>5.1166666666666663</v>
      </c>
      <c r="AG168" s="1">
        <f t="shared" si="90"/>
        <v>5.3305555555555557</v>
      </c>
      <c r="AH168" s="1">
        <f t="shared" si="91"/>
        <v>5.6194444444444445</v>
      </c>
      <c r="AI168" s="1">
        <f t="shared" si="87"/>
        <v>5.6194444444444445</v>
      </c>
      <c r="AJ168" s="1">
        <f t="shared" si="87"/>
        <v>5.8361111111111112</v>
      </c>
      <c r="AK168" s="1">
        <f t="shared" si="87"/>
        <v>5.8361111111111112</v>
      </c>
      <c r="AL168" s="1">
        <f t="shared" si="87"/>
        <v>6.3444444444444441</v>
      </c>
      <c r="AM168" s="1">
        <f t="shared" si="87"/>
        <v>6.85</v>
      </c>
      <c r="AN168" s="1">
        <f t="shared" si="87"/>
        <v>6.85</v>
      </c>
      <c r="AO168" s="1">
        <f t="shared" si="87"/>
        <v>7.3583333333333334</v>
      </c>
      <c r="AP168" s="1">
        <f t="shared" si="87"/>
        <v>7.8638888888888889</v>
      </c>
      <c r="AQ168" s="1">
        <f t="shared" si="87"/>
        <v>7.8638888888888889</v>
      </c>
      <c r="AR168" s="1">
        <f t="shared" si="87"/>
        <v>8.3722222222222218</v>
      </c>
      <c r="AS168" s="1">
        <f t="shared" si="87"/>
        <v>8.8805555555555564</v>
      </c>
      <c r="AT168" s="1">
        <f t="shared" si="87"/>
        <v>9.3888888888888893</v>
      </c>
      <c r="AU168" s="1">
        <f t="shared" si="87"/>
        <v>9.8944444444444439</v>
      </c>
      <c r="AV168" s="1">
        <f t="shared" si="87"/>
        <v>9.8944444444444439</v>
      </c>
      <c r="AW168" s="1">
        <f t="shared" si="87"/>
        <v>14.46111111111111</v>
      </c>
      <c r="AX168" s="1">
        <f t="shared" si="87"/>
        <v>14.966666666666667</v>
      </c>
      <c r="AY168" s="1">
        <f t="shared" si="92"/>
        <v>15.475</v>
      </c>
      <c r="AZ168" s="1">
        <f t="shared" si="92"/>
        <v>15.980555555555556</v>
      </c>
      <c r="BA168" s="1">
        <f t="shared" si="92"/>
        <v>16.488888888888887</v>
      </c>
      <c r="BB168" s="1">
        <f t="shared" si="92"/>
        <v>16.997222222222224</v>
      </c>
      <c r="BC168" s="1">
        <f t="shared" si="92"/>
        <v>17.505555555555556</v>
      </c>
      <c r="BD168" s="1">
        <f t="shared" si="92"/>
        <v>18.011111111111113</v>
      </c>
      <c r="BE168" s="1">
        <f t="shared" si="92"/>
        <v>18.011111111111113</v>
      </c>
      <c r="BF168" s="1">
        <f t="shared" si="92"/>
        <v>26.636111111111113</v>
      </c>
      <c r="BG168" s="1">
        <f t="shared" si="92"/>
        <v>27.141666666666666</v>
      </c>
      <c r="BH168" s="1">
        <f t="shared" si="92"/>
        <v>27.65</v>
      </c>
      <c r="BI168" s="1">
        <f t="shared" si="92"/>
        <v>28.155555555555555</v>
      </c>
      <c r="BJ168" s="1">
        <f t="shared" si="92"/>
        <v>28.663888888888888</v>
      </c>
      <c r="BK168" s="1">
        <f t="shared" si="92"/>
        <v>29.172222222222221</v>
      </c>
      <c r="BL168" s="1">
        <f t="shared" si="92"/>
        <v>29.680555555555557</v>
      </c>
      <c r="BM168" s="1">
        <f t="shared" si="88"/>
        <v>30.18611111111111</v>
      </c>
      <c r="BN168" s="1">
        <f t="shared" si="88"/>
        <v>30.694444444444443</v>
      </c>
      <c r="BO168" s="1">
        <f t="shared" si="88"/>
        <v>30.694444444444443</v>
      </c>
      <c r="BP168" s="1">
        <f t="shared" si="88"/>
        <v>31.2</v>
      </c>
      <c r="BQ168" s="1">
        <f t="shared" si="88"/>
        <v>31.708333333333332</v>
      </c>
      <c r="BR168" s="1">
        <f t="shared" si="88"/>
        <v>32.213888888888889</v>
      </c>
      <c r="BS168" s="1">
        <f t="shared" si="88"/>
        <v>32.722222222222221</v>
      </c>
      <c r="BT168" s="1">
        <f t="shared" si="88"/>
        <v>33.230555555555554</v>
      </c>
      <c r="BU168" s="1">
        <f t="shared" si="88"/>
        <v>33.738888888888887</v>
      </c>
      <c r="BV168" s="1">
        <f t="shared" si="88"/>
        <v>33.738888888888887</v>
      </c>
      <c r="BW168" s="1">
        <f t="shared" si="88"/>
        <v>34.244444444444447</v>
      </c>
      <c r="BX168" s="1">
        <f t="shared" si="88"/>
        <v>34.75277777777778</v>
      </c>
      <c r="BY168" s="1">
        <f t="shared" si="88"/>
        <v>35.258333333333333</v>
      </c>
      <c r="BZ168" s="1">
        <f t="shared" si="88"/>
        <v>35.766666666666666</v>
      </c>
      <c r="CA168" s="1">
        <f t="shared" si="88"/>
        <v>36.272222222222226</v>
      </c>
      <c r="CB168" s="1">
        <f t="shared" si="88"/>
        <v>36.780555555555559</v>
      </c>
      <c r="CC168" s="1">
        <f t="shared" si="93"/>
        <v>37.288888888888891</v>
      </c>
      <c r="CD168" s="1">
        <f t="shared" si="89"/>
        <v>37.797222222222224</v>
      </c>
      <c r="CE168" s="1">
        <f t="shared" si="89"/>
        <v>38.302777777777777</v>
      </c>
      <c r="CF168" s="1">
        <f t="shared" si="89"/>
        <v>38.81111111111111</v>
      </c>
      <c r="CG168" s="1">
        <f t="shared" si="89"/>
        <v>39.31666666666667</v>
      </c>
      <c r="CH168" s="1">
        <f t="shared" si="89"/>
        <v>39.825000000000003</v>
      </c>
      <c r="CI168" s="1">
        <f t="shared" si="89"/>
        <v>40.330555555555556</v>
      </c>
      <c r="CJ168" s="1">
        <f t="shared" si="89"/>
        <v>40.838888888888889</v>
      </c>
      <c r="CK168" s="1">
        <f t="shared" si="89"/>
        <v>41.347222222222221</v>
      </c>
      <c r="CL168" s="1">
        <f t="shared" si="89"/>
        <v>41.855555555555554</v>
      </c>
      <c r="CM168" s="1">
        <f t="shared" si="89"/>
        <v>42.361111111111114</v>
      </c>
      <c r="CN168" s="1">
        <f t="shared" si="89"/>
        <v>42.869444444444447</v>
      </c>
      <c r="CO168" s="1">
        <f t="shared" si="89"/>
        <v>43.375</v>
      </c>
      <c r="CP168" s="1">
        <f t="shared" si="89"/>
        <v>43.883333333333333</v>
      </c>
      <c r="CQ168" s="1">
        <f t="shared" si="89"/>
        <v>44.388888888888886</v>
      </c>
      <c r="CR168" s="1">
        <f t="shared" si="89"/>
        <v>44.897222222222226</v>
      </c>
      <c r="CS168" s="1">
        <f t="shared" si="89"/>
        <v>45.405555555555559</v>
      </c>
      <c r="CT168" s="1">
        <f t="shared" si="94"/>
        <v>45.913888888888891</v>
      </c>
      <c r="CU168" s="1">
        <f t="shared" si="86"/>
        <v>46.419444444444444</v>
      </c>
      <c r="CV168" s="1">
        <f t="shared" si="86"/>
        <v>46.927777777777777</v>
      </c>
      <c r="CW168" s="1">
        <f t="shared" si="86"/>
        <v>47.43333333333333</v>
      </c>
      <c r="CX168" s="1">
        <f t="shared" si="86"/>
        <v>47.94166666666667</v>
      </c>
      <c r="CY168" s="1">
        <f t="shared" si="86"/>
        <v>48.447222222222223</v>
      </c>
      <c r="CZ168" s="1">
        <f t="shared" si="86"/>
        <v>48.955555555555556</v>
      </c>
      <c r="DA168" s="1">
        <f t="shared" si="86"/>
        <v>49.463888888888889</v>
      </c>
      <c r="DB168" s="1">
        <f t="shared" si="86"/>
        <v>49.972222222222221</v>
      </c>
      <c r="DC168" s="1">
        <f t="shared" si="86"/>
        <v>49.972222222222221</v>
      </c>
    </row>
    <row r="169" spans="1:107" x14ac:dyDescent="0.25">
      <c r="A169">
        <f t="shared" si="74"/>
        <v>3</v>
      </c>
      <c r="B169" s="2">
        <f>yields_BRUTE!B169</f>
        <v>42248</v>
      </c>
      <c r="C169" s="1">
        <f t="shared" si="95"/>
        <v>-0.51111111111111107</v>
      </c>
      <c r="D169" s="1">
        <f t="shared" si="95"/>
        <v>-0.47222222222222221</v>
      </c>
      <c r="E169" s="1">
        <f t="shared" si="95"/>
        <v>-0.25555555555555554</v>
      </c>
      <c r="F169" s="1">
        <f t="shared" si="95"/>
        <v>0</v>
      </c>
      <c r="G169" s="1">
        <f t="shared" si="95"/>
        <v>3.888888888888889E-2</v>
      </c>
      <c r="H169" s="1">
        <f t="shared" si="95"/>
        <v>0.25277777777777777</v>
      </c>
      <c r="I169" s="1">
        <f t="shared" si="95"/>
        <v>0.25277777777777777</v>
      </c>
      <c r="J169" s="1">
        <f t="shared" si="95"/>
        <v>0.50555555555555554</v>
      </c>
      <c r="K169" s="1">
        <f t="shared" si="95"/>
        <v>0.5444444444444444</v>
      </c>
      <c r="L169" s="1">
        <f t="shared" si="95"/>
        <v>0.76111111111111107</v>
      </c>
      <c r="M169" s="1">
        <f t="shared" si="95"/>
        <v>1.0166666666666666</v>
      </c>
      <c r="N169" s="1">
        <f t="shared" si="95"/>
        <v>1.0166666666666666</v>
      </c>
      <c r="O169" s="1">
        <f t="shared" si="95"/>
        <v>1.0555555555555556</v>
      </c>
      <c r="P169" s="1">
        <f t="shared" si="95"/>
        <v>1.2694444444444444</v>
      </c>
      <c r="Q169" s="1">
        <f t="shared" si="95"/>
        <v>1.5583333333333333</v>
      </c>
      <c r="R169" s="1">
        <f t="shared" si="90"/>
        <v>1.7749999999999999</v>
      </c>
      <c r="S169" s="1">
        <f t="shared" si="90"/>
        <v>2.0694444444444446</v>
      </c>
      <c r="T169" s="1">
        <f t="shared" si="90"/>
        <v>2.2833333333333332</v>
      </c>
      <c r="U169" s="1">
        <f t="shared" si="90"/>
        <v>2.5722222222222224</v>
      </c>
      <c r="V169" s="1">
        <f t="shared" si="90"/>
        <v>2.7888888888888888</v>
      </c>
      <c r="W169" s="1">
        <f t="shared" si="90"/>
        <v>3.0833333333333335</v>
      </c>
      <c r="X169" s="1">
        <f t="shared" si="90"/>
        <v>3.2972222222222221</v>
      </c>
      <c r="Y169" s="1">
        <f t="shared" si="90"/>
        <v>3.5861111111111112</v>
      </c>
      <c r="Z169" s="1">
        <f t="shared" si="90"/>
        <v>3.8027777777777776</v>
      </c>
      <c r="AA169" s="1">
        <f t="shared" si="90"/>
        <v>4.0972222222222223</v>
      </c>
      <c r="AB169" s="1">
        <f t="shared" si="90"/>
        <v>4.3111111111111109</v>
      </c>
      <c r="AC169" s="1">
        <f t="shared" si="90"/>
        <v>4.6027777777777779</v>
      </c>
      <c r="AD169" s="1">
        <f t="shared" si="90"/>
        <v>4.8194444444444446</v>
      </c>
      <c r="AE169" s="1">
        <f t="shared" si="90"/>
        <v>4.8194444444444446</v>
      </c>
      <c r="AF169" s="3">
        <f t="shared" si="90"/>
        <v>5.1138888888888889</v>
      </c>
      <c r="AG169" s="1">
        <f t="shared" si="90"/>
        <v>5.3277777777777775</v>
      </c>
      <c r="AH169" s="1">
        <f t="shared" si="91"/>
        <v>5.6166666666666663</v>
      </c>
      <c r="AI169" s="1">
        <f t="shared" si="87"/>
        <v>5.6166666666666663</v>
      </c>
      <c r="AJ169" s="1">
        <f t="shared" si="87"/>
        <v>5.833333333333333</v>
      </c>
      <c r="AK169" s="1">
        <f t="shared" si="87"/>
        <v>5.833333333333333</v>
      </c>
      <c r="AL169" s="1">
        <f t="shared" si="87"/>
        <v>6.3416666666666668</v>
      </c>
      <c r="AM169" s="1">
        <f t="shared" si="87"/>
        <v>6.8472222222222223</v>
      </c>
      <c r="AN169" s="1">
        <f t="shared" si="87"/>
        <v>6.8472222222222223</v>
      </c>
      <c r="AO169" s="1">
        <f t="shared" si="87"/>
        <v>7.3555555555555552</v>
      </c>
      <c r="AP169" s="1">
        <f t="shared" si="87"/>
        <v>7.8611111111111107</v>
      </c>
      <c r="AQ169" s="1">
        <f t="shared" si="87"/>
        <v>7.8611111111111107</v>
      </c>
      <c r="AR169" s="1">
        <f t="shared" si="87"/>
        <v>8.3694444444444436</v>
      </c>
      <c r="AS169" s="1">
        <f t="shared" si="87"/>
        <v>8.8777777777777782</v>
      </c>
      <c r="AT169" s="1">
        <f t="shared" si="87"/>
        <v>9.3861111111111111</v>
      </c>
      <c r="AU169" s="1">
        <f t="shared" si="87"/>
        <v>9.8916666666666675</v>
      </c>
      <c r="AV169" s="1">
        <f t="shared" si="87"/>
        <v>9.8916666666666675</v>
      </c>
      <c r="AW169" s="1">
        <f t="shared" si="87"/>
        <v>14.458333333333334</v>
      </c>
      <c r="AX169" s="1">
        <f t="shared" si="87"/>
        <v>14.963888888888889</v>
      </c>
      <c r="AY169" s="1">
        <f t="shared" si="92"/>
        <v>15.472222222222221</v>
      </c>
      <c r="AZ169" s="1">
        <f t="shared" si="92"/>
        <v>15.977777777777778</v>
      </c>
      <c r="BA169" s="1">
        <f t="shared" si="92"/>
        <v>16.486111111111111</v>
      </c>
      <c r="BB169" s="1">
        <f t="shared" si="92"/>
        <v>16.994444444444444</v>
      </c>
      <c r="BC169" s="1">
        <f t="shared" si="92"/>
        <v>17.502777777777776</v>
      </c>
      <c r="BD169" s="1">
        <f t="shared" si="92"/>
        <v>18.008333333333333</v>
      </c>
      <c r="BE169" s="1">
        <f t="shared" si="92"/>
        <v>18.008333333333333</v>
      </c>
      <c r="BF169" s="1">
        <f t="shared" si="92"/>
        <v>26.633333333333333</v>
      </c>
      <c r="BG169" s="1">
        <f t="shared" si="92"/>
        <v>27.138888888888889</v>
      </c>
      <c r="BH169" s="1">
        <f t="shared" si="92"/>
        <v>27.647222222222222</v>
      </c>
      <c r="BI169" s="1">
        <f t="shared" si="92"/>
        <v>28.152777777777779</v>
      </c>
      <c r="BJ169" s="1">
        <f t="shared" si="92"/>
        <v>28.661111111111111</v>
      </c>
      <c r="BK169" s="1">
        <f t="shared" si="92"/>
        <v>29.169444444444444</v>
      </c>
      <c r="BL169" s="1">
        <f t="shared" si="92"/>
        <v>29.677777777777777</v>
      </c>
      <c r="BM169" s="1">
        <f t="shared" si="88"/>
        <v>30.183333333333334</v>
      </c>
      <c r="BN169" s="1">
        <f t="shared" si="88"/>
        <v>30.691666666666666</v>
      </c>
      <c r="BO169" s="1">
        <f t="shared" si="88"/>
        <v>30.691666666666666</v>
      </c>
      <c r="BP169" s="1">
        <f t="shared" si="88"/>
        <v>31.197222222222223</v>
      </c>
      <c r="BQ169" s="1">
        <f t="shared" si="88"/>
        <v>31.705555555555556</v>
      </c>
      <c r="BR169" s="1">
        <f t="shared" si="88"/>
        <v>32.211111111111109</v>
      </c>
      <c r="BS169" s="1">
        <f t="shared" si="88"/>
        <v>32.719444444444441</v>
      </c>
      <c r="BT169" s="1">
        <f t="shared" si="88"/>
        <v>33.227777777777774</v>
      </c>
      <c r="BU169" s="1">
        <f t="shared" si="88"/>
        <v>33.736111111111114</v>
      </c>
      <c r="BV169" s="1">
        <f t="shared" si="88"/>
        <v>33.736111111111114</v>
      </c>
      <c r="BW169" s="1">
        <f t="shared" si="88"/>
        <v>34.241666666666667</v>
      </c>
      <c r="BX169" s="1">
        <f t="shared" si="88"/>
        <v>34.75</v>
      </c>
      <c r="BY169" s="1">
        <f t="shared" si="88"/>
        <v>35.255555555555553</v>
      </c>
      <c r="BZ169" s="1">
        <f t="shared" si="88"/>
        <v>35.763888888888886</v>
      </c>
      <c r="CA169" s="1">
        <f t="shared" si="88"/>
        <v>36.269444444444446</v>
      </c>
      <c r="CB169" s="1">
        <f t="shared" si="88"/>
        <v>36.777777777777779</v>
      </c>
      <c r="CC169" s="1">
        <f t="shared" si="93"/>
        <v>37.286111111111111</v>
      </c>
      <c r="CD169" s="1">
        <f t="shared" si="89"/>
        <v>37.794444444444444</v>
      </c>
      <c r="CE169" s="1">
        <f t="shared" si="89"/>
        <v>38.299999999999997</v>
      </c>
      <c r="CF169" s="1">
        <f t="shared" si="89"/>
        <v>38.80833333333333</v>
      </c>
      <c r="CG169" s="1">
        <f t="shared" si="89"/>
        <v>39.31388888888889</v>
      </c>
      <c r="CH169" s="1">
        <f t="shared" si="89"/>
        <v>39.822222222222223</v>
      </c>
      <c r="CI169" s="1">
        <f t="shared" si="89"/>
        <v>40.327777777777776</v>
      </c>
      <c r="CJ169" s="1">
        <f t="shared" si="89"/>
        <v>40.836111111111109</v>
      </c>
      <c r="CK169" s="1">
        <f t="shared" si="89"/>
        <v>41.344444444444441</v>
      </c>
      <c r="CL169" s="1">
        <f t="shared" si="89"/>
        <v>41.852777777777774</v>
      </c>
      <c r="CM169" s="1">
        <f t="shared" si="89"/>
        <v>42.358333333333334</v>
      </c>
      <c r="CN169" s="1">
        <f t="shared" si="89"/>
        <v>42.866666666666667</v>
      </c>
      <c r="CO169" s="1">
        <f t="shared" si="89"/>
        <v>43.37222222222222</v>
      </c>
      <c r="CP169" s="1">
        <f t="shared" si="89"/>
        <v>43.880555555555553</v>
      </c>
      <c r="CQ169" s="1">
        <f t="shared" si="89"/>
        <v>44.386111111111113</v>
      </c>
      <c r="CR169" s="1">
        <f t="shared" si="89"/>
        <v>44.894444444444446</v>
      </c>
      <c r="CS169" s="1">
        <f t="shared" si="89"/>
        <v>45.402777777777779</v>
      </c>
      <c r="CT169" s="1">
        <f t="shared" si="94"/>
        <v>45.911111111111111</v>
      </c>
      <c r="CU169" s="1">
        <f t="shared" si="86"/>
        <v>46.416666666666664</v>
      </c>
      <c r="CV169" s="1">
        <f t="shared" si="86"/>
        <v>46.924999999999997</v>
      </c>
      <c r="CW169" s="1">
        <f t="shared" si="86"/>
        <v>47.430555555555557</v>
      </c>
      <c r="CX169" s="1">
        <f t="shared" si="86"/>
        <v>47.93888888888889</v>
      </c>
      <c r="CY169" s="1">
        <f t="shared" si="86"/>
        <v>48.444444444444443</v>
      </c>
      <c r="CZ169" s="1">
        <f t="shared" si="86"/>
        <v>48.952777777777776</v>
      </c>
      <c r="DA169" s="1">
        <f t="shared" si="86"/>
        <v>49.461111111111109</v>
      </c>
      <c r="DB169" s="1">
        <f t="shared" si="86"/>
        <v>49.969444444444441</v>
      </c>
      <c r="DC169" s="1">
        <f t="shared" si="86"/>
        <v>49.969444444444441</v>
      </c>
    </row>
    <row r="170" spans="1:107" x14ac:dyDescent="0.25">
      <c r="A170">
        <f t="shared" si="74"/>
        <v>4</v>
      </c>
      <c r="B170" s="2">
        <f>yields_BRUTE!B170</f>
        <v>42249</v>
      </c>
      <c r="C170" s="1">
        <f t="shared" si="95"/>
        <v>-0.51388888888888884</v>
      </c>
      <c r="D170" s="1">
        <f t="shared" si="95"/>
        <v>-0.47499999999999998</v>
      </c>
      <c r="E170" s="1">
        <f t="shared" si="95"/>
        <v>-0.25833333333333336</v>
      </c>
      <c r="F170" s="1">
        <f t="shared" si="95"/>
        <v>-2.7777777777777779E-3</v>
      </c>
      <c r="G170" s="1">
        <f t="shared" si="95"/>
        <v>3.6111111111111108E-2</v>
      </c>
      <c r="H170" s="1">
        <f t="shared" si="95"/>
        <v>0.25</v>
      </c>
      <c r="I170" s="1">
        <f t="shared" si="95"/>
        <v>0.25</v>
      </c>
      <c r="J170" s="1">
        <f t="shared" si="95"/>
        <v>0.50277777777777777</v>
      </c>
      <c r="K170" s="1">
        <f t="shared" si="95"/>
        <v>0.54166666666666663</v>
      </c>
      <c r="L170" s="1">
        <f t="shared" si="95"/>
        <v>0.7583333333333333</v>
      </c>
      <c r="M170" s="1">
        <f t="shared" si="95"/>
        <v>1.0138888888888888</v>
      </c>
      <c r="N170" s="1">
        <f t="shared" si="95"/>
        <v>1.0138888888888888</v>
      </c>
      <c r="O170" s="1">
        <f t="shared" si="95"/>
        <v>1.0527777777777778</v>
      </c>
      <c r="P170" s="1">
        <f t="shared" si="95"/>
        <v>1.2666666666666666</v>
      </c>
      <c r="Q170" s="1">
        <f t="shared" si="95"/>
        <v>1.5555555555555556</v>
      </c>
      <c r="R170" s="1">
        <f t="shared" si="90"/>
        <v>1.7722222222222221</v>
      </c>
      <c r="S170" s="1">
        <f t="shared" si="90"/>
        <v>2.0666666666666669</v>
      </c>
      <c r="T170" s="1">
        <f t="shared" si="90"/>
        <v>2.2805555555555554</v>
      </c>
      <c r="U170" s="1">
        <f t="shared" si="90"/>
        <v>2.5694444444444446</v>
      </c>
      <c r="V170" s="1">
        <f t="shared" si="90"/>
        <v>2.786111111111111</v>
      </c>
      <c r="W170" s="1">
        <f t="shared" si="90"/>
        <v>3.0805555555555557</v>
      </c>
      <c r="X170" s="1">
        <f t="shared" si="90"/>
        <v>3.2944444444444443</v>
      </c>
      <c r="Y170" s="1">
        <f t="shared" si="90"/>
        <v>3.5833333333333335</v>
      </c>
      <c r="Z170" s="1">
        <f t="shared" si="90"/>
        <v>3.8</v>
      </c>
      <c r="AA170" s="1">
        <f t="shared" si="90"/>
        <v>4.0944444444444441</v>
      </c>
      <c r="AB170" s="1">
        <f t="shared" si="90"/>
        <v>4.3083333333333336</v>
      </c>
      <c r="AC170" s="1">
        <f t="shared" si="90"/>
        <v>4.5999999999999996</v>
      </c>
      <c r="AD170" s="1">
        <f t="shared" si="90"/>
        <v>4.8166666666666664</v>
      </c>
      <c r="AE170" s="1">
        <f t="shared" si="90"/>
        <v>4.8166666666666664</v>
      </c>
      <c r="AF170" s="3">
        <f t="shared" si="90"/>
        <v>5.1111111111111107</v>
      </c>
      <c r="AG170" s="1">
        <f t="shared" si="90"/>
        <v>5.3250000000000002</v>
      </c>
      <c r="AH170" s="1">
        <f t="shared" si="91"/>
        <v>5.6138888888888889</v>
      </c>
      <c r="AI170" s="1">
        <f t="shared" si="87"/>
        <v>5.6138888888888889</v>
      </c>
      <c r="AJ170" s="1">
        <f t="shared" si="87"/>
        <v>5.8305555555555557</v>
      </c>
      <c r="AK170" s="1">
        <f t="shared" si="87"/>
        <v>5.8305555555555557</v>
      </c>
      <c r="AL170" s="1">
        <f t="shared" si="87"/>
        <v>6.3388888888888886</v>
      </c>
      <c r="AM170" s="1">
        <f t="shared" si="87"/>
        <v>6.8444444444444441</v>
      </c>
      <c r="AN170" s="1">
        <f t="shared" si="87"/>
        <v>6.8444444444444441</v>
      </c>
      <c r="AO170" s="1">
        <f t="shared" si="87"/>
        <v>7.3527777777777779</v>
      </c>
      <c r="AP170" s="1">
        <f t="shared" si="87"/>
        <v>7.8583333333333334</v>
      </c>
      <c r="AQ170" s="1">
        <f t="shared" si="87"/>
        <v>7.8583333333333334</v>
      </c>
      <c r="AR170" s="1">
        <f t="shared" si="87"/>
        <v>8.3666666666666671</v>
      </c>
      <c r="AS170" s="1">
        <f t="shared" si="87"/>
        <v>8.875</v>
      </c>
      <c r="AT170" s="1">
        <f t="shared" si="87"/>
        <v>9.3833333333333329</v>
      </c>
      <c r="AU170" s="1">
        <f t="shared" si="87"/>
        <v>9.8888888888888893</v>
      </c>
      <c r="AV170" s="1">
        <f t="shared" si="87"/>
        <v>9.8888888888888893</v>
      </c>
      <c r="AW170" s="1">
        <f t="shared" si="87"/>
        <v>14.455555555555556</v>
      </c>
      <c r="AX170" s="1">
        <f t="shared" si="87"/>
        <v>14.96111111111111</v>
      </c>
      <c r="AY170" s="1">
        <f t="shared" si="92"/>
        <v>15.469444444444445</v>
      </c>
      <c r="AZ170" s="1">
        <f t="shared" si="92"/>
        <v>15.975</v>
      </c>
      <c r="BA170" s="1">
        <f t="shared" si="92"/>
        <v>16.483333333333334</v>
      </c>
      <c r="BB170" s="1">
        <f t="shared" si="92"/>
        <v>16.991666666666667</v>
      </c>
      <c r="BC170" s="1">
        <f t="shared" si="92"/>
        <v>17.5</v>
      </c>
      <c r="BD170" s="1">
        <f t="shared" si="92"/>
        <v>18.005555555555556</v>
      </c>
      <c r="BE170" s="1">
        <f t="shared" si="92"/>
        <v>18.005555555555556</v>
      </c>
      <c r="BF170" s="1">
        <f t="shared" si="92"/>
        <v>26.630555555555556</v>
      </c>
      <c r="BG170" s="1">
        <f t="shared" si="92"/>
        <v>27.136111111111113</v>
      </c>
      <c r="BH170" s="1">
        <f t="shared" si="92"/>
        <v>27.644444444444446</v>
      </c>
      <c r="BI170" s="1">
        <f t="shared" si="92"/>
        <v>28.15</v>
      </c>
      <c r="BJ170" s="1">
        <f t="shared" si="92"/>
        <v>28.658333333333335</v>
      </c>
      <c r="BK170" s="1">
        <f t="shared" si="92"/>
        <v>29.166666666666668</v>
      </c>
      <c r="BL170" s="1">
        <f t="shared" si="92"/>
        <v>29.675000000000001</v>
      </c>
      <c r="BM170" s="1">
        <f t="shared" si="88"/>
        <v>30.180555555555557</v>
      </c>
      <c r="BN170" s="1">
        <f t="shared" si="88"/>
        <v>30.68888888888889</v>
      </c>
      <c r="BO170" s="1">
        <f t="shared" si="88"/>
        <v>30.68888888888889</v>
      </c>
      <c r="BP170" s="1">
        <f t="shared" si="88"/>
        <v>31.194444444444443</v>
      </c>
      <c r="BQ170" s="1">
        <f t="shared" si="88"/>
        <v>31.702777777777779</v>
      </c>
      <c r="BR170" s="1">
        <f t="shared" si="88"/>
        <v>32.208333333333336</v>
      </c>
      <c r="BS170" s="1">
        <f t="shared" si="88"/>
        <v>32.716666666666669</v>
      </c>
      <c r="BT170" s="1">
        <f t="shared" si="88"/>
        <v>33.225000000000001</v>
      </c>
      <c r="BU170" s="1">
        <f t="shared" si="88"/>
        <v>33.733333333333334</v>
      </c>
      <c r="BV170" s="1">
        <f t="shared" si="88"/>
        <v>33.733333333333334</v>
      </c>
      <c r="BW170" s="1">
        <f t="shared" si="88"/>
        <v>34.238888888888887</v>
      </c>
      <c r="BX170" s="1">
        <f t="shared" si="88"/>
        <v>34.74722222222222</v>
      </c>
      <c r="BY170" s="1">
        <f t="shared" si="88"/>
        <v>35.25277777777778</v>
      </c>
      <c r="BZ170" s="1">
        <f t="shared" si="88"/>
        <v>35.761111111111113</v>
      </c>
      <c r="CA170" s="1">
        <f t="shared" si="88"/>
        <v>36.266666666666666</v>
      </c>
      <c r="CB170" s="1">
        <f t="shared" si="88"/>
        <v>36.774999999999999</v>
      </c>
      <c r="CC170" s="1">
        <f t="shared" si="93"/>
        <v>37.283333333333331</v>
      </c>
      <c r="CD170" s="1">
        <f t="shared" si="89"/>
        <v>37.791666666666664</v>
      </c>
      <c r="CE170" s="1">
        <f t="shared" si="89"/>
        <v>38.297222222222224</v>
      </c>
      <c r="CF170" s="1">
        <f t="shared" si="89"/>
        <v>38.805555555555557</v>
      </c>
      <c r="CG170" s="1">
        <f t="shared" si="89"/>
        <v>39.31111111111111</v>
      </c>
      <c r="CH170" s="1">
        <f t="shared" si="89"/>
        <v>39.819444444444443</v>
      </c>
      <c r="CI170" s="1">
        <f t="shared" si="89"/>
        <v>40.325000000000003</v>
      </c>
      <c r="CJ170" s="1">
        <f t="shared" si="89"/>
        <v>40.833333333333336</v>
      </c>
      <c r="CK170" s="1">
        <f t="shared" si="89"/>
        <v>41.341666666666669</v>
      </c>
      <c r="CL170" s="1">
        <f t="shared" si="89"/>
        <v>41.85</v>
      </c>
      <c r="CM170" s="1">
        <f t="shared" si="89"/>
        <v>42.355555555555554</v>
      </c>
      <c r="CN170" s="1">
        <f t="shared" si="89"/>
        <v>42.863888888888887</v>
      </c>
      <c r="CO170" s="1">
        <f t="shared" si="89"/>
        <v>43.369444444444447</v>
      </c>
      <c r="CP170" s="1">
        <f t="shared" si="89"/>
        <v>43.87777777777778</v>
      </c>
      <c r="CQ170" s="1">
        <f t="shared" si="89"/>
        <v>44.383333333333333</v>
      </c>
      <c r="CR170" s="1">
        <f t="shared" si="89"/>
        <v>44.891666666666666</v>
      </c>
      <c r="CS170" s="1">
        <f t="shared" si="89"/>
        <v>45.4</v>
      </c>
      <c r="CT170" s="1">
        <f t="shared" si="94"/>
        <v>45.908333333333331</v>
      </c>
      <c r="CU170" s="1">
        <f t="shared" si="86"/>
        <v>46.413888888888891</v>
      </c>
      <c r="CV170" s="1">
        <f t="shared" si="86"/>
        <v>46.922222222222224</v>
      </c>
      <c r="CW170" s="1">
        <f t="shared" si="86"/>
        <v>47.427777777777777</v>
      </c>
      <c r="CX170" s="1">
        <f t="shared" si="86"/>
        <v>47.93611111111111</v>
      </c>
      <c r="CY170" s="1">
        <f t="shared" si="86"/>
        <v>48.44166666666667</v>
      </c>
      <c r="CZ170" s="1">
        <f t="shared" si="86"/>
        <v>48.95</v>
      </c>
      <c r="DA170" s="1">
        <f t="shared" si="86"/>
        <v>49.458333333333336</v>
      </c>
      <c r="DB170" s="1">
        <f t="shared" si="86"/>
        <v>49.966666666666669</v>
      </c>
      <c r="DC170" s="1">
        <f t="shared" si="86"/>
        <v>49.966666666666669</v>
      </c>
    </row>
    <row r="171" spans="1:107" x14ac:dyDescent="0.25">
      <c r="A171">
        <f t="shared" si="74"/>
        <v>5</v>
      </c>
      <c r="B171" s="2">
        <f>yields_BRUTE!B171</f>
        <v>42250</v>
      </c>
      <c r="C171" s="1">
        <f t="shared" si="95"/>
        <v>-0.51666666666666672</v>
      </c>
      <c r="D171" s="1">
        <f t="shared" si="95"/>
        <v>-0.4777777777777778</v>
      </c>
      <c r="E171" s="1">
        <f t="shared" si="95"/>
        <v>-0.26111111111111113</v>
      </c>
      <c r="F171" s="1">
        <f t="shared" si="95"/>
        <v>-5.5555555555555558E-3</v>
      </c>
      <c r="G171" s="1">
        <f t="shared" si="95"/>
        <v>3.3333333333333333E-2</v>
      </c>
      <c r="H171" s="1">
        <f t="shared" si="95"/>
        <v>0.24722222222222223</v>
      </c>
      <c r="I171" s="1">
        <f t="shared" si="95"/>
        <v>0.24722222222222223</v>
      </c>
      <c r="J171" s="1">
        <f t="shared" si="95"/>
        <v>0.5</v>
      </c>
      <c r="K171" s="1">
        <f t="shared" si="95"/>
        <v>0.53888888888888886</v>
      </c>
      <c r="L171" s="1">
        <f t="shared" si="95"/>
        <v>0.75555555555555554</v>
      </c>
      <c r="M171" s="1">
        <f t="shared" si="95"/>
        <v>1.0111111111111111</v>
      </c>
      <c r="N171" s="1">
        <f t="shared" si="95"/>
        <v>1.0111111111111111</v>
      </c>
      <c r="O171" s="1">
        <f t="shared" si="95"/>
        <v>1.05</v>
      </c>
      <c r="P171" s="1">
        <f t="shared" si="95"/>
        <v>1.2638888888888888</v>
      </c>
      <c r="Q171" s="1">
        <f t="shared" si="95"/>
        <v>1.5527777777777778</v>
      </c>
      <c r="R171" s="1">
        <f t="shared" si="90"/>
        <v>1.7694444444444444</v>
      </c>
      <c r="S171" s="1">
        <f t="shared" si="90"/>
        <v>2.0638888888888891</v>
      </c>
      <c r="T171" s="1">
        <f t="shared" si="90"/>
        <v>2.2777777777777777</v>
      </c>
      <c r="U171" s="1">
        <f t="shared" si="90"/>
        <v>2.5666666666666669</v>
      </c>
      <c r="V171" s="1">
        <f t="shared" si="90"/>
        <v>2.7833333333333332</v>
      </c>
      <c r="W171" s="1">
        <f t="shared" si="90"/>
        <v>3.0777777777777779</v>
      </c>
      <c r="X171" s="1">
        <f t="shared" si="90"/>
        <v>3.2916666666666665</v>
      </c>
      <c r="Y171" s="1">
        <f t="shared" si="90"/>
        <v>3.5805555555555557</v>
      </c>
      <c r="Z171" s="1">
        <f t="shared" si="90"/>
        <v>3.7972222222222221</v>
      </c>
      <c r="AA171" s="1">
        <f t="shared" si="90"/>
        <v>4.0916666666666668</v>
      </c>
      <c r="AB171" s="1">
        <f t="shared" si="90"/>
        <v>4.3055555555555554</v>
      </c>
      <c r="AC171" s="1">
        <f t="shared" si="90"/>
        <v>4.5972222222222223</v>
      </c>
      <c r="AD171" s="1">
        <f t="shared" si="90"/>
        <v>4.8138888888888891</v>
      </c>
      <c r="AE171" s="1">
        <f t="shared" si="90"/>
        <v>4.8138888888888891</v>
      </c>
      <c r="AF171" s="3">
        <f t="shared" si="90"/>
        <v>5.1083333333333334</v>
      </c>
      <c r="AG171" s="1">
        <f t="shared" si="90"/>
        <v>5.322222222222222</v>
      </c>
      <c r="AH171" s="1">
        <f t="shared" si="91"/>
        <v>5.6111111111111107</v>
      </c>
      <c r="AI171" s="1">
        <f t="shared" si="87"/>
        <v>5.6111111111111107</v>
      </c>
      <c r="AJ171" s="1">
        <f t="shared" si="87"/>
        <v>5.8277777777777775</v>
      </c>
      <c r="AK171" s="1">
        <f t="shared" si="87"/>
        <v>5.8277777777777775</v>
      </c>
      <c r="AL171" s="1">
        <f t="shared" si="87"/>
        <v>6.3361111111111112</v>
      </c>
      <c r="AM171" s="1">
        <f t="shared" si="87"/>
        <v>6.8416666666666668</v>
      </c>
      <c r="AN171" s="1">
        <f t="shared" si="87"/>
        <v>6.8416666666666668</v>
      </c>
      <c r="AO171" s="1">
        <f t="shared" si="87"/>
        <v>7.35</v>
      </c>
      <c r="AP171" s="1">
        <f t="shared" si="87"/>
        <v>7.8555555555555552</v>
      </c>
      <c r="AQ171" s="1">
        <f t="shared" si="87"/>
        <v>7.8555555555555552</v>
      </c>
      <c r="AR171" s="1">
        <f t="shared" si="87"/>
        <v>8.3638888888888889</v>
      </c>
      <c r="AS171" s="1">
        <f t="shared" si="87"/>
        <v>8.8722222222222218</v>
      </c>
      <c r="AT171" s="1">
        <f t="shared" si="87"/>
        <v>9.3805555555555564</v>
      </c>
      <c r="AU171" s="1">
        <f t="shared" si="87"/>
        <v>9.8861111111111111</v>
      </c>
      <c r="AV171" s="1">
        <f t="shared" si="87"/>
        <v>9.8861111111111111</v>
      </c>
      <c r="AW171" s="1">
        <f t="shared" si="87"/>
        <v>14.452777777777778</v>
      </c>
      <c r="AX171" s="1">
        <f t="shared" si="87"/>
        <v>14.958333333333334</v>
      </c>
      <c r="AY171" s="1">
        <f t="shared" si="92"/>
        <v>15.466666666666667</v>
      </c>
      <c r="AZ171" s="1">
        <f t="shared" si="92"/>
        <v>15.972222222222221</v>
      </c>
      <c r="BA171" s="1">
        <f t="shared" si="92"/>
        <v>16.480555555555554</v>
      </c>
      <c r="BB171" s="1">
        <f t="shared" si="92"/>
        <v>16.988888888888887</v>
      </c>
      <c r="BC171" s="1">
        <f t="shared" si="92"/>
        <v>17.497222222222224</v>
      </c>
      <c r="BD171" s="1">
        <f t="shared" si="92"/>
        <v>18.002777777777776</v>
      </c>
      <c r="BE171" s="1">
        <f t="shared" si="92"/>
        <v>18.002777777777776</v>
      </c>
      <c r="BF171" s="1">
        <f t="shared" si="92"/>
        <v>26.627777777777776</v>
      </c>
      <c r="BG171" s="1">
        <f t="shared" si="92"/>
        <v>27.133333333333333</v>
      </c>
      <c r="BH171" s="1">
        <f t="shared" si="92"/>
        <v>27.641666666666666</v>
      </c>
      <c r="BI171" s="1">
        <f t="shared" si="92"/>
        <v>28.147222222222222</v>
      </c>
      <c r="BJ171" s="1">
        <f t="shared" si="92"/>
        <v>28.655555555555555</v>
      </c>
      <c r="BK171" s="1">
        <f t="shared" si="92"/>
        <v>29.163888888888888</v>
      </c>
      <c r="BL171" s="1">
        <f t="shared" si="92"/>
        <v>29.672222222222221</v>
      </c>
      <c r="BM171" s="1">
        <f t="shared" si="88"/>
        <v>30.177777777777777</v>
      </c>
      <c r="BN171" s="1">
        <f t="shared" si="88"/>
        <v>30.68611111111111</v>
      </c>
      <c r="BO171" s="1">
        <f t="shared" si="88"/>
        <v>30.68611111111111</v>
      </c>
      <c r="BP171" s="1">
        <f t="shared" si="88"/>
        <v>31.191666666666666</v>
      </c>
      <c r="BQ171" s="1">
        <f t="shared" si="88"/>
        <v>31.7</v>
      </c>
      <c r="BR171" s="1">
        <f t="shared" si="88"/>
        <v>32.205555555555556</v>
      </c>
      <c r="BS171" s="1">
        <f t="shared" si="88"/>
        <v>32.713888888888889</v>
      </c>
      <c r="BT171" s="1">
        <f t="shared" si="88"/>
        <v>33.222222222222221</v>
      </c>
      <c r="BU171" s="1">
        <f t="shared" si="88"/>
        <v>33.730555555555554</v>
      </c>
      <c r="BV171" s="1">
        <f t="shared" si="88"/>
        <v>33.730555555555554</v>
      </c>
      <c r="BW171" s="1">
        <f t="shared" si="88"/>
        <v>34.236111111111114</v>
      </c>
      <c r="BX171" s="1">
        <f t="shared" si="88"/>
        <v>34.744444444444447</v>
      </c>
      <c r="BY171" s="1">
        <f t="shared" si="88"/>
        <v>35.25</v>
      </c>
      <c r="BZ171" s="1">
        <f t="shared" si="88"/>
        <v>35.758333333333333</v>
      </c>
      <c r="CA171" s="1">
        <f t="shared" si="88"/>
        <v>36.263888888888886</v>
      </c>
      <c r="CB171" s="1">
        <f t="shared" si="88"/>
        <v>36.772222222222226</v>
      </c>
      <c r="CC171" s="1">
        <f t="shared" si="93"/>
        <v>37.280555555555559</v>
      </c>
      <c r="CD171" s="1">
        <f t="shared" si="89"/>
        <v>37.788888888888891</v>
      </c>
      <c r="CE171" s="1">
        <f t="shared" si="89"/>
        <v>38.294444444444444</v>
      </c>
      <c r="CF171" s="1">
        <f t="shared" si="89"/>
        <v>38.802777777777777</v>
      </c>
      <c r="CG171" s="1">
        <f t="shared" si="89"/>
        <v>39.30833333333333</v>
      </c>
      <c r="CH171" s="1">
        <f t="shared" si="89"/>
        <v>39.81666666666667</v>
      </c>
      <c r="CI171" s="1">
        <f t="shared" si="89"/>
        <v>40.322222222222223</v>
      </c>
      <c r="CJ171" s="1">
        <f t="shared" si="89"/>
        <v>40.830555555555556</v>
      </c>
      <c r="CK171" s="1">
        <f t="shared" si="89"/>
        <v>41.338888888888889</v>
      </c>
      <c r="CL171" s="1">
        <f t="shared" si="89"/>
        <v>41.847222222222221</v>
      </c>
      <c r="CM171" s="1">
        <f t="shared" si="89"/>
        <v>42.352777777777774</v>
      </c>
      <c r="CN171" s="1">
        <f t="shared" si="89"/>
        <v>42.861111111111114</v>
      </c>
      <c r="CO171" s="1">
        <f t="shared" si="89"/>
        <v>43.366666666666667</v>
      </c>
      <c r="CP171" s="1">
        <f t="shared" si="89"/>
        <v>43.875</v>
      </c>
      <c r="CQ171" s="1">
        <f t="shared" si="89"/>
        <v>44.380555555555553</v>
      </c>
      <c r="CR171" s="1">
        <f t="shared" si="89"/>
        <v>44.888888888888886</v>
      </c>
      <c r="CS171" s="1">
        <f t="shared" si="89"/>
        <v>45.397222222222226</v>
      </c>
      <c r="CT171" s="1">
        <f t="shared" si="94"/>
        <v>45.905555555555559</v>
      </c>
      <c r="CU171" s="1">
        <f t="shared" si="86"/>
        <v>46.411111111111111</v>
      </c>
      <c r="CV171" s="1">
        <f t="shared" si="86"/>
        <v>46.919444444444444</v>
      </c>
      <c r="CW171" s="1">
        <f t="shared" si="86"/>
        <v>47.424999999999997</v>
      </c>
      <c r="CX171" s="1">
        <f t="shared" si="86"/>
        <v>47.93333333333333</v>
      </c>
      <c r="CY171" s="1">
        <f t="shared" si="86"/>
        <v>48.43888888888889</v>
      </c>
      <c r="CZ171" s="1">
        <f t="shared" si="86"/>
        <v>48.947222222222223</v>
      </c>
      <c r="DA171" s="1">
        <f t="shared" si="86"/>
        <v>49.455555555555556</v>
      </c>
      <c r="DB171" s="1">
        <f t="shared" si="86"/>
        <v>49.963888888888889</v>
      </c>
      <c r="DC171" s="1">
        <f t="shared" si="86"/>
        <v>49.963888888888889</v>
      </c>
    </row>
    <row r="172" spans="1:107" x14ac:dyDescent="0.25">
      <c r="A172">
        <f t="shared" si="74"/>
        <v>6</v>
      </c>
      <c r="B172" s="2">
        <f>yields_BRUTE!B172</f>
        <v>42251</v>
      </c>
      <c r="C172" s="1">
        <f t="shared" si="95"/>
        <v>-0.51944444444444449</v>
      </c>
      <c r="D172" s="1">
        <f t="shared" si="95"/>
        <v>-0.48055555555555557</v>
      </c>
      <c r="E172" s="1">
        <f t="shared" si="95"/>
        <v>-0.2638888888888889</v>
      </c>
      <c r="F172" s="1">
        <f t="shared" si="95"/>
        <v>-8.3333333333333332E-3</v>
      </c>
      <c r="G172" s="1">
        <f t="shared" si="95"/>
        <v>3.0555555555555555E-2</v>
      </c>
      <c r="H172" s="1">
        <f t="shared" si="95"/>
        <v>0.24444444444444444</v>
      </c>
      <c r="I172" s="1">
        <f t="shared" si="95"/>
        <v>0.24444444444444444</v>
      </c>
      <c r="J172" s="1">
        <f t="shared" si="95"/>
        <v>0.49722222222222223</v>
      </c>
      <c r="K172" s="1">
        <f t="shared" si="95"/>
        <v>0.53611111111111109</v>
      </c>
      <c r="L172" s="1">
        <f t="shared" si="95"/>
        <v>0.75277777777777777</v>
      </c>
      <c r="M172" s="1">
        <f t="shared" si="95"/>
        <v>1.0083333333333333</v>
      </c>
      <c r="N172" s="1">
        <f t="shared" si="95"/>
        <v>1.0083333333333333</v>
      </c>
      <c r="O172" s="1">
        <f t="shared" si="95"/>
        <v>1.0472222222222223</v>
      </c>
      <c r="P172" s="1">
        <f t="shared" si="95"/>
        <v>1.2611111111111111</v>
      </c>
      <c r="Q172" s="1">
        <f t="shared" si="95"/>
        <v>1.55</v>
      </c>
      <c r="R172" s="1">
        <f t="shared" si="90"/>
        <v>1.7666666666666666</v>
      </c>
      <c r="S172" s="1">
        <f t="shared" si="90"/>
        <v>2.0611111111111109</v>
      </c>
      <c r="T172" s="1">
        <f t="shared" si="90"/>
        <v>2.2749999999999999</v>
      </c>
      <c r="U172" s="1">
        <f t="shared" si="90"/>
        <v>2.5638888888888891</v>
      </c>
      <c r="V172" s="1">
        <f t="shared" si="90"/>
        <v>2.7805555555555554</v>
      </c>
      <c r="W172" s="1">
        <f t="shared" si="90"/>
        <v>3.0750000000000002</v>
      </c>
      <c r="X172" s="1">
        <f t="shared" si="90"/>
        <v>3.2888888888888888</v>
      </c>
      <c r="Y172" s="1">
        <f t="shared" si="90"/>
        <v>3.5777777777777779</v>
      </c>
      <c r="Z172" s="1">
        <f t="shared" si="90"/>
        <v>3.7944444444444443</v>
      </c>
      <c r="AA172" s="1">
        <f t="shared" si="90"/>
        <v>4.0888888888888886</v>
      </c>
      <c r="AB172" s="1">
        <f t="shared" si="90"/>
        <v>4.302777777777778</v>
      </c>
      <c r="AC172" s="1">
        <f t="shared" si="90"/>
        <v>4.5944444444444441</v>
      </c>
      <c r="AD172" s="1">
        <f t="shared" si="90"/>
        <v>4.8111111111111109</v>
      </c>
      <c r="AE172" s="1">
        <f t="shared" si="90"/>
        <v>4.8111111111111109</v>
      </c>
      <c r="AF172" s="3">
        <f t="shared" si="90"/>
        <v>5.1055555555555552</v>
      </c>
      <c r="AG172" s="1">
        <f t="shared" si="90"/>
        <v>5.3194444444444446</v>
      </c>
      <c r="AH172" s="1">
        <f t="shared" si="91"/>
        <v>5.6083333333333334</v>
      </c>
      <c r="AI172" s="1">
        <f t="shared" si="87"/>
        <v>5.6083333333333334</v>
      </c>
      <c r="AJ172" s="1">
        <f t="shared" si="87"/>
        <v>5.8250000000000002</v>
      </c>
      <c r="AK172" s="1">
        <f t="shared" si="87"/>
        <v>5.8250000000000002</v>
      </c>
      <c r="AL172" s="1">
        <f t="shared" si="87"/>
        <v>6.333333333333333</v>
      </c>
      <c r="AM172" s="1">
        <f t="shared" si="87"/>
        <v>6.8388888888888886</v>
      </c>
      <c r="AN172" s="1">
        <f t="shared" si="87"/>
        <v>6.8388888888888886</v>
      </c>
      <c r="AO172" s="1">
        <f t="shared" si="87"/>
        <v>7.3472222222222223</v>
      </c>
      <c r="AP172" s="1">
        <f t="shared" si="87"/>
        <v>7.8527777777777779</v>
      </c>
      <c r="AQ172" s="1">
        <f t="shared" si="87"/>
        <v>7.8527777777777779</v>
      </c>
      <c r="AR172" s="1">
        <f t="shared" si="87"/>
        <v>8.3611111111111107</v>
      </c>
      <c r="AS172" s="1">
        <f t="shared" si="87"/>
        <v>8.8694444444444436</v>
      </c>
      <c r="AT172" s="1">
        <f t="shared" si="87"/>
        <v>9.3777777777777782</v>
      </c>
      <c r="AU172" s="1">
        <f t="shared" si="87"/>
        <v>9.8833333333333329</v>
      </c>
      <c r="AV172" s="1">
        <f t="shared" si="87"/>
        <v>9.8833333333333329</v>
      </c>
      <c r="AW172" s="1">
        <f t="shared" si="87"/>
        <v>14.45</v>
      </c>
      <c r="AX172" s="1">
        <f t="shared" si="87"/>
        <v>14.955555555555556</v>
      </c>
      <c r="AY172" s="1">
        <f t="shared" si="92"/>
        <v>15.463888888888889</v>
      </c>
      <c r="AZ172" s="1">
        <f t="shared" si="92"/>
        <v>15.969444444444445</v>
      </c>
      <c r="BA172" s="1">
        <f t="shared" si="92"/>
        <v>16.477777777777778</v>
      </c>
      <c r="BB172" s="1">
        <f t="shared" si="92"/>
        <v>16.986111111111111</v>
      </c>
      <c r="BC172" s="1">
        <f t="shared" si="92"/>
        <v>17.494444444444444</v>
      </c>
      <c r="BD172" s="1">
        <f t="shared" si="92"/>
        <v>18</v>
      </c>
      <c r="BE172" s="1">
        <f t="shared" si="92"/>
        <v>18</v>
      </c>
      <c r="BF172" s="1">
        <f t="shared" si="92"/>
        <v>26.625</v>
      </c>
      <c r="BG172" s="1">
        <f t="shared" si="92"/>
        <v>27.130555555555556</v>
      </c>
      <c r="BH172" s="1">
        <f t="shared" si="92"/>
        <v>27.638888888888889</v>
      </c>
      <c r="BI172" s="1">
        <f t="shared" si="92"/>
        <v>28.144444444444446</v>
      </c>
      <c r="BJ172" s="1">
        <f t="shared" si="92"/>
        <v>28.652777777777779</v>
      </c>
      <c r="BK172" s="1">
        <f t="shared" si="92"/>
        <v>29.161111111111111</v>
      </c>
      <c r="BL172" s="1">
        <f t="shared" si="92"/>
        <v>29.669444444444444</v>
      </c>
      <c r="BM172" s="1">
        <f t="shared" si="88"/>
        <v>30.175000000000001</v>
      </c>
      <c r="BN172" s="1">
        <f t="shared" si="88"/>
        <v>30.683333333333334</v>
      </c>
      <c r="BO172" s="1">
        <f t="shared" si="88"/>
        <v>30.683333333333334</v>
      </c>
      <c r="BP172" s="1">
        <f t="shared" si="88"/>
        <v>31.18888888888889</v>
      </c>
      <c r="BQ172" s="1">
        <f t="shared" si="88"/>
        <v>31.697222222222223</v>
      </c>
      <c r="BR172" s="1">
        <f t="shared" si="88"/>
        <v>32.202777777777776</v>
      </c>
      <c r="BS172" s="1">
        <f t="shared" si="88"/>
        <v>32.711111111111109</v>
      </c>
      <c r="BT172" s="1">
        <f t="shared" si="88"/>
        <v>33.219444444444441</v>
      </c>
      <c r="BU172" s="1">
        <f t="shared" si="88"/>
        <v>33.727777777777774</v>
      </c>
      <c r="BV172" s="1">
        <f t="shared" si="88"/>
        <v>33.727777777777774</v>
      </c>
      <c r="BW172" s="1">
        <f t="shared" si="88"/>
        <v>34.233333333333334</v>
      </c>
      <c r="BX172" s="1">
        <f t="shared" si="88"/>
        <v>34.741666666666667</v>
      </c>
      <c r="BY172" s="1">
        <f t="shared" si="88"/>
        <v>35.24722222222222</v>
      </c>
      <c r="BZ172" s="1">
        <f t="shared" si="88"/>
        <v>35.755555555555553</v>
      </c>
      <c r="CA172" s="1">
        <f t="shared" si="88"/>
        <v>36.261111111111113</v>
      </c>
      <c r="CB172" s="1">
        <f t="shared" si="88"/>
        <v>36.769444444444446</v>
      </c>
      <c r="CC172" s="1">
        <f t="shared" si="93"/>
        <v>37.277777777777779</v>
      </c>
      <c r="CD172" s="1">
        <f t="shared" si="89"/>
        <v>37.786111111111111</v>
      </c>
      <c r="CE172" s="1">
        <f t="shared" si="89"/>
        <v>38.291666666666664</v>
      </c>
      <c r="CF172" s="1">
        <f t="shared" si="89"/>
        <v>38.799999999999997</v>
      </c>
      <c r="CG172" s="1">
        <f t="shared" si="89"/>
        <v>39.305555555555557</v>
      </c>
      <c r="CH172" s="1">
        <f t="shared" si="89"/>
        <v>39.81388888888889</v>
      </c>
      <c r="CI172" s="1">
        <f t="shared" si="89"/>
        <v>40.319444444444443</v>
      </c>
      <c r="CJ172" s="1">
        <f t="shared" si="89"/>
        <v>40.827777777777776</v>
      </c>
      <c r="CK172" s="1">
        <f t="shared" si="89"/>
        <v>41.336111111111109</v>
      </c>
      <c r="CL172" s="1">
        <f t="shared" si="89"/>
        <v>41.844444444444441</v>
      </c>
      <c r="CM172" s="1">
        <f t="shared" si="89"/>
        <v>42.35</v>
      </c>
      <c r="CN172" s="1">
        <f t="shared" si="89"/>
        <v>42.858333333333334</v>
      </c>
      <c r="CO172" s="1">
        <f t="shared" si="89"/>
        <v>43.363888888888887</v>
      </c>
      <c r="CP172" s="1">
        <f t="shared" si="89"/>
        <v>43.87222222222222</v>
      </c>
      <c r="CQ172" s="1">
        <f t="shared" si="89"/>
        <v>44.37777777777778</v>
      </c>
      <c r="CR172" s="1">
        <f t="shared" si="89"/>
        <v>44.886111111111113</v>
      </c>
      <c r="CS172" s="1">
        <f t="shared" si="89"/>
        <v>45.394444444444446</v>
      </c>
      <c r="CT172" s="1">
        <f t="shared" si="94"/>
        <v>45.902777777777779</v>
      </c>
      <c r="CU172" s="1">
        <f t="shared" si="86"/>
        <v>46.408333333333331</v>
      </c>
      <c r="CV172" s="1">
        <f t="shared" si="86"/>
        <v>46.916666666666664</v>
      </c>
      <c r="CW172" s="1">
        <f t="shared" si="86"/>
        <v>47.422222222222224</v>
      </c>
      <c r="CX172" s="1">
        <f t="shared" si="86"/>
        <v>47.930555555555557</v>
      </c>
      <c r="CY172" s="1">
        <f t="shared" si="86"/>
        <v>48.43611111111111</v>
      </c>
      <c r="CZ172" s="1">
        <f t="shared" si="86"/>
        <v>48.944444444444443</v>
      </c>
      <c r="DA172" s="1">
        <f t="shared" si="86"/>
        <v>49.452777777777776</v>
      </c>
      <c r="DB172" s="1">
        <f t="shared" si="86"/>
        <v>49.961111111111109</v>
      </c>
      <c r="DC172" s="1">
        <f t="shared" si="86"/>
        <v>49.961111111111109</v>
      </c>
    </row>
    <row r="173" spans="1:107" x14ac:dyDescent="0.25">
      <c r="A173">
        <f t="shared" si="74"/>
        <v>3</v>
      </c>
      <c r="B173" s="2">
        <f>yields_BRUTE!B173</f>
        <v>42255</v>
      </c>
      <c r="C173" s="1">
        <f t="shared" si="95"/>
        <v>-0.53055555555555556</v>
      </c>
      <c r="D173" s="1">
        <f t="shared" si="95"/>
        <v>-0.49166666666666664</v>
      </c>
      <c r="E173" s="1">
        <f t="shared" si="95"/>
        <v>-0.27500000000000002</v>
      </c>
      <c r="F173" s="1">
        <f t="shared" si="95"/>
        <v>-1.9444444444444445E-2</v>
      </c>
      <c r="G173" s="1">
        <f t="shared" si="95"/>
        <v>1.9444444444444445E-2</v>
      </c>
      <c r="H173" s="1">
        <f t="shared" si="95"/>
        <v>0.23333333333333334</v>
      </c>
      <c r="I173" s="1">
        <f t="shared" si="95"/>
        <v>0.23333333333333334</v>
      </c>
      <c r="J173" s="1">
        <f t="shared" si="95"/>
        <v>0.4861111111111111</v>
      </c>
      <c r="K173" s="1">
        <f t="shared" si="95"/>
        <v>0.52500000000000002</v>
      </c>
      <c r="L173" s="1">
        <f t="shared" si="95"/>
        <v>0.7416666666666667</v>
      </c>
      <c r="M173" s="1">
        <f t="shared" si="95"/>
        <v>0.99722222222222223</v>
      </c>
      <c r="N173" s="1">
        <f t="shared" si="95"/>
        <v>0.99722222222222223</v>
      </c>
      <c r="O173" s="1">
        <f t="shared" si="95"/>
        <v>1.0361111111111112</v>
      </c>
      <c r="P173" s="1">
        <f t="shared" si="95"/>
        <v>1.25</v>
      </c>
      <c r="Q173" s="1">
        <f t="shared" si="95"/>
        <v>1.538888888888889</v>
      </c>
      <c r="R173" s="1">
        <f t="shared" si="90"/>
        <v>1.7555555555555555</v>
      </c>
      <c r="S173" s="1">
        <f t="shared" si="90"/>
        <v>2.0499999999999998</v>
      </c>
      <c r="T173" s="1">
        <f t="shared" si="90"/>
        <v>2.2638888888888888</v>
      </c>
      <c r="U173" s="1">
        <f t="shared" si="90"/>
        <v>2.5527777777777776</v>
      </c>
      <c r="V173" s="1">
        <f t="shared" si="90"/>
        <v>2.7694444444444444</v>
      </c>
      <c r="W173" s="1">
        <f t="shared" si="90"/>
        <v>3.0638888888888891</v>
      </c>
      <c r="X173" s="1">
        <f t="shared" si="90"/>
        <v>3.2777777777777777</v>
      </c>
      <c r="Y173" s="1">
        <f t="shared" si="90"/>
        <v>3.5666666666666669</v>
      </c>
      <c r="Z173" s="1">
        <f t="shared" si="90"/>
        <v>3.7833333333333332</v>
      </c>
      <c r="AA173" s="1">
        <f t="shared" si="90"/>
        <v>4.0777777777777775</v>
      </c>
      <c r="AB173" s="1">
        <f t="shared" si="90"/>
        <v>4.291666666666667</v>
      </c>
      <c r="AC173" s="1">
        <f t="shared" si="90"/>
        <v>4.583333333333333</v>
      </c>
      <c r="AD173" s="1">
        <f t="shared" si="90"/>
        <v>4.8</v>
      </c>
      <c r="AE173" s="1">
        <f t="shared" si="90"/>
        <v>4.8</v>
      </c>
      <c r="AF173" s="3">
        <f t="shared" si="90"/>
        <v>5.0944444444444441</v>
      </c>
      <c r="AG173" s="1">
        <f t="shared" si="90"/>
        <v>5.3083333333333336</v>
      </c>
      <c r="AH173" s="1">
        <f t="shared" si="91"/>
        <v>5.5972222222222223</v>
      </c>
      <c r="AI173" s="1">
        <f t="shared" si="87"/>
        <v>5.5972222222222223</v>
      </c>
      <c r="AJ173" s="1">
        <f t="shared" si="87"/>
        <v>5.8138888888888891</v>
      </c>
      <c r="AK173" s="1">
        <f t="shared" si="87"/>
        <v>5.8138888888888891</v>
      </c>
      <c r="AL173" s="1">
        <f t="shared" si="87"/>
        <v>6.322222222222222</v>
      </c>
      <c r="AM173" s="1">
        <f t="shared" si="87"/>
        <v>6.8277777777777775</v>
      </c>
      <c r="AN173" s="1">
        <f t="shared" si="87"/>
        <v>6.8277777777777775</v>
      </c>
      <c r="AO173" s="1">
        <f t="shared" si="87"/>
        <v>7.3361111111111112</v>
      </c>
      <c r="AP173" s="1">
        <f t="shared" si="87"/>
        <v>7.8416666666666668</v>
      </c>
      <c r="AQ173" s="1">
        <f t="shared" si="87"/>
        <v>7.8416666666666668</v>
      </c>
      <c r="AR173" s="1">
        <f t="shared" si="87"/>
        <v>8.35</v>
      </c>
      <c r="AS173" s="1">
        <f t="shared" si="87"/>
        <v>8.8583333333333325</v>
      </c>
      <c r="AT173" s="1">
        <f t="shared" si="87"/>
        <v>9.3666666666666671</v>
      </c>
      <c r="AU173" s="1">
        <f t="shared" si="87"/>
        <v>9.8722222222222218</v>
      </c>
      <c r="AV173" s="1">
        <f t="shared" si="87"/>
        <v>9.8722222222222218</v>
      </c>
      <c r="AW173" s="1">
        <f t="shared" si="87"/>
        <v>14.438888888888888</v>
      </c>
      <c r="AX173" s="1">
        <f t="shared" si="87"/>
        <v>14.944444444444445</v>
      </c>
      <c r="AY173" s="1">
        <f t="shared" si="92"/>
        <v>15.452777777777778</v>
      </c>
      <c r="AZ173" s="1">
        <f t="shared" si="92"/>
        <v>15.958333333333334</v>
      </c>
      <c r="BA173" s="1">
        <f t="shared" si="92"/>
        <v>16.466666666666665</v>
      </c>
      <c r="BB173" s="1">
        <f t="shared" si="92"/>
        <v>16.975000000000001</v>
      </c>
      <c r="BC173" s="1">
        <f t="shared" si="92"/>
        <v>17.483333333333334</v>
      </c>
      <c r="BD173" s="1">
        <f t="shared" si="92"/>
        <v>17.988888888888887</v>
      </c>
      <c r="BE173" s="1">
        <f t="shared" si="92"/>
        <v>17.988888888888887</v>
      </c>
      <c r="BF173" s="1">
        <f t="shared" si="92"/>
        <v>26.613888888888887</v>
      </c>
      <c r="BG173" s="1">
        <f t="shared" si="92"/>
        <v>27.119444444444444</v>
      </c>
      <c r="BH173" s="1">
        <f t="shared" si="92"/>
        <v>27.627777777777776</v>
      </c>
      <c r="BI173" s="1">
        <f t="shared" si="92"/>
        <v>28.133333333333333</v>
      </c>
      <c r="BJ173" s="1">
        <f t="shared" si="92"/>
        <v>28.641666666666666</v>
      </c>
      <c r="BK173" s="1">
        <f t="shared" si="92"/>
        <v>29.15</v>
      </c>
      <c r="BL173" s="1">
        <f t="shared" si="92"/>
        <v>29.658333333333335</v>
      </c>
      <c r="BM173" s="1">
        <f t="shared" si="88"/>
        <v>30.163888888888888</v>
      </c>
      <c r="BN173" s="1">
        <f t="shared" si="88"/>
        <v>30.672222222222221</v>
      </c>
      <c r="BO173" s="1">
        <f t="shared" si="88"/>
        <v>30.672222222222221</v>
      </c>
      <c r="BP173" s="1">
        <f t="shared" si="88"/>
        <v>31.177777777777777</v>
      </c>
      <c r="BQ173" s="1">
        <f t="shared" si="88"/>
        <v>31.68611111111111</v>
      </c>
      <c r="BR173" s="1">
        <f t="shared" si="88"/>
        <v>32.19166666666667</v>
      </c>
      <c r="BS173" s="1">
        <f t="shared" si="88"/>
        <v>32.700000000000003</v>
      </c>
      <c r="BT173" s="1">
        <f t="shared" si="88"/>
        <v>33.208333333333336</v>
      </c>
      <c r="BU173" s="1">
        <f t="shared" si="88"/>
        <v>33.716666666666669</v>
      </c>
      <c r="BV173" s="1">
        <f t="shared" si="88"/>
        <v>33.716666666666669</v>
      </c>
      <c r="BW173" s="1">
        <f t="shared" si="88"/>
        <v>34.222222222222221</v>
      </c>
      <c r="BX173" s="1">
        <f t="shared" si="88"/>
        <v>34.730555555555554</v>
      </c>
      <c r="BY173" s="1">
        <f t="shared" si="88"/>
        <v>35.236111111111114</v>
      </c>
      <c r="BZ173" s="1">
        <f t="shared" si="88"/>
        <v>35.744444444444447</v>
      </c>
      <c r="CA173" s="1">
        <f t="shared" si="88"/>
        <v>36.25</v>
      </c>
      <c r="CB173" s="1">
        <f t="shared" si="88"/>
        <v>36.758333333333333</v>
      </c>
      <c r="CC173" s="1">
        <f t="shared" si="93"/>
        <v>37.266666666666666</v>
      </c>
      <c r="CD173" s="1">
        <f t="shared" si="89"/>
        <v>37.774999999999999</v>
      </c>
      <c r="CE173" s="1">
        <f t="shared" si="89"/>
        <v>38.280555555555559</v>
      </c>
      <c r="CF173" s="1">
        <f t="shared" si="89"/>
        <v>38.788888888888891</v>
      </c>
      <c r="CG173" s="1">
        <f t="shared" si="89"/>
        <v>39.294444444444444</v>
      </c>
      <c r="CH173" s="1">
        <f t="shared" si="89"/>
        <v>39.802777777777777</v>
      </c>
      <c r="CI173" s="1">
        <f t="shared" si="89"/>
        <v>40.30833333333333</v>
      </c>
      <c r="CJ173" s="1">
        <f t="shared" si="89"/>
        <v>40.81666666666667</v>
      </c>
      <c r="CK173" s="1">
        <f t="shared" si="89"/>
        <v>41.325000000000003</v>
      </c>
      <c r="CL173" s="1">
        <f t="shared" si="89"/>
        <v>41.833333333333336</v>
      </c>
      <c r="CM173" s="1">
        <f t="shared" si="89"/>
        <v>42.338888888888889</v>
      </c>
      <c r="CN173" s="1">
        <f t="shared" si="89"/>
        <v>42.847222222222221</v>
      </c>
      <c r="CO173" s="1">
        <f t="shared" si="89"/>
        <v>43.352777777777774</v>
      </c>
      <c r="CP173" s="1">
        <f t="shared" si="89"/>
        <v>43.861111111111114</v>
      </c>
      <c r="CQ173" s="1">
        <f t="shared" si="89"/>
        <v>44.366666666666667</v>
      </c>
      <c r="CR173" s="1">
        <f t="shared" si="89"/>
        <v>44.875</v>
      </c>
      <c r="CS173" s="1">
        <f t="shared" si="89"/>
        <v>45.383333333333333</v>
      </c>
      <c r="CT173" s="1">
        <f t="shared" si="94"/>
        <v>45.891666666666666</v>
      </c>
      <c r="CU173" s="1">
        <f t="shared" si="86"/>
        <v>46.397222222222226</v>
      </c>
      <c r="CV173" s="1">
        <f t="shared" si="86"/>
        <v>46.905555555555559</v>
      </c>
      <c r="CW173" s="1">
        <f t="shared" si="86"/>
        <v>47.411111111111111</v>
      </c>
      <c r="CX173" s="1">
        <f t="shared" si="86"/>
        <v>47.919444444444444</v>
      </c>
      <c r="CY173" s="1">
        <f t="shared" si="86"/>
        <v>48.424999999999997</v>
      </c>
      <c r="CZ173" s="1">
        <f t="shared" si="86"/>
        <v>48.93333333333333</v>
      </c>
      <c r="DA173" s="1">
        <f t="shared" si="86"/>
        <v>49.44166666666667</v>
      </c>
      <c r="DB173" s="1">
        <f t="shared" si="86"/>
        <v>49.95</v>
      </c>
      <c r="DC173" s="1">
        <f t="shared" si="86"/>
        <v>49.95</v>
      </c>
    </row>
    <row r="174" spans="1:107" x14ac:dyDescent="0.25">
      <c r="A174">
        <f t="shared" si="74"/>
        <v>4</v>
      </c>
      <c r="B174" s="2">
        <f>yields_BRUTE!B174</f>
        <v>42256</v>
      </c>
      <c r="C174" s="1">
        <f t="shared" si="95"/>
        <v>-0.53333333333333333</v>
      </c>
      <c r="D174" s="1">
        <f t="shared" si="95"/>
        <v>-0.49444444444444446</v>
      </c>
      <c r="E174" s="1">
        <f t="shared" si="95"/>
        <v>-0.27777777777777779</v>
      </c>
      <c r="F174" s="1">
        <f t="shared" si="95"/>
        <v>-2.2222222222222223E-2</v>
      </c>
      <c r="G174" s="1">
        <f t="shared" si="95"/>
        <v>1.6666666666666666E-2</v>
      </c>
      <c r="H174" s="1">
        <f t="shared" si="95"/>
        <v>0.23055555555555557</v>
      </c>
      <c r="I174" s="1">
        <f t="shared" si="95"/>
        <v>0.23055555555555557</v>
      </c>
      <c r="J174" s="1">
        <f t="shared" si="95"/>
        <v>0.48333333333333334</v>
      </c>
      <c r="K174" s="1">
        <f t="shared" si="95"/>
        <v>0.52222222222222225</v>
      </c>
      <c r="L174" s="1">
        <f t="shared" si="95"/>
        <v>0.73888888888888893</v>
      </c>
      <c r="M174" s="1">
        <f t="shared" si="95"/>
        <v>0.99444444444444446</v>
      </c>
      <c r="N174" s="1">
        <f t="shared" si="95"/>
        <v>0.99444444444444446</v>
      </c>
      <c r="O174" s="1">
        <f t="shared" si="95"/>
        <v>1.0333333333333334</v>
      </c>
      <c r="P174" s="1">
        <f t="shared" si="95"/>
        <v>1.2472222222222222</v>
      </c>
      <c r="Q174" s="1">
        <f t="shared" si="95"/>
        <v>1.5361111111111112</v>
      </c>
      <c r="R174" s="1">
        <f t="shared" si="90"/>
        <v>1.7527777777777778</v>
      </c>
      <c r="S174" s="1">
        <f t="shared" si="90"/>
        <v>2.0472222222222221</v>
      </c>
      <c r="T174" s="1">
        <f t="shared" si="90"/>
        <v>2.2611111111111111</v>
      </c>
      <c r="U174" s="1">
        <f t="shared" si="90"/>
        <v>2.5499999999999998</v>
      </c>
      <c r="V174" s="1">
        <f t="shared" si="90"/>
        <v>2.7666666666666666</v>
      </c>
      <c r="W174" s="1">
        <f t="shared" si="90"/>
        <v>3.0611111111111109</v>
      </c>
      <c r="X174" s="1">
        <f t="shared" si="90"/>
        <v>3.2749999999999999</v>
      </c>
      <c r="Y174" s="1">
        <f t="shared" si="90"/>
        <v>3.5638888888888891</v>
      </c>
      <c r="Z174" s="1">
        <f t="shared" si="90"/>
        <v>3.7805555555555554</v>
      </c>
      <c r="AA174" s="1">
        <f t="shared" si="90"/>
        <v>4.0750000000000002</v>
      </c>
      <c r="AB174" s="1">
        <f t="shared" si="90"/>
        <v>4.2888888888888888</v>
      </c>
      <c r="AC174" s="1">
        <f t="shared" si="90"/>
        <v>4.5805555555555557</v>
      </c>
      <c r="AD174" s="1">
        <f t="shared" si="90"/>
        <v>4.7972222222222225</v>
      </c>
      <c r="AE174" s="1">
        <f t="shared" si="90"/>
        <v>4.7972222222222225</v>
      </c>
      <c r="AF174" s="3">
        <f t="shared" si="90"/>
        <v>5.0916666666666668</v>
      </c>
      <c r="AG174" s="1">
        <f t="shared" si="90"/>
        <v>5.3055555555555554</v>
      </c>
      <c r="AH174" s="1">
        <f t="shared" si="91"/>
        <v>5.5944444444444441</v>
      </c>
      <c r="AI174" s="1">
        <f t="shared" si="87"/>
        <v>5.5944444444444441</v>
      </c>
      <c r="AJ174" s="1">
        <f t="shared" si="87"/>
        <v>5.8111111111111109</v>
      </c>
      <c r="AK174" s="1">
        <f t="shared" si="87"/>
        <v>5.8111111111111109</v>
      </c>
      <c r="AL174" s="1">
        <f t="shared" si="87"/>
        <v>6.3194444444444446</v>
      </c>
      <c r="AM174" s="1">
        <f t="shared" si="87"/>
        <v>6.8250000000000002</v>
      </c>
      <c r="AN174" s="1">
        <f t="shared" si="87"/>
        <v>6.8250000000000002</v>
      </c>
      <c r="AO174" s="1">
        <f t="shared" si="87"/>
        <v>7.333333333333333</v>
      </c>
      <c r="AP174" s="1">
        <f t="shared" si="87"/>
        <v>7.8388888888888886</v>
      </c>
      <c r="AQ174" s="1">
        <f t="shared" si="87"/>
        <v>7.8388888888888886</v>
      </c>
      <c r="AR174" s="1">
        <f t="shared" si="87"/>
        <v>8.3472222222222214</v>
      </c>
      <c r="AS174" s="1">
        <f t="shared" si="87"/>
        <v>8.8555555555555561</v>
      </c>
      <c r="AT174" s="1">
        <f t="shared" si="87"/>
        <v>9.3638888888888889</v>
      </c>
      <c r="AU174" s="1">
        <f t="shared" si="87"/>
        <v>9.8694444444444436</v>
      </c>
      <c r="AV174" s="1">
        <f t="shared" si="87"/>
        <v>9.8694444444444436</v>
      </c>
      <c r="AW174" s="1">
        <f t="shared" si="87"/>
        <v>14.436111111111112</v>
      </c>
      <c r="AX174" s="1">
        <f t="shared" si="87"/>
        <v>14.941666666666666</v>
      </c>
      <c r="AY174" s="1">
        <f t="shared" si="92"/>
        <v>15.45</v>
      </c>
      <c r="AZ174" s="1">
        <f t="shared" si="92"/>
        <v>15.955555555555556</v>
      </c>
      <c r="BA174" s="1">
        <f t="shared" si="92"/>
        <v>16.463888888888889</v>
      </c>
      <c r="BB174" s="1">
        <f t="shared" si="92"/>
        <v>16.972222222222221</v>
      </c>
      <c r="BC174" s="1">
        <f t="shared" si="92"/>
        <v>17.480555555555554</v>
      </c>
      <c r="BD174" s="1">
        <f t="shared" si="92"/>
        <v>17.986111111111111</v>
      </c>
      <c r="BE174" s="1">
        <f t="shared" si="92"/>
        <v>17.986111111111111</v>
      </c>
      <c r="BF174" s="1">
        <f t="shared" si="92"/>
        <v>26.611111111111111</v>
      </c>
      <c r="BG174" s="1">
        <f t="shared" si="92"/>
        <v>27.116666666666667</v>
      </c>
      <c r="BH174" s="1">
        <f t="shared" si="92"/>
        <v>27.625</v>
      </c>
      <c r="BI174" s="1">
        <f t="shared" si="92"/>
        <v>28.130555555555556</v>
      </c>
      <c r="BJ174" s="1">
        <f t="shared" si="92"/>
        <v>28.638888888888889</v>
      </c>
      <c r="BK174" s="1">
        <f t="shared" si="92"/>
        <v>29.147222222222222</v>
      </c>
      <c r="BL174" s="1">
        <f t="shared" si="92"/>
        <v>29.655555555555555</v>
      </c>
      <c r="BM174" s="1">
        <f t="shared" si="88"/>
        <v>30.161111111111111</v>
      </c>
      <c r="BN174" s="1">
        <f t="shared" si="88"/>
        <v>30.669444444444444</v>
      </c>
      <c r="BO174" s="1">
        <f t="shared" si="88"/>
        <v>30.669444444444444</v>
      </c>
      <c r="BP174" s="1">
        <f t="shared" si="88"/>
        <v>31.175000000000001</v>
      </c>
      <c r="BQ174" s="1">
        <f t="shared" si="88"/>
        <v>31.683333333333334</v>
      </c>
      <c r="BR174" s="1">
        <f t="shared" si="88"/>
        <v>32.18888888888889</v>
      </c>
      <c r="BS174" s="1">
        <f t="shared" si="88"/>
        <v>32.697222222222223</v>
      </c>
      <c r="BT174" s="1">
        <f t="shared" si="88"/>
        <v>33.205555555555556</v>
      </c>
      <c r="BU174" s="1">
        <f t="shared" si="88"/>
        <v>33.713888888888889</v>
      </c>
      <c r="BV174" s="1">
        <f t="shared" si="88"/>
        <v>33.713888888888889</v>
      </c>
      <c r="BW174" s="1">
        <f t="shared" si="88"/>
        <v>34.219444444444441</v>
      </c>
      <c r="BX174" s="1">
        <f t="shared" si="88"/>
        <v>34.727777777777774</v>
      </c>
      <c r="BY174" s="1">
        <f t="shared" si="88"/>
        <v>35.233333333333334</v>
      </c>
      <c r="BZ174" s="1">
        <f t="shared" si="88"/>
        <v>35.741666666666667</v>
      </c>
      <c r="CA174" s="1">
        <f t="shared" si="88"/>
        <v>36.24722222222222</v>
      </c>
      <c r="CB174" s="1">
        <f t="shared" si="88"/>
        <v>36.755555555555553</v>
      </c>
      <c r="CC174" s="1">
        <f t="shared" si="93"/>
        <v>37.263888888888886</v>
      </c>
      <c r="CD174" s="1">
        <f t="shared" si="89"/>
        <v>37.772222222222226</v>
      </c>
      <c r="CE174" s="1">
        <f t="shared" si="89"/>
        <v>38.277777777777779</v>
      </c>
      <c r="CF174" s="1">
        <f t="shared" si="89"/>
        <v>38.786111111111111</v>
      </c>
      <c r="CG174" s="1">
        <f t="shared" si="89"/>
        <v>39.291666666666664</v>
      </c>
      <c r="CH174" s="1">
        <f t="shared" si="89"/>
        <v>39.799999999999997</v>
      </c>
      <c r="CI174" s="1">
        <f t="shared" si="89"/>
        <v>40.305555555555557</v>
      </c>
      <c r="CJ174" s="1">
        <f t="shared" si="89"/>
        <v>40.81388888888889</v>
      </c>
      <c r="CK174" s="1">
        <f t="shared" si="89"/>
        <v>41.322222222222223</v>
      </c>
      <c r="CL174" s="1">
        <f t="shared" si="89"/>
        <v>41.830555555555556</v>
      </c>
      <c r="CM174" s="1">
        <f t="shared" si="89"/>
        <v>42.336111111111109</v>
      </c>
      <c r="CN174" s="1">
        <f t="shared" si="89"/>
        <v>42.844444444444441</v>
      </c>
      <c r="CO174" s="1">
        <f t="shared" si="89"/>
        <v>43.35</v>
      </c>
      <c r="CP174" s="1">
        <f t="shared" si="89"/>
        <v>43.858333333333334</v>
      </c>
      <c r="CQ174" s="1">
        <f t="shared" si="89"/>
        <v>44.363888888888887</v>
      </c>
      <c r="CR174" s="1">
        <f t="shared" si="89"/>
        <v>44.87222222222222</v>
      </c>
      <c r="CS174" s="1">
        <f t="shared" si="89"/>
        <v>45.380555555555553</v>
      </c>
      <c r="CT174" s="1">
        <f t="shared" si="94"/>
        <v>45.888888888888886</v>
      </c>
      <c r="CU174" s="1">
        <f t="shared" si="86"/>
        <v>46.394444444444446</v>
      </c>
      <c r="CV174" s="1">
        <f t="shared" si="86"/>
        <v>46.902777777777779</v>
      </c>
      <c r="CW174" s="1">
        <f t="shared" si="86"/>
        <v>47.408333333333331</v>
      </c>
      <c r="CX174" s="1">
        <f t="shared" si="86"/>
        <v>47.916666666666664</v>
      </c>
      <c r="CY174" s="1">
        <f t="shared" si="86"/>
        <v>48.422222222222224</v>
      </c>
      <c r="CZ174" s="1">
        <f t="shared" si="86"/>
        <v>48.930555555555557</v>
      </c>
      <c r="DA174" s="1">
        <f t="shared" si="86"/>
        <v>49.43888888888889</v>
      </c>
      <c r="DB174" s="1">
        <f t="shared" si="86"/>
        <v>49.947222222222223</v>
      </c>
      <c r="DC174" s="1">
        <f t="shared" si="86"/>
        <v>49.947222222222223</v>
      </c>
    </row>
    <row r="175" spans="1:107" x14ac:dyDescent="0.25">
      <c r="A175">
        <f t="shared" si="74"/>
        <v>5</v>
      </c>
      <c r="B175" s="2">
        <f>yields_BRUTE!B175</f>
        <v>42257</v>
      </c>
      <c r="C175" s="1">
        <f t="shared" si="95"/>
        <v>-0.53611111111111109</v>
      </c>
      <c r="D175" s="1">
        <f t="shared" si="95"/>
        <v>-0.49722222222222223</v>
      </c>
      <c r="E175" s="1">
        <f t="shared" si="95"/>
        <v>-0.28055555555555556</v>
      </c>
      <c r="F175" s="1">
        <f t="shared" si="95"/>
        <v>-2.5000000000000001E-2</v>
      </c>
      <c r="G175" s="1">
        <f t="shared" si="95"/>
        <v>1.3888888888888888E-2</v>
      </c>
      <c r="H175" s="1">
        <f t="shared" si="95"/>
        <v>0.22777777777777777</v>
      </c>
      <c r="I175" s="1">
        <f t="shared" si="95"/>
        <v>0.22777777777777777</v>
      </c>
      <c r="J175" s="1">
        <f t="shared" si="95"/>
        <v>0.48055555555555557</v>
      </c>
      <c r="K175" s="1">
        <f t="shared" si="95"/>
        <v>0.51944444444444449</v>
      </c>
      <c r="L175" s="1">
        <f t="shared" si="95"/>
        <v>0.73611111111111116</v>
      </c>
      <c r="M175" s="1">
        <f t="shared" si="95"/>
        <v>0.9916666666666667</v>
      </c>
      <c r="N175" s="1">
        <f t="shared" si="95"/>
        <v>0.9916666666666667</v>
      </c>
      <c r="O175" s="1">
        <f t="shared" si="95"/>
        <v>1.0305555555555554</v>
      </c>
      <c r="P175" s="1">
        <f t="shared" si="95"/>
        <v>1.2444444444444445</v>
      </c>
      <c r="Q175" s="1">
        <f t="shared" si="95"/>
        <v>1.5333333333333334</v>
      </c>
      <c r="R175" s="1">
        <f t="shared" si="90"/>
        <v>1.75</v>
      </c>
      <c r="S175" s="1">
        <f t="shared" si="90"/>
        <v>2.0444444444444443</v>
      </c>
      <c r="T175" s="1">
        <f t="shared" si="90"/>
        <v>2.2583333333333333</v>
      </c>
      <c r="U175" s="1">
        <f t="shared" si="90"/>
        <v>2.5472222222222221</v>
      </c>
      <c r="V175" s="1">
        <f t="shared" si="90"/>
        <v>2.7638888888888888</v>
      </c>
      <c r="W175" s="1">
        <f t="shared" si="90"/>
        <v>3.0583333333333331</v>
      </c>
      <c r="X175" s="1">
        <f t="shared" si="90"/>
        <v>3.2722222222222221</v>
      </c>
      <c r="Y175" s="1">
        <f t="shared" si="90"/>
        <v>3.5611111111111109</v>
      </c>
      <c r="Z175" s="1">
        <f t="shared" si="90"/>
        <v>3.7777777777777777</v>
      </c>
      <c r="AA175" s="1">
        <f t="shared" si="90"/>
        <v>4.072222222222222</v>
      </c>
      <c r="AB175" s="1">
        <f t="shared" si="90"/>
        <v>4.2861111111111114</v>
      </c>
      <c r="AC175" s="1">
        <f t="shared" si="90"/>
        <v>4.5777777777777775</v>
      </c>
      <c r="AD175" s="1">
        <f t="shared" si="90"/>
        <v>4.7944444444444443</v>
      </c>
      <c r="AE175" s="1">
        <f t="shared" si="90"/>
        <v>4.7944444444444443</v>
      </c>
      <c r="AF175" s="3">
        <f t="shared" si="90"/>
        <v>5.0888888888888886</v>
      </c>
      <c r="AG175" s="1">
        <f t="shared" si="90"/>
        <v>5.302777777777778</v>
      </c>
      <c r="AH175" s="1">
        <f t="shared" si="91"/>
        <v>5.5916666666666668</v>
      </c>
      <c r="AI175" s="1">
        <f t="shared" si="87"/>
        <v>5.5916666666666668</v>
      </c>
      <c r="AJ175" s="1">
        <f t="shared" si="87"/>
        <v>5.8083333333333336</v>
      </c>
      <c r="AK175" s="1">
        <f t="shared" si="87"/>
        <v>5.8083333333333336</v>
      </c>
      <c r="AL175" s="1">
        <f t="shared" si="87"/>
        <v>6.3166666666666664</v>
      </c>
      <c r="AM175" s="1">
        <f t="shared" si="87"/>
        <v>6.822222222222222</v>
      </c>
      <c r="AN175" s="1">
        <f t="shared" si="87"/>
        <v>6.822222222222222</v>
      </c>
      <c r="AO175" s="1">
        <f t="shared" si="87"/>
        <v>7.3305555555555557</v>
      </c>
      <c r="AP175" s="1">
        <f t="shared" si="87"/>
        <v>7.8361111111111112</v>
      </c>
      <c r="AQ175" s="1">
        <f t="shared" si="87"/>
        <v>7.8361111111111112</v>
      </c>
      <c r="AR175" s="1">
        <f t="shared" si="87"/>
        <v>8.344444444444445</v>
      </c>
      <c r="AS175" s="1">
        <f t="shared" si="87"/>
        <v>8.8527777777777779</v>
      </c>
      <c r="AT175" s="1">
        <f t="shared" si="87"/>
        <v>9.3611111111111107</v>
      </c>
      <c r="AU175" s="1">
        <f t="shared" si="87"/>
        <v>9.8666666666666671</v>
      </c>
      <c r="AV175" s="1">
        <f t="shared" si="87"/>
        <v>9.8666666666666671</v>
      </c>
      <c r="AW175" s="1">
        <f t="shared" si="87"/>
        <v>14.433333333333334</v>
      </c>
      <c r="AX175" s="1">
        <f t="shared" si="87"/>
        <v>14.938888888888888</v>
      </c>
      <c r="AY175" s="1">
        <f t="shared" si="92"/>
        <v>15.447222222222223</v>
      </c>
      <c r="AZ175" s="1">
        <f t="shared" si="92"/>
        <v>15.952777777777778</v>
      </c>
      <c r="BA175" s="1">
        <f t="shared" si="92"/>
        <v>16.461111111111112</v>
      </c>
      <c r="BB175" s="1">
        <f t="shared" si="92"/>
        <v>16.969444444444445</v>
      </c>
      <c r="BC175" s="1">
        <f t="shared" si="92"/>
        <v>17.477777777777778</v>
      </c>
      <c r="BD175" s="1">
        <f t="shared" si="92"/>
        <v>17.983333333333334</v>
      </c>
      <c r="BE175" s="1">
        <f t="shared" si="92"/>
        <v>17.983333333333334</v>
      </c>
      <c r="BF175" s="1">
        <f t="shared" si="92"/>
        <v>26.608333333333334</v>
      </c>
      <c r="BG175" s="1">
        <f t="shared" si="92"/>
        <v>27.113888888888887</v>
      </c>
      <c r="BH175" s="1">
        <f t="shared" si="92"/>
        <v>27.622222222222224</v>
      </c>
      <c r="BI175" s="1">
        <f t="shared" si="92"/>
        <v>28.127777777777776</v>
      </c>
      <c r="BJ175" s="1">
        <f t="shared" si="92"/>
        <v>28.636111111111113</v>
      </c>
      <c r="BK175" s="1">
        <f t="shared" si="92"/>
        <v>29.144444444444446</v>
      </c>
      <c r="BL175" s="1">
        <f t="shared" si="92"/>
        <v>29.652777777777779</v>
      </c>
      <c r="BM175" s="1">
        <f t="shared" si="88"/>
        <v>30.158333333333335</v>
      </c>
      <c r="BN175" s="1">
        <f t="shared" si="88"/>
        <v>30.666666666666668</v>
      </c>
      <c r="BO175" s="1">
        <f t="shared" si="88"/>
        <v>30.666666666666668</v>
      </c>
      <c r="BP175" s="1">
        <f t="shared" si="88"/>
        <v>31.172222222222221</v>
      </c>
      <c r="BQ175" s="1">
        <f t="shared" si="88"/>
        <v>31.680555555555557</v>
      </c>
      <c r="BR175" s="1">
        <f t="shared" si="88"/>
        <v>32.18611111111111</v>
      </c>
      <c r="BS175" s="1">
        <f t="shared" si="88"/>
        <v>32.694444444444443</v>
      </c>
      <c r="BT175" s="1">
        <f t="shared" si="88"/>
        <v>33.202777777777776</v>
      </c>
      <c r="BU175" s="1">
        <f t="shared" si="88"/>
        <v>33.711111111111109</v>
      </c>
      <c r="BV175" s="1">
        <f t="shared" si="88"/>
        <v>33.711111111111109</v>
      </c>
      <c r="BW175" s="1">
        <f t="shared" si="88"/>
        <v>34.216666666666669</v>
      </c>
      <c r="BX175" s="1">
        <f t="shared" si="88"/>
        <v>34.725000000000001</v>
      </c>
      <c r="BY175" s="1">
        <f t="shared" si="88"/>
        <v>35.230555555555554</v>
      </c>
      <c r="BZ175" s="1">
        <f t="shared" si="88"/>
        <v>35.738888888888887</v>
      </c>
      <c r="CA175" s="1">
        <f t="shared" si="88"/>
        <v>36.244444444444447</v>
      </c>
      <c r="CB175" s="1">
        <f t="shared" si="88"/>
        <v>36.75277777777778</v>
      </c>
      <c r="CC175" s="1">
        <f t="shared" si="93"/>
        <v>37.261111111111113</v>
      </c>
      <c r="CD175" s="1">
        <f t="shared" si="89"/>
        <v>37.769444444444446</v>
      </c>
      <c r="CE175" s="1">
        <f t="shared" si="89"/>
        <v>38.274999999999999</v>
      </c>
      <c r="CF175" s="1">
        <f t="shared" si="89"/>
        <v>38.783333333333331</v>
      </c>
      <c r="CG175" s="1">
        <f t="shared" si="89"/>
        <v>39.288888888888891</v>
      </c>
      <c r="CH175" s="1">
        <f t="shared" si="89"/>
        <v>39.797222222222224</v>
      </c>
      <c r="CI175" s="1">
        <f t="shared" si="89"/>
        <v>40.302777777777777</v>
      </c>
      <c r="CJ175" s="1">
        <f t="shared" si="89"/>
        <v>40.81111111111111</v>
      </c>
      <c r="CK175" s="1">
        <f t="shared" si="89"/>
        <v>41.319444444444443</v>
      </c>
      <c r="CL175" s="1">
        <f t="shared" si="89"/>
        <v>41.827777777777776</v>
      </c>
      <c r="CM175" s="1">
        <f t="shared" si="89"/>
        <v>42.333333333333336</v>
      </c>
      <c r="CN175" s="1">
        <f t="shared" si="89"/>
        <v>42.841666666666669</v>
      </c>
      <c r="CO175" s="1">
        <f t="shared" si="89"/>
        <v>43.347222222222221</v>
      </c>
      <c r="CP175" s="1">
        <f t="shared" si="89"/>
        <v>43.855555555555554</v>
      </c>
      <c r="CQ175" s="1">
        <f t="shared" si="89"/>
        <v>44.361111111111114</v>
      </c>
      <c r="CR175" s="1">
        <f t="shared" si="89"/>
        <v>44.869444444444447</v>
      </c>
      <c r="CS175" s="1">
        <f t="shared" si="89"/>
        <v>45.37777777777778</v>
      </c>
      <c r="CT175" s="1">
        <f t="shared" si="94"/>
        <v>45.886111111111113</v>
      </c>
      <c r="CU175" s="1">
        <f t="shared" si="94"/>
        <v>46.391666666666666</v>
      </c>
      <c r="CV175" s="1">
        <f t="shared" si="94"/>
        <v>46.9</v>
      </c>
      <c r="CW175" s="1">
        <f t="shared" si="94"/>
        <v>47.405555555555559</v>
      </c>
      <c r="CX175" s="1">
        <f t="shared" si="94"/>
        <v>47.913888888888891</v>
      </c>
      <c r="CY175" s="1">
        <f t="shared" si="94"/>
        <v>48.419444444444444</v>
      </c>
      <c r="CZ175" s="1">
        <f t="shared" si="94"/>
        <v>48.927777777777777</v>
      </c>
      <c r="DA175" s="1">
        <f t="shared" si="94"/>
        <v>49.43611111111111</v>
      </c>
      <c r="DB175" s="1">
        <f t="shared" si="94"/>
        <v>49.944444444444443</v>
      </c>
      <c r="DC175" s="1">
        <f t="shared" si="94"/>
        <v>49.944444444444443</v>
      </c>
    </row>
    <row r="176" spans="1:107" x14ac:dyDescent="0.25">
      <c r="A176">
        <f t="shared" si="74"/>
        <v>6</v>
      </c>
      <c r="B176" s="2">
        <f>yields_BRUTE!B176</f>
        <v>42258</v>
      </c>
      <c r="C176" s="1">
        <f t="shared" si="95"/>
        <v>-0.53888888888888886</v>
      </c>
      <c r="D176" s="1">
        <f t="shared" si="95"/>
        <v>-0.5</v>
      </c>
      <c r="E176" s="1">
        <f t="shared" si="95"/>
        <v>-0.28333333333333333</v>
      </c>
      <c r="F176" s="1">
        <f t="shared" si="95"/>
        <v>-2.7777777777777776E-2</v>
      </c>
      <c r="G176" s="1">
        <f t="shared" si="95"/>
        <v>1.1111111111111112E-2</v>
      </c>
      <c r="H176" s="1">
        <f t="shared" si="95"/>
        <v>0.22500000000000001</v>
      </c>
      <c r="I176" s="1">
        <f t="shared" si="95"/>
        <v>0.22500000000000001</v>
      </c>
      <c r="J176" s="1">
        <f t="shared" si="95"/>
        <v>0.4777777777777778</v>
      </c>
      <c r="K176" s="1">
        <f t="shared" si="95"/>
        <v>0.51666666666666672</v>
      </c>
      <c r="L176" s="1">
        <f t="shared" si="95"/>
        <v>0.73333333333333328</v>
      </c>
      <c r="M176" s="1">
        <f t="shared" si="95"/>
        <v>0.98888888888888893</v>
      </c>
      <c r="N176" s="1">
        <f t="shared" si="95"/>
        <v>0.98888888888888893</v>
      </c>
      <c r="O176" s="1">
        <f t="shared" si="95"/>
        <v>1.0277777777777777</v>
      </c>
      <c r="P176" s="1">
        <f t="shared" si="95"/>
        <v>1.2416666666666667</v>
      </c>
      <c r="Q176" s="1">
        <f t="shared" si="95"/>
        <v>1.5305555555555554</v>
      </c>
      <c r="R176" s="1">
        <f t="shared" si="90"/>
        <v>1.7472222222222222</v>
      </c>
      <c r="S176" s="1">
        <f t="shared" si="90"/>
        <v>2.0416666666666665</v>
      </c>
      <c r="T176" s="1">
        <f t="shared" si="90"/>
        <v>2.2555555555555555</v>
      </c>
      <c r="U176" s="1">
        <f t="shared" si="90"/>
        <v>2.5444444444444443</v>
      </c>
      <c r="V176" s="1">
        <f t="shared" si="90"/>
        <v>2.7611111111111111</v>
      </c>
      <c r="W176" s="1">
        <f t="shared" si="90"/>
        <v>3.0555555555555554</v>
      </c>
      <c r="X176" s="1">
        <f t="shared" si="90"/>
        <v>3.2694444444444444</v>
      </c>
      <c r="Y176" s="1">
        <f t="shared" si="90"/>
        <v>3.5583333333333331</v>
      </c>
      <c r="Z176" s="1">
        <f t="shared" si="90"/>
        <v>3.7749999999999999</v>
      </c>
      <c r="AA176" s="1">
        <f t="shared" si="90"/>
        <v>4.0694444444444446</v>
      </c>
      <c r="AB176" s="1">
        <f t="shared" si="90"/>
        <v>4.2833333333333332</v>
      </c>
      <c r="AC176" s="1">
        <f t="shared" si="90"/>
        <v>4.5750000000000002</v>
      </c>
      <c r="AD176" s="1">
        <f t="shared" si="90"/>
        <v>4.791666666666667</v>
      </c>
      <c r="AE176" s="1">
        <f t="shared" si="90"/>
        <v>4.791666666666667</v>
      </c>
      <c r="AF176" s="3">
        <f t="shared" si="90"/>
        <v>5.0861111111111112</v>
      </c>
      <c r="AG176" s="1">
        <f t="shared" si="90"/>
        <v>5.3</v>
      </c>
      <c r="AH176" s="1">
        <f t="shared" si="91"/>
        <v>5.5888888888888886</v>
      </c>
      <c r="AI176" s="1">
        <f t="shared" si="87"/>
        <v>5.5888888888888886</v>
      </c>
      <c r="AJ176" s="1">
        <f t="shared" si="87"/>
        <v>5.8055555555555554</v>
      </c>
      <c r="AK176" s="1">
        <f t="shared" si="87"/>
        <v>5.8055555555555554</v>
      </c>
      <c r="AL176" s="1">
        <f t="shared" si="87"/>
        <v>6.3138888888888891</v>
      </c>
      <c r="AM176" s="1">
        <f t="shared" si="87"/>
        <v>6.8194444444444446</v>
      </c>
      <c r="AN176" s="1">
        <f t="shared" si="87"/>
        <v>6.8194444444444446</v>
      </c>
      <c r="AO176" s="1">
        <f t="shared" si="87"/>
        <v>7.3277777777777775</v>
      </c>
      <c r="AP176" s="1">
        <f t="shared" si="87"/>
        <v>7.833333333333333</v>
      </c>
      <c r="AQ176" s="1">
        <f t="shared" si="87"/>
        <v>7.833333333333333</v>
      </c>
      <c r="AR176" s="1">
        <f t="shared" si="87"/>
        <v>8.3416666666666668</v>
      </c>
      <c r="AS176" s="1">
        <f t="shared" si="87"/>
        <v>8.85</v>
      </c>
      <c r="AT176" s="1">
        <f t="shared" si="87"/>
        <v>9.3583333333333325</v>
      </c>
      <c r="AU176" s="1">
        <f t="shared" si="87"/>
        <v>9.8638888888888889</v>
      </c>
      <c r="AV176" s="1">
        <f t="shared" si="87"/>
        <v>9.8638888888888889</v>
      </c>
      <c r="AW176" s="1">
        <f t="shared" si="87"/>
        <v>14.430555555555555</v>
      </c>
      <c r="AX176" s="1">
        <f t="shared" si="87"/>
        <v>14.936111111111112</v>
      </c>
      <c r="AY176" s="1">
        <f t="shared" si="92"/>
        <v>15.444444444444445</v>
      </c>
      <c r="AZ176" s="1">
        <f t="shared" si="92"/>
        <v>15.95</v>
      </c>
      <c r="BA176" s="1">
        <f t="shared" si="92"/>
        <v>16.458333333333332</v>
      </c>
      <c r="BB176" s="1">
        <f t="shared" si="92"/>
        <v>16.966666666666665</v>
      </c>
      <c r="BC176" s="1">
        <f t="shared" si="92"/>
        <v>17.475000000000001</v>
      </c>
      <c r="BD176" s="1">
        <f t="shared" si="92"/>
        <v>17.980555555555554</v>
      </c>
      <c r="BE176" s="1">
        <f t="shared" si="92"/>
        <v>17.980555555555554</v>
      </c>
      <c r="BF176" s="1">
        <f t="shared" si="92"/>
        <v>26.605555555555554</v>
      </c>
      <c r="BG176" s="1">
        <f t="shared" si="92"/>
        <v>27.111111111111111</v>
      </c>
      <c r="BH176" s="1">
        <f t="shared" si="92"/>
        <v>27.619444444444444</v>
      </c>
      <c r="BI176" s="1">
        <f t="shared" si="92"/>
        <v>28.125</v>
      </c>
      <c r="BJ176" s="1">
        <f t="shared" si="92"/>
        <v>28.633333333333333</v>
      </c>
      <c r="BK176" s="1">
        <f t="shared" si="92"/>
        <v>29.141666666666666</v>
      </c>
      <c r="BL176" s="1">
        <f t="shared" si="92"/>
        <v>29.65</v>
      </c>
      <c r="BM176" s="1">
        <f t="shared" si="88"/>
        <v>30.155555555555555</v>
      </c>
      <c r="BN176" s="1">
        <f t="shared" si="88"/>
        <v>30.663888888888888</v>
      </c>
      <c r="BO176" s="1">
        <f t="shared" si="88"/>
        <v>30.663888888888888</v>
      </c>
      <c r="BP176" s="1">
        <f t="shared" si="88"/>
        <v>31.169444444444444</v>
      </c>
      <c r="BQ176" s="1">
        <f t="shared" si="88"/>
        <v>31.677777777777777</v>
      </c>
      <c r="BR176" s="1">
        <f t="shared" si="88"/>
        <v>32.18333333333333</v>
      </c>
      <c r="BS176" s="1">
        <f t="shared" si="88"/>
        <v>32.69166666666667</v>
      </c>
      <c r="BT176" s="1">
        <f t="shared" si="88"/>
        <v>33.200000000000003</v>
      </c>
      <c r="BU176" s="1">
        <f t="shared" si="88"/>
        <v>33.708333333333336</v>
      </c>
      <c r="BV176" s="1">
        <f t="shared" si="88"/>
        <v>33.708333333333336</v>
      </c>
      <c r="BW176" s="1">
        <f t="shared" si="88"/>
        <v>34.213888888888889</v>
      </c>
      <c r="BX176" s="1">
        <f t="shared" si="88"/>
        <v>34.722222222222221</v>
      </c>
      <c r="BY176" s="1">
        <f t="shared" si="88"/>
        <v>35.227777777777774</v>
      </c>
      <c r="BZ176" s="1">
        <f t="shared" si="88"/>
        <v>35.736111111111114</v>
      </c>
      <c r="CA176" s="1">
        <f t="shared" si="88"/>
        <v>36.241666666666667</v>
      </c>
      <c r="CB176" s="1">
        <f t="shared" si="88"/>
        <v>36.75</v>
      </c>
      <c r="CC176" s="1">
        <f t="shared" si="93"/>
        <v>37.258333333333333</v>
      </c>
      <c r="CD176" s="1">
        <f t="shared" si="89"/>
        <v>37.766666666666666</v>
      </c>
      <c r="CE176" s="1">
        <f t="shared" si="89"/>
        <v>38.272222222222226</v>
      </c>
      <c r="CF176" s="1">
        <f t="shared" si="89"/>
        <v>38.780555555555559</v>
      </c>
      <c r="CG176" s="1">
        <f t="shared" si="89"/>
        <v>39.286111111111111</v>
      </c>
      <c r="CH176" s="1">
        <f t="shared" si="89"/>
        <v>39.794444444444444</v>
      </c>
      <c r="CI176" s="1">
        <f t="shared" si="89"/>
        <v>40.299999999999997</v>
      </c>
      <c r="CJ176" s="1">
        <f t="shared" si="89"/>
        <v>40.80833333333333</v>
      </c>
      <c r="CK176" s="1">
        <f t="shared" si="89"/>
        <v>41.31666666666667</v>
      </c>
      <c r="CL176" s="1">
        <f t="shared" si="89"/>
        <v>41.825000000000003</v>
      </c>
      <c r="CM176" s="1">
        <f t="shared" si="89"/>
        <v>42.330555555555556</v>
      </c>
      <c r="CN176" s="1">
        <f t="shared" si="89"/>
        <v>42.838888888888889</v>
      </c>
      <c r="CO176" s="1">
        <f t="shared" si="89"/>
        <v>43.344444444444441</v>
      </c>
      <c r="CP176" s="1">
        <f t="shared" si="89"/>
        <v>43.852777777777774</v>
      </c>
      <c r="CQ176" s="1">
        <f t="shared" si="89"/>
        <v>44.358333333333334</v>
      </c>
      <c r="CR176" s="1">
        <f t="shared" si="89"/>
        <v>44.866666666666667</v>
      </c>
      <c r="CS176" s="1">
        <f t="shared" si="89"/>
        <v>45.375</v>
      </c>
      <c r="CT176" s="1">
        <f t="shared" si="94"/>
        <v>45.883333333333333</v>
      </c>
      <c r="CU176" s="1">
        <f t="shared" si="94"/>
        <v>46.388888888888886</v>
      </c>
      <c r="CV176" s="1">
        <f t="shared" si="94"/>
        <v>46.897222222222226</v>
      </c>
      <c r="CW176" s="1">
        <f t="shared" si="94"/>
        <v>47.402777777777779</v>
      </c>
      <c r="CX176" s="1">
        <f t="shared" si="94"/>
        <v>47.911111111111111</v>
      </c>
      <c r="CY176" s="1">
        <f t="shared" si="94"/>
        <v>48.416666666666664</v>
      </c>
      <c r="CZ176" s="1">
        <f t="shared" si="94"/>
        <v>48.924999999999997</v>
      </c>
      <c r="DA176" s="1">
        <f t="shared" si="94"/>
        <v>49.43333333333333</v>
      </c>
      <c r="DB176" s="1">
        <f t="shared" si="94"/>
        <v>49.94166666666667</v>
      </c>
      <c r="DC176" s="1">
        <f t="shared" si="94"/>
        <v>49.94166666666667</v>
      </c>
    </row>
    <row r="177" spans="1:107" x14ac:dyDescent="0.25">
      <c r="A177">
        <f t="shared" si="74"/>
        <v>2</v>
      </c>
      <c r="B177" s="2">
        <f>yields_BRUTE!B177</f>
        <v>42261</v>
      </c>
      <c r="C177" s="1">
        <f t="shared" si="95"/>
        <v>-0.54722222222222228</v>
      </c>
      <c r="D177" s="1">
        <f t="shared" si="95"/>
        <v>-0.5083333333333333</v>
      </c>
      <c r="E177" s="1">
        <f t="shared" si="95"/>
        <v>-0.29166666666666669</v>
      </c>
      <c r="F177" s="1">
        <f t="shared" si="95"/>
        <v>-3.6111111111111108E-2</v>
      </c>
      <c r="G177" s="1">
        <f t="shared" si="95"/>
        <v>2.7777777777777779E-3</v>
      </c>
      <c r="H177" s="1">
        <f t="shared" si="95"/>
        <v>0.21666666666666667</v>
      </c>
      <c r="I177" s="1">
        <f t="shared" si="95"/>
        <v>0.21666666666666667</v>
      </c>
      <c r="J177" s="1">
        <f t="shared" si="95"/>
        <v>0.46944444444444444</v>
      </c>
      <c r="K177" s="1">
        <f t="shared" si="95"/>
        <v>0.5083333333333333</v>
      </c>
      <c r="L177" s="1">
        <f t="shared" si="95"/>
        <v>0.72499999999999998</v>
      </c>
      <c r="M177" s="1">
        <f t="shared" si="95"/>
        <v>0.98055555555555551</v>
      </c>
      <c r="N177" s="1">
        <f t="shared" si="95"/>
        <v>0.98055555555555551</v>
      </c>
      <c r="O177" s="1">
        <f t="shared" si="95"/>
        <v>1.0194444444444444</v>
      </c>
      <c r="P177" s="1">
        <f t="shared" si="95"/>
        <v>1.2333333333333334</v>
      </c>
      <c r="Q177" s="1">
        <f t="shared" si="95"/>
        <v>1.5222222222222221</v>
      </c>
      <c r="R177" s="1">
        <f t="shared" si="90"/>
        <v>1.7388888888888889</v>
      </c>
      <c r="S177" s="1">
        <f t="shared" si="90"/>
        <v>2.0333333333333332</v>
      </c>
      <c r="T177" s="1">
        <f t="shared" si="90"/>
        <v>2.2472222222222222</v>
      </c>
      <c r="U177" s="1">
        <f t="shared" si="90"/>
        <v>2.536111111111111</v>
      </c>
      <c r="V177" s="1">
        <f t="shared" si="90"/>
        <v>2.7527777777777778</v>
      </c>
      <c r="W177" s="1">
        <f t="shared" si="90"/>
        <v>3.0472222222222221</v>
      </c>
      <c r="X177" s="1">
        <f t="shared" si="90"/>
        <v>3.2611111111111111</v>
      </c>
      <c r="Y177" s="1">
        <f t="shared" si="90"/>
        <v>3.55</v>
      </c>
      <c r="Z177" s="1">
        <f t="shared" si="90"/>
        <v>3.7666666666666666</v>
      </c>
      <c r="AA177" s="1">
        <f t="shared" si="90"/>
        <v>4.0611111111111109</v>
      </c>
      <c r="AB177" s="1">
        <f t="shared" si="90"/>
        <v>4.2750000000000004</v>
      </c>
      <c r="AC177" s="1">
        <f t="shared" si="90"/>
        <v>4.5666666666666664</v>
      </c>
      <c r="AD177" s="1">
        <f t="shared" si="90"/>
        <v>4.7833333333333332</v>
      </c>
      <c r="AE177" s="1">
        <f t="shared" si="90"/>
        <v>4.7833333333333332</v>
      </c>
      <c r="AF177" s="3">
        <f t="shared" si="90"/>
        <v>5.0777777777777775</v>
      </c>
      <c r="AG177" s="1">
        <f t="shared" ref="AG177:AV192" si="96">(AG$1-$B177)/360</f>
        <v>5.291666666666667</v>
      </c>
      <c r="AH177" s="1">
        <f t="shared" si="91"/>
        <v>5.5805555555555557</v>
      </c>
      <c r="AI177" s="1">
        <f t="shared" si="91"/>
        <v>5.5805555555555557</v>
      </c>
      <c r="AJ177" s="1">
        <f t="shared" si="91"/>
        <v>5.7972222222222225</v>
      </c>
      <c r="AK177" s="1">
        <f t="shared" si="91"/>
        <v>5.7972222222222225</v>
      </c>
      <c r="AL177" s="1">
        <f t="shared" si="91"/>
        <v>6.3055555555555554</v>
      </c>
      <c r="AM177" s="1">
        <f t="shared" si="91"/>
        <v>6.8111111111111109</v>
      </c>
      <c r="AN177" s="1">
        <f t="shared" si="91"/>
        <v>6.8111111111111109</v>
      </c>
      <c r="AO177" s="1">
        <f t="shared" si="91"/>
        <v>7.3194444444444446</v>
      </c>
      <c r="AP177" s="1">
        <f t="shared" si="91"/>
        <v>7.8250000000000002</v>
      </c>
      <c r="AQ177" s="1">
        <f t="shared" si="91"/>
        <v>7.8250000000000002</v>
      </c>
      <c r="AR177" s="1">
        <f t="shared" si="91"/>
        <v>8.3333333333333339</v>
      </c>
      <c r="AS177" s="1">
        <f t="shared" si="91"/>
        <v>8.8416666666666668</v>
      </c>
      <c r="AT177" s="1">
        <f t="shared" si="91"/>
        <v>9.35</v>
      </c>
      <c r="AU177" s="1">
        <f t="shared" si="91"/>
        <v>9.8555555555555561</v>
      </c>
      <c r="AV177" s="1">
        <f t="shared" si="91"/>
        <v>9.8555555555555561</v>
      </c>
      <c r="AW177" s="1">
        <f t="shared" si="91"/>
        <v>14.422222222222222</v>
      </c>
      <c r="AX177" s="1">
        <f t="shared" ref="AX177:BM192" si="97">(AX$1-$B177)/360</f>
        <v>14.927777777777777</v>
      </c>
      <c r="AY177" s="1">
        <f t="shared" si="92"/>
        <v>15.436111111111112</v>
      </c>
      <c r="AZ177" s="1">
        <f t="shared" si="92"/>
        <v>15.941666666666666</v>
      </c>
      <c r="BA177" s="1">
        <f t="shared" si="92"/>
        <v>16.45</v>
      </c>
      <c r="BB177" s="1">
        <f t="shared" si="92"/>
        <v>16.958333333333332</v>
      </c>
      <c r="BC177" s="1">
        <f t="shared" si="92"/>
        <v>17.466666666666665</v>
      </c>
      <c r="BD177" s="1">
        <f t="shared" si="92"/>
        <v>17.972222222222221</v>
      </c>
      <c r="BE177" s="1">
        <f t="shared" si="92"/>
        <v>17.972222222222221</v>
      </c>
      <c r="BF177" s="1">
        <f t="shared" si="92"/>
        <v>26.597222222222221</v>
      </c>
      <c r="BG177" s="1">
        <f t="shared" si="92"/>
        <v>27.102777777777778</v>
      </c>
      <c r="BH177" s="1">
        <f t="shared" si="92"/>
        <v>27.611111111111111</v>
      </c>
      <c r="BI177" s="1">
        <f t="shared" si="92"/>
        <v>28.116666666666667</v>
      </c>
      <c r="BJ177" s="1">
        <f t="shared" si="92"/>
        <v>28.625</v>
      </c>
      <c r="BK177" s="1">
        <f t="shared" si="92"/>
        <v>29.133333333333333</v>
      </c>
      <c r="BL177" s="1">
        <f t="shared" si="92"/>
        <v>29.641666666666666</v>
      </c>
      <c r="BM177" s="1">
        <f t="shared" si="92"/>
        <v>30.147222222222222</v>
      </c>
      <c r="BN177" s="1">
        <f t="shared" si="92"/>
        <v>30.655555555555555</v>
      </c>
      <c r="BO177" s="1">
        <f t="shared" ref="BO177:CD192" si="98">(BO$1-$B177)/360</f>
        <v>30.655555555555555</v>
      </c>
      <c r="BP177" s="1">
        <f t="shared" si="98"/>
        <v>31.161111111111111</v>
      </c>
      <c r="BQ177" s="1">
        <f t="shared" si="98"/>
        <v>31.669444444444444</v>
      </c>
      <c r="BR177" s="1">
        <f t="shared" si="98"/>
        <v>32.174999999999997</v>
      </c>
      <c r="BS177" s="1">
        <f t="shared" si="98"/>
        <v>32.68333333333333</v>
      </c>
      <c r="BT177" s="1">
        <f t="shared" si="98"/>
        <v>33.19166666666667</v>
      </c>
      <c r="BU177" s="1">
        <f t="shared" si="98"/>
        <v>33.700000000000003</v>
      </c>
      <c r="BV177" s="1">
        <f t="shared" si="98"/>
        <v>33.700000000000003</v>
      </c>
      <c r="BW177" s="1">
        <f t="shared" si="98"/>
        <v>34.205555555555556</v>
      </c>
      <c r="BX177" s="1">
        <f t="shared" si="98"/>
        <v>34.713888888888889</v>
      </c>
      <c r="BY177" s="1">
        <f t="shared" si="98"/>
        <v>35.219444444444441</v>
      </c>
      <c r="BZ177" s="1">
        <f t="shared" si="98"/>
        <v>35.727777777777774</v>
      </c>
      <c r="CA177" s="1">
        <f t="shared" si="98"/>
        <v>36.233333333333334</v>
      </c>
      <c r="CB177" s="1">
        <f t="shared" si="98"/>
        <v>36.741666666666667</v>
      </c>
      <c r="CC177" s="1">
        <f t="shared" si="93"/>
        <v>37.25</v>
      </c>
      <c r="CD177" s="1">
        <f t="shared" si="93"/>
        <v>37.758333333333333</v>
      </c>
      <c r="CE177" s="1">
        <f t="shared" si="93"/>
        <v>38.263888888888886</v>
      </c>
      <c r="CF177" s="1">
        <f t="shared" si="93"/>
        <v>38.772222222222226</v>
      </c>
      <c r="CG177" s="1">
        <f t="shared" si="93"/>
        <v>39.277777777777779</v>
      </c>
      <c r="CH177" s="1">
        <f t="shared" si="93"/>
        <v>39.786111111111111</v>
      </c>
      <c r="CI177" s="1">
        <f t="shared" si="93"/>
        <v>40.291666666666664</v>
      </c>
      <c r="CJ177" s="1">
        <f t="shared" si="93"/>
        <v>40.799999999999997</v>
      </c>
      <c r="CK177" s="1">
        <f t="shared" si="93"/>
        <v>41.30833333333333</v>
      </c>
      <c r="CL177" s="1">
        <f t="shared" si="93"/>
        <v>41.81666666666667</v>
      </c>
      <c r="CM177" s="1">
        <f t="shared" si="93"/>
        <v>42.322222222222223</v>
      </c>
      <c r="CN177" s="1">
        <f t="shared" si="93"/>
        <v>42.830555555555556</v>
      </c>
      <c r="CO177" s="1">
        <f t="shared" si="93"/>
        <v>43.336111111111109</v>
      </c>
      <c r="CP177" s="1">
        <f t="shared" si="93"/>
        <v>43.844444444444441</v>
      </c>
      <c r="CQ177" s="1">
        <f t="shared" si="93"/>
        <v>44.35</v>
      </c>
      <c r="CR177" s="1">
        <f t="shared" si="93"/>
        <v>44.858333333333334</v>
      </c>
      <c r="CS177" s="1">
        <f t="shared" ref="CS177:DC192" si="99">(CS$1-$B177)/360</f>
        <v>45.366666666666667</v>
      </c>
      <c r="CT177" s="1">
        <f t="shared" si="94"/>
        <v>45.875</v>
      </c>
      <c r="CU177" s="1">
        <f t="shared" si="94"/>
        <v>46.380555555555553</v>
      </c>
      <c r="CV177" s="1">
        <f t="shared" si="94"/>
        <v>46.888888888888886</v>
      </c>
      <c r="CW177" s="1">
        <f t="shared" si="94"/>
        <v>47.394444444444446</v>
      </c>
      <c r="CX177" s="1">
        <f t="shared" si="94"/>
        <v>47.902777777777779</v>
      </c>
      <c r="CY177" s="1">
        <f t="shared" si="94"/>
        <v>48.408333333333331</v>
      </c>
      <c r="CZ177" s="1">
        <f t="shared" si="94"/>
        <v>48.916666666666664</v>
      </c>
      <c r="DA177" s="1">
        <f t="shared" si="94"/>
        <v>49.424999999999997</v>
      </c>
      <c r="DB177" s="1">
        <f t="shared" si="94"/>
        <v>49.93333333333333</v>
      </c>
      <c r="DC177" s="1">
        <f t="shared" si="94"/>
        <v>49.93333333333333</v>
      </c>
    </row>
    <row r="178" spans="1:107" x14ac:dyDescent="0.25">
      <c r="A178">
        <f t="shared" si="74"/>
        <v>3</v>
      </c>
      <c r="B178" s="2">
        <f>yields_BRUTE!B178</f>
        <v>42262</v>
      </c>
      <c r="C178" s="1">
        <f t="shared" si="95"/>
        <v>-0.55000000000000004</v>
      </c>
      <c r="D178" s="1">
        <f t="shared" si="95"/>
        <v>-0.51111111111111107</v>
      </c>
      <c r="E178" s="1">
        <f t="shared" si="95"/>
        <v>-0.29444444444444445</v>
      </c>
      <c r="F178" s="1">
        <f t="shared" si="95"/>
        <v>-3.888888888888889E-2</v>
      </c>
      <c r="G178" s="1">
        <f t="shared" si="95"/>
        <v>0</v>
      </c>
      <c r="H178" s="1">
        <f t="shared" si="95"/>
        <v>0.21388888888888888</v>
      </c>
      <c r="I178" s="1">
        <f t="shared" si="95"/>
        <v>0.21388888888888888</v>
      </c>
      <c r="J178" s="1">
        <f t="shared" si="95"/>
        <v>0.46666666666666667</v>
      </c>
      <c r="K178" s="1">
        <f t="shared" si="95"/>
        <v>0.50555555555555554</v>
      </c>
      <c r="L178" s="1">
        <f t="shared" si="95"/>
        <v>0.72222222222222221</v>
      </c>
      <c r="M178" s="1">
        <f t="shared" si="95"/>
        <v>0.97777777777777775</v>
      </c>
      <c r="N178" s="1">
        <f t="shared" si="95"/>
        <v>0.97777777777777775</v>
      </c>
      <c r="O178" s="1">
        <f t="shared" si="95"/>
        <v>1.0166666666666666</v>
      </c>
      <c r="P178" s="1">
        <f t="shared" si="95"/>
        <v>1.2305555555555556</v>
      </c>
      <c r="Q178" s="1">
        <f t="shared" si="95"/>
        <v>1.5194444444444444</v>
      </c>
      <c r="R178" s="1">
        <f t="shared" si="95"/>
        <v>1.7361111111111112</v>
      </c>
      <c r="S178" s="1">
        <f t="shared" ref="S178:AH193" si="100">(S$1-$B178)/360</f>
        <v>2.0305555555555554</v>
      </c>
      <c r="T178" s="1">
        <f t="shared" si="100"/>
        <v>2.2444444444444445</v>
      </c>
      <c r="U178" s="1">
        <f t="shared" si="100"/>
        <v>2.5333333333333332</v>
      </c>
      <c r="V178" s="1">
        <f t="shared" si="100"/>
        <v>2.75</v>
      </c>
      <c r="W178" s="1">
        <f t="shared" si="100"/>
        <v>3.0444444444444443</v>
      </c>
      <c r="X178" s="1">
        <f t="shared" si="100"/>
        <v>3.2583333333333333</v>
      </c>
      <c r="Y178" s="1">
        <f t="shared" si="100"/>
        <v>3.5472222222222221</v>
      </c>
      <c r="Z178" s="1">
        <f t="shared" si="100"/>
        <v>3.7638888888888888</v>
      </c>
      <c r="AA178" s="1">
        <f t="shared" si="100"/>
        <v>4.0583333333333336</v>
      </c>
      <c r="AB178" s="1">
        <f t="shared" si="100"/>
        <v>4.2722222222222221</v>
      </c>
      <c r="AC178" s="1">
        <f t="shared" si="100"/>
        <v>4.5638888888888891</v>
      </c>
      <c r="AD178" s="1">
        <f t="shared" si="100"/>
        <v>4.7805555555555559</v>
      </c>
      <c r="AE178" s="1">
        <f t="shared" si="100"/>
        <v>4.7805555555555559</v>
      </c>
      <c r="AF178" s="3">
        <f t="shared" si="100"/>
        <v>5.0750000000000002</v>
      </c>
      <c r="AG178" s="1">
        <f t="shared" si="96"/>
        <v>5.2888888888888888</v>
      </c>
      <c r="AH178" s="1">
        <f t="shared" si="96"/>
        <v>5.5777777777777775</v>
      </c>
      <c r="AI178" s="1">
        <f t="shared" si="96"/>
        <v>5.5777777777777775</v>
      </c>
      <c r="AJ178" s="1">
        <f t="shared" si="96"/>
        <v>5.7944444444444443</v>
      </c>
      <c r="AK178" s="1">
        <f t="shared" si="96"/>
        <v>5.7944444444444443</v>
      </c>
      <c r="AL178" s="1">
        <f t="shared" si="96"/>
        <v>6.302777777777778</v>
      </c>
      <c r="AM178" s="1">
        <f t="shared" si="96"/>
        <v>6.8083333333333336</v>
      </c>
      <c r="AN178" s="1">
        <f t="shared" si="96"/>
        <v>6.8083333333333336</v>
      </c>
      <c r="AO178" s="1">
        <f t="shared" si="96"/>
        <v>7.3166666666666664</v>
      </c>
      <c r="AP178" s="1">
        <f t="shared" si="96"/>
        <v>7.822222222222222</v>
      </c>
      <c r="AQ178" s="1">
        <f t="shared" si="96"/>
        <v>7.822222222222222</v>
      </c>
      <c r="AR178" s="1">
        <f t="shared" si="96"/>
        <v>8.3305555555555557</v>
      </c>
      <c r="AS178" s="1">
        <f t="shared" si="96"/>
        <v>8.8388888888888886</v>
      </c>
      <c r="AT178" s="1">
        <f t="shared" si="96"/>
        <v>9.3472222222222214</v>
      </c>
      <c r="AU178" s="1">
        <f t="shared" si="96"/>
        <v>9.8527777777777779</v>
      </c>
      <c r="AV178" s="1">
        <f t="shared" si="96"/>
        <v>9.8527777777777779</v>
      </c>
      <c r="AW178" s="1">
        <f t="shared" ref="AW178:BL193" si="101">(AW$1-$B178)/360</f>
        <v>14.419444444444444</v>
      </c>
      <c r="AX178" s="1">
        <f t="shared" si="97"/>
        <v>14.925000000000001</v>
      </c>
      <c r="AY178" s="1">
        <f t="shared" si="97"/>
        <v>15.433333333333334</v>
      </c>
      <c r="AZ178" s="1">
        <f t="shared" si="97"/>
        <v>15.938888888888888</v>
      </c>
      <c r="BA178" s="1">
        <f t="shared" si="97"/>
        <v>16.447222222222223</v>
      </c>
      <c r="BB178" s="1">
        <f t="shared" si="97"/>
        <v>16.955555555555556</v>
      </c>
      <c r="BC178" s="1">
        <f t="shared" si="97"/>
        <v>17.463888888888889</v>
      </c>
      <c r="BD178" s="1">
        <f t="shared" si="97"/>
        <v>17.969444444444445</v>
      </c>
      <c r="BE178" s="1">
        <f t="shared" si="97"/>
        <v>17.969444444444445</v>
      </c>
      <c r="BF178" s="1">
        <f t="shared" si="97"/>
        <v>26.594444444444445</v>
      </c>
      <c r="BG178" s="1">
        <f t="shared" si="97"/>
        <v>27.1</v>
      </c>
      <c r="BH178" s="1">
        <f t="shared" si="97"/>
        <v>27.608333333333334</v>
      </c>
      <c r="BI178" s="1">
        <f t="shared" si="97"/>
        <v>28.113888888888887</v>
      </c>
      <c r="BJ178" s="1">
        <f t="shared" si="97"/>
        <v>28.622222222222224</v>
      </c>
      <c r="BK178" s="1">
        <f t="shared" si="97"/>
        <v>29.130555555555556</v>
      </c>
      <c r="BL178" s="1">
        <f t="shared" si="97"/>
        <v>29.638888888888889</v>
      </c>
      <c r="BM178" s="1">
        <f t="shared" si="97"/>
        <v>30.144444444444446</v>
      </c>
      <c r="BN178" s="1">
        <f t="shared" ref="BN178:CC193" si="102">(BN$1-$B178)/360</f>
        <v>30.652777777777779</v>
      </c>
      <c r="BO178" s="1">
        <f t="shared" si="98"/>
        <v>30.652777777777779</v>
      </c>
      <c r="BP178" s="1">
        <f t="shared" si="98"/>
        <v>31.158333333333335</v>
      </c>
      <c r="BQ178" s="1">
        <f t="shared" si="98"/>
        <v>31.666666666666668</v>
      </c>
      <c r="BR178" s="1">
        <f t="shared" si="98"/>
        <v>32.172222222222224</v>
      </c>
      <c r="BS178" s="1">
        <f t="shared" si="98"/>
        <v>32.680555555555557</v>
      </c>
      <c r="BT178" s="1">
        <f t="shared" si="98"/>
        <v>33.18888888888889</v>
      </c>
      <c r="BU178" s="1">
        <f t="shared" si="98"/>
        <v>33.697222222222223</v>
      </c>
      <c r="BV178" s="1">
        <f t="shared" si="98"/>
        <v>33.697222222222223</v>
      </c>
      <c r="BW178" s="1">
        <f t="shared" si="98"/>
        <v>34.202777777777776</v>
      </c>
      <c r="BX178" s="1">
        <f t="shared" si="98"/>
        <v>34.711111111111109</v>
      </c>
      <c r="BY178" s="1">
        <f t="shared" si="98"/>
        <v>35.216666666666669</v>
      </c>
      <c r="BZ178" s="1">
        <f t="shared" si="98"/>
        <v>35.725000000000001</v>
      </c>
      <c r="CA178" s="1">
        <f t="shared" si="98"/>
        <v>36.230555555555554</v>
      </c>
      <c r="CB178" s="1">
        <f t="shared" si="98"/>
        <v>36.738888888888887</v>
      </c>
      <c r="CC178" s="1">
        <f t="shared" si="98"/>
        <v>37.24722222222222</v>
      </c>
      <c r="CD178" s="1">
        <f t="shared" si="98"/>
        <v>37.755555555555553</v>
      </c>
      <c r="CE178" s="1">
        <f t="shared" ref="CE178:CT193" si="103">(CE$1-$B178)/360</f>
        <v>38.261111111111113</v>
      </c>
      <c r="CF178" s="1">
        <f t="shared" si="103"/>
        <v>38.769444444444446</v>
      </c>
      <c r="CG178" s="1">
        <f t="shared" si="103"/>
        <v>39.274999999999999</v>
      </c>
      <c r="CH178" s="1">
        <f t="shared" si="103"/>
        <v>39.783333333333331</v>
      </c>
      <c r="CI178" s="1">
        <f t="shared" si="103"/>
        <v>40.288888888888891</v>
      </c>
      <c r="CJ178" s="1">
        <f t="shared" si="103"/>
        <v>40.797222222222224</v>
      </c>
      <c r="CK178" s="1">
        <f t="shared" si="103"/>
        <v>41.305555555555557</v>
      </c>
      <c r="CL178" s="1">
        <f t="shared" si="103"/>
        <v>41.81388888888889</v>
      </c>
      <c r="CM178" s="1">
        <f t="shared" si="103"/>
        <v>42.319444444444443</v>
      </c>
      <c r="CN178" s="1">
        <f t="shared" si="103"/>
        <v>42.827777777777776</v>
      </c>
      <c r="CO178" s="1">
        <f t="shared" si="103"/>
        <v>43.333333333333336</v>
      </c>
      <c r="CP178" s="1">
        <f t="shared" si="103"/>
        <v>43.841666666666669</v>
      </c>
      <c r="CQ178" s="1">
        <f t="shared" si="103"/>
        <v>44.347222222222221</v>
      </c>
      <c r="CR178" s="1">
        <f t="shared" si="103"/>
        <v>44.855555555555554</v>
      </c>
      <c r="CS178" s="1">
        <f t="shared" si="99"/>
        <v>45.363888888888887</v>
      </c>
      <c r="CT178" s="1">
        <f t="shared" si="99"/>
        <v>45.87222222222222</v>
      </c>
      <c r="CU178" s="1">
        <f t="shared" si="99"/>
        <v>46.37777777777778</v>
      </c>
      <c r="CV178" s="1">
        <f t="shared" si="99"/>
        <v>46.886111111111113</v>
      </c>
      <c r="CW178" s="1">
        <f t="shared" si="99"/>
        <v>47.391666666666666</v>
      </c>
      <c r="CX178" s="1">
        <f t="shared" si="99"/>
        <v>47.9</v>
      </c>
      <c r="CY178" s="1">
        <f t="shared" si="99"/>
        <v>48.405555555555559</v>
      </c>
      <c r="CZ178" s="1">
        <f t="shared" si="99"/>
        <v>48.913888888888891</v>
      </c>
      <c r="DA178" s="1">
        <f t="shared" si="99"/>
        <v>49.422222222222224</v>
      </c>
      <c r="DB178" s="1">
        <f t="shared" si="99"/>
        <v>49.930555555555557</v>
      </c>
      <c r="DC178" s="1">
        <f t="shared" si="99"/>
        <v>49.930555555555557</v>
      </c>
    </row>
    <row r="179" spans="1:107" x14ac:dyDescent="0.25">
      <c r="A179">
        <f t="shared" si="74"/>
        <v>4</v>
      </c>
      <c r="B179" s="2">
        <f>yields_BRUTE!B179</f>
        <v>42263</v>
      </c>
      <c r="C179" s="1">
        <f t="shared" ref="C179:R194" si="104">(C$1-$B179)/360</f>
        <v>-0.55277777777777781</v>
      </c>
      <c r="D179" s="1">
        <f t="shared" si="104"/>
        <v>-0.51388888888888884</v>
      </c>
      <c r="E179" s="1">
        <f t="shared" si="104"/>
        <v>-0.29722222222222222</v>
      </c>
      <c r="F179" s="1">
        <f t="shared" si="104"/>
        <v>-4.1666666666666664E-2</v>
      </c>
      <c r="G179" s="1">
        <f t="shared" si="104"/>
        <v>-2.7777777777777779E-3</v>
      </c>
      <c r="H179" s="1">
        <f t="shared" si="104"/>
        <v>0.21111111111111111</v>
      </c>
      <c r="I179" s="1">
        <f t="shared" si="104"/>
        <v>0.21111111111111111</v>
      </c>
      <c r="J179" s="1">
        <f t="shared" si="104"/>
        <v>0.46388888888888891</v>
      </c>
      <c r="K179" s="1">
        <f t="shared" si="104"/>
        <v>0.50277777777777777</v>
      </c>
      <c r="L179" s="1">
        <f t="shared" si="104"/>
        <v>0.71944444444444444</v>
      </c>
      <c r="M179" s="1">
        <f t="shared" si="104"/>
        <v>0.97499999999999998</v>
      </c>
      <c r="N179" s="1">
        <f t="shared" si="104"/>
        <v>0.97499999999999998</v>
      </c>
      <c r="O179" s="1">
        <f t="shared" si="104"/>
        <v>1.0138888888888888</v>
      </c>
      <c r="P179" s="1">
        <f t="shared" si="104"/>
        <v>1.2277777777777779</v>
      </c>
      <c r="Q179" s="1">
        <f t="shared" si="104"/>
        <v>1.5166666666666666</v>
      </c>
      <c r="R179" s="1">
        <f t="shared" si="104"/>
        <v>1.7333333333333334</v>
      </c>
      <c r="S179" s="1">
        <f t="shared" si="100"/>
        <v>2.0277777777777777</v>
      </c>
      <c r="T179" s="1">
        <f t="shared" si="100"/>
        <v>2.2416666666666667</v>
      </c>
      <c r="U179" s="1">
        <f t="shared" si="100"/>
        <v>2.5305555555555554</v>
      </c>
      <c r="V179" s="1">
        <f t="shared" si="100"/>
        <v>2.7472222222222222</v>
      </c>
      <c r="W179" s="1">
        <f t="shared" si="100"/>
        <v>3.0416666666666665</v>
      </c>
      <c r="X179" s="1">
        <f t="shared" si="100"/>
        <v>3.2555555555555555</v>
      </c>
      <c r="Y179" s="1">
        <f t="shared" si="100"/>
        <v>3.5444444444444443</v>
      </c>
      <c r="Z179" s="1">
        <f t="shared" si="100"/>
        <v>3.7611111111111111</v>
      </c>
      <c r="AA179" s="1">
        <f t="shared" si="100"/>
        <v>4.0555555555555554</v>
      </c>
      <c r="AB179" s="1">
        <f t="shared" si="100"/>
        <v>4.2694444444444448</v>
      </c>
      <c r="AC179" s="1">
        <f t="shared" si="100"/>
        <v>4.5611111111111109</v>
      </c>
      <c r="AD179" s="1">
        <f t="shared" si="100"/>
        <v>4.7777777777777777</v>
      </c>
      <c r="AE179" s="1">
        <f t="shared" si="100"/>
        <v>4.7777777777777777</v>
      </c>
      <c r="AF179" s="3">
        <f t="shared" si="100"/>
        <v>5.072222222222222</v>
      </c>
      <c r="AG179" s="1">
        <f t="shared" si="96"/>
        <v>5.2861111111111114</v>
      </c>
      <c r="AH179" s="1">
        <f t="shared" si="96"/>
        <v>5.5750000000000002</v>
      </c>
      <c r="AI179" s="1">
        <f t="shared" si="96"/>
        <v>5.5750000000000002</v>
      </c>
      <c r="AJ179" s="1">
        <f t="shared" si="96"/>
        <v>5.791666666666667</v>
      </c>
      <c r="AK179" s="1">
        <f t="shared" si="96"/>
        <v>5.791666666666667</v>
      </c>
      <c r="AL179" s="1">
        <f t="shared" si="96"/>
        <v>6.3</v>
      </c>
      <c r="AM179" s="1">
        <f t="shared" si="96"/>
        <v>6.8055555555555554</v>
      </c>
      <c r="AN179" s="1">
        <f t="shared" si="96"/>
        <v>6.8055555555555554</v>
      </c>
      <c r="AO179" s="1">
        <f t="shared" si="96"/>
        <v>7.3138888888888891</v>
      </c>
      <c r="AP179" s="1">
        <f t="shared" si="96"/>
        <v>7.8194444444444446</v>
      </c>
      <c r="AQ179" s="1">
        <f t="shared" si="96"/>
        <v>7.8194444444444446</v>
      </c>
      <c r="AR179" s="1">
        <f t="shared" si="96"/>
        <v>8.3277777777777775</v>
      </c>
      <c r="AS179" s="1">
        <f t="shared" si="96"/>
        <v>8.8361111111111104</v>
      </c>
      <c r="AT179" s="1">
        <f t="shared" si="96"/>
        <v>9.344444444444445</v>
      </c>
      <c r="AU179" s="1">
        <f t="shared" si="96"/>
        <v>9.85</v>
      </c>
      <c r="AV179" s="1">
        <f t="shared" si="96"/>
        <v>9.85</v>
      </c>
      <c r="AW179" s="1">
        <f t="shared" si="101"/>
        <v>14.416666666666666</v>
      </c>
      <c r="AX179" s="1">
        <f t="shared" si="97"/>
        <v>14.922222222222222</v>
      </c>
      <c r="AY179" s="1">
        <f t="shared" si="97"/>
        <v>15.430555555555555</v>
      </c>
      <c r="AZ179" s="1">
        <f t="shared" si="97"/>
        <v>15.936111111111112</v>
      </c>
      <c r="BA179" s="1">
        <f t="shared" si="97"/>
        <v>16.444444444444443</v>
      </c>
      <c r="BB179" s="1">
        <f t="shared" si="97"/>
        <v>16.952777777777779</v>
      </c>
      <c r="BC179" s="1">
        <f t="shared" si="97"/>
        <v>17.461111111111112</v>
      </c>
      <c r="BD179" s="1">
        <f t="shared" si="97"/>
        <v>17.966666666666665</v>
      </c>
      <c r="BE179" s="1">
        <f t="shared" si="97"/>
        <v>17.966666666666665</v>
      </c>
      <c r="BF179" s="1">
        <f t="shared" si="97"/>
        <v>26.591666666666665</v>
      </c>
      <c r="BG179" s="1">
        <f t="shared" si="97"/>
        <v>27.097222222222221</v>
      </c>
      <c r="BH179" s="1">
        <f t="shared" si="97"/>
        <v>27.605555555555554</v>
      </c>
      <c r="BI179" s="1">
        <f t="shared" si="97"/>
        <v>28.111111111111111</v>
      </c>
      <c r="BJ179" s="1">
        <f t="shared" si="97"/>
        <v>28.619444444444444</v>
      </c>
      <c r="BK179" s="1">
        <f t="shared" si="97"/>
        <v>29.127777777777776</v>
      </c>
      <c r="BL179" s="1">
        <f t="shared" si="97"/>
        <v>29.636111111111113</v>
      </c>
      <c r="BM179" s="1">
        <f t="shared" si="97"/>
        <v>30.141666666666666</v>
      </c>
      <c r="BN179" s="1">
        <f t="shared" si="102"/>
        <v>30.65</v>
      </c>
      <c r="BO179" s="1">
        <f t="shared" si="98"/>
        <v>30.65</v>
      </c>
      <c r="BP179" s="1">
        <f t="shared" si="98"/>
        <v>31.155555555555555</v>
      </c>
      <c r="BQ179" s="1">
        <f t="shared" si="98"/>
        <v>31.663888888888888</v>
      </c>
      <c r="BR179" s="1">
        <f t="shared" si="98"/>
        <v>32.169444444444444</v>
      </c>
      <c r="BS179" s="1">
        <f t="shared" si="98"/>
        <v>32.677777777777777</v>
      </c>
      <c r="BT179" s="1">
        <f t="shared" si="98"/>
        <v>33.18611111111111</v>
      </c>
      <c r="BU179" s="1">
        <f t="shared" si="98"/>
        <v>33.694444444444443</v>
      </c>
      <c r="BV179" s="1">
        <f t="shared" si="98"/>
        <v>33.694444444444443</v>
      </c>
      <c r="BW179" s="1">
        <f t="shared" si="98"/>
        <v>34.200000000000003</v>
      </c>
      <c r="BX179" s="1">
        <f t="shared" si="98"/>
        <v>34.708333333333336</v>
      </c>
      <c r="BY179" s="1">
        <f t="shared" si="98"/>
        <v>35.213888888888889</v>
      </c>
      <c r="BZ179" s="1">
        <f t="shared" si="98"/>
        <v>35.722222222222221</v>
      </c>
      <c r="CA179" s="1">
        <f t="shared" si="98"/>
        <v>36.227777777777774</v>
      </c>
      <c r="CB179" s="1">
        <f t="shared" si="98"/>
        <v>36.736111111111114</v>
      </c>
      <c r="CC179" s="1">
        <f t="shared" si="98"/>
        <v>37.244444444444447</v>
      </c>
      <c r="CD179" s="1">
        <f t="shared" si="98"/>
        <v>37.75277777777778</v>
      </c>
      <c r="CE179" s="1">
        <f t="shared" si="103"/>
        <v>38.258333333333333</v>
      </c>
      <c r="CF179" s="1">
        <f t="shared" si="103"/>
        <v>38.766666666666666</v>
      </c>
      <c r="CG179" s="1">
        <f t="shared" si="103"/>
        <v>39.272222222222226</v>
      </c>
      <c r="CH179" s="1">
        <f t="shared" si="103"/>
        <v>39.780555555555559</v>
      </c>
      <c r="CI179" s="1">
        <f t="shared" si="103"/>
        <v>40.286111111111111</v>
      </c>
      <c r="CJ179" s="1">
        <f t="shared" si="103"/>
        <v>40.794444444444444</v>
      </c>
      <c r="CK179" s="1">
        <f t="shared" si="103"/>
        <v>41.302777777777777</v>
      </c>
      <c r="CL179" s="1">
        <f t="shared" si="103"/>
        <v>41.81111111111111</v>
      </c>
      <c r="CM179" s="1">
        <f t="shared" si="103"/>
        <v>42.31666666666667</v>
      </c>
      <c r="CN179" s="1">
        <f t="shared" si="103"/>
        <v>42.825000000000003</v>
      </c>
      <c r="CO179" s="1">
        <f t="shared" si="103"/>
        <v>43.330555555555556</v>
      </c>
      <c r="CP179" s="1">
        <f t="shared" si="103"/>
        <v>43.838888888888889</v>
      </c>
      <c r="CQ179" s="1">
        <f t="shared" si="103"/>
        <v>44.344444444444441</v>
      </c>
      <c r="CR179" s="1">
        <f t="shared" si="103"/>
        <v>44.852777777777774</v>
      </c>
      <c r="CS179" s="1">
        <f t="shared" si="99"/>
        <v>45.361111111111114</v>
      </c>
      <c r="CT179" s="1">
        <f t="shared" si="99"/>
        <v>45.869444444444447</v>
      </c>
      <c r="CU179" s="1">
        <f t="shared" si="99"/>
        <v>46.375</v>
      </c>
      <c r="CV179" s="1">
        <f t="shared" si="99"/>
        <v>46.883333333333333</v>
      </c>
      <c r="CW179" s="1">
        <f t="shared" si="99"/>
        <v>47.388888888888886</v>
      </c>
      <c r="CX179" s="1">
        <f t="shared" si="99"/>
        <v>47.897222222222226</v>
      </c>
      <c r="CY179" s="1">
        <f t="shared" si="99"/>
        <v>48.402777777777779</v>
      </c>
      <c r="CZ179" s="1">
        <f t="shared" si="99"/>
        <v>48.911111111111111</v>
      </c>
      <c r="DA179" s="1">
        <f t="shared" si="99"/>
        <v>49.419444444444444</v>
      </c>
      <c r="DB179" s="1">
        <f t="shared" si="99"/>
        <v>49.927777777777777</v>
      </c>
      <c r="DC179" s="1">
        <f t="shared" si="99"/>
        <v>49.927777777777777</v>
      </c>
    </row>
    <row r="180" spans="1:107" x14ac:dyDescent="0.25">
      <c r="A180">
        <f t="shared" si="74"/>
        <v>5</v>
      </c>
      <c r="B180" s="2">
        <f>yields_BRUTE!B180</f>
        <v>42264</v>
      </c>
      <c r="C180" s="1">
        <f t="shared" si="104"/>
        <v>-0.55555555555555558</v>
      </c>
      <c r="D180" s="1">
        <f t="shared" si="104"/>
        <v>-0.51666666666666672</v>
      </c>
      <c r="E180" s="1">
        <f t="shared" si="104"/>
        <v>-0.3</v>
      </c>
      <c r="F180" s="1">
        <f t="shared" si="104"/>
        <v>-4.4444444444444446E-2</v>
      </c>
      <c r="G180" s="1">
        <f t="shared" si="104"/>
        <v>-5.5555555555555558E-3</v>
      </c>
      <c r="H180" s="1">
        <f t="shared" si="104"/>
        <v>0.20833333333333334</v>
      </c>
      <c r="I180" s="1">
        <f t="shared" si="104"/>
        <v>0.20833333333333334</v>
      </c>
      <c r="J180" s="1">
        <f t="shared" si="104"/>
        <v>0.46111111111111114</v>
      </c>
      <c r="K180" s="1">
        <f t="shared" si="104"/>
        <v>0.5</v>
      </c>
      <c r="L180" s="1">
        <f t="shared" si="104"/>
        <v>0.71666666666666667</v>
      </c>
      <c r="M180" s="1">
        <f t="shared" si="104"/>
        <v>0.97222222222222221</v>
      </c>
      <c r="N180" s="1">
        <f t="shared" si="104"/>
        <v>0.97222222222222221</v>
      </c>
      <c r="O180" s="1">
        <f t="shared" si="104"/>
        <v>1.0111111111111111</v>
      </c>
      <c r="P180" s="1">
        <f t="shared" si="104"/>
        <v>1.2250000000000001</v>
      </c>
      <c r="Q180" s="1">
        <f t="shared" si="104"/>
        <v>1.5138888888888888</v>
      </c>
      <c r="R180" s="1">
        <f t="shared" si="104"/>
        <v>1.7305555555555556</v>
      </c>
      <c r="S180" s="1">
        <f t="shared" si="100"/>
        <v>2.0249999999999999</v>
      </c>
      <c r="T180" s="1">
        <f t="shared" si="100"/>
        <v>2.2388888888888889</v>
      </c>
      <c r="U180" s="1">
        <f t="shared" si="100"/>
        <v>2.5277777777777777</v>
      </c>
      <c r="V180" s="1">
        <f t="shared" si="100"/>
        <v>2.7444444444444445</v>
      </c>
      <c r="W180" s="1">
        <f t="shared" si="100"/>
        <v>3.0388888888888888</v>
      </c>
      <c r="X180" s="1">
        <f t="shared" si="100"/>
        <v>3.2527777777777778</v>
      </c>
      <c r="Y180" s="1">
        <f t="shared" si="100"/>
        <v>3.5416666666666665</v>
      </c>
      <c r="Z180" s="1">
        <f t="shared" si="100"/>
        <v>3.7583333333333333</v>
      </c>
      <c r="AA180" s="1">
        <f t="shared" si="100"/>
        <v>4.052777777777778</v>
      </c>
      <c r="AB180" s="1">
        <f t="shared" si="100"/>
        <v>4.2666666666666666</v>
      </c>
      <c r="AC180" s="1">
        <f t="shared" si="100"/>
        <v>4.5583333333333336</v>
      </c>
      <c r="AD180" s="1">
        <f t="shared" si="100"/>
        <v>4.7750000000000004</v>
      </c>
      <c r="AE180" s="1">
        <f t="shared" si="100"/>
        <v>4.7750000000000004</v>
      </c>
      <c r="AF180" s="3">
        <f t="shared" si="100"/>
        <v>5.0694444444444446</v>
      </c>
      <c r="AG180" s="1">
        <f t="shared" si="96"/>
        <v>5.2833333333333332</v>
      </c>
      <c r="AH180" s="1">
        <f t="shared" si="96"/>
        <v>5.572222222222222</v>
      </c>
      <c r="AI180" s="1">
        <f t="shared" si="96"/>
        <v>5.572222222222222</v>
      </c>
      <c r="AJ180" s="1">
        <f t="shared" si="96"/>
        <v>5.7888888888888888</v>
      </c>
      <c r="AK180" s="1">
        <f t="shared" si="96"/>
        <v>5.7888888888888888</v>
      </c>
      <c r="AL180" s="1">
        <f t="shared" si="96"/>
        <v>6.2972222222222225</v>
      </c>
      <c r="AM180" s="1">
        <f t="shared" si="96"/>
        <v>6.802777777777778</v>
      </c>
      <c r="AN180" s="1">
        <f t="shared" si="96"/>
        <v>6.802777777777778</v>
      </c>
      <c r="AO180" s="1">
        <f t="shared" si="96"/>
        <v>7.3111111111111109</v>
      </c>
      <c r="AP180" s="1">
        <f t="shared" si="96"/>
        <v>7.8166666666666664</v>
      </c>
      <c r="AQ180" s="1">
        <f t="shared" si="96"/>
        <v>7.8166666666666664</v>
      </c>
      <c r="AR180" s="1">
        <f t="shared" si="96"/>
        <v>8.3249999999999993</v>
      </c>
      <c r="AS180" s="1">
        <f t="shared" si="96"/>
        <v>8.8333333333333339</v>
      </c>
      <c r="AT180" s="1">
        <f t="shared" si="96"/>
        <v>9.3416666666666668</v>
      </c>
      <c r="AU180" s="1">
        <f t="shared" si="96"/>
        <v>9.8472222222222214</v>
      </c>
      <c r="AV180" s="1">
        <f t="shared" si="96"/>
        <v>9.8472222222222214</v>
      </c>
      <c r="AW180" s="1">
        <f t="shared" si="101"/>
        <v>14.41388888888889</v>
      </c>
      <c r="AX180" s="1">
        <f t="shared" si="97"/>
        <v>14.919444444444444</v>
      </c>
      <c r="AY180" s="1">
        <f t="shared" si="97"/>
        <v>15.427777777777777</v>
      </c>
      <c r="AZ180" s="1">
        <f t="shared" si="97"/>
        <v>15.933333333333334</v>
      </c>
      <c r="BA180" s="1">
        <f t="shared" si="97"/>
        <v>16.441666666666666</v>
      </c>
      <c r="BB180" s="1">
        <f t="shared" si="97"/>
        <v>16.95</v>
      </c>
      <c r="BC180" s="1">
        <f t="shared" si="97"/>
        <v>17.458333333333332</v>
      </c>
      <c r="BD180" s="1">
        <f t="shared" si="97"/>
        <v>17.963888888888889</v>
      </c>
      <c r="BE180" s="1">
        <f t="shared" si="97"/>
        <v>17.963888888888889</v>
      </c>
      <c r="BF180" s="1">
        <f t="shared" si="97"/>
        <v>26.588888888888889</v>
      </c>
      <c r="BG180" s="1">
        <f t="shared" si="97"/>
        <v>27.094444444444445</v>
      </c>
      <c r="BH180" s="1">
        <f t="shared" si="97"/>
        <v>27.602777777777778</v>
      </c>
      <c r="BI180" s="1">
        <f t="shared" si="97"/>
        <v>28.108333333333334</v>
      </c>
      <c r="BJ180" s="1">
        <f t="shared" si="97"/>
        <v>28.616666666666667</v>
      </c>
      <c r="BK180" s="1">
        <f t="shared" si="97"/>
        <v>29.125</v>
      </c>
      <c r="BL180" s="1">
        <f t="shared" si="97"/>
        <v>29.633333333333333</v>
      </c>
      <c r="BM180" s="1">
        <f t="shared" si="97"/>
        <v>30.138888888888889</v>
      </c>
      <c r="BN180" s="1">
        <f t="shared" si="102"/>
        <v>30.647222222222222</v>
      </c>
      <c r="BO180" s="1">
        <f t="shared" si="98"/>
        <v>30.647222222222222</v>
      </c>
      <c r="BP180" s="1">
        <f t="shared" si="98"/>
        <v>31.152777777777779</v>
      </c>
      <c r="BQ180" s="1">
        <f t="shared" si="98"/>
        <v>31.661111111111111</v>
      </c>
      <c r="BR180" s="1">
        <f t="shared" si="98"/>
        <v>32.166666666666664</v>
      </c>
      <c r="BS180" s="1">
        <f t="shared" si="98"/>
        <v>32.674999999999997</v>
      </c>
      <c r="BT180" s="1">
        <f t="shared" si="98"/>
        <v>33.18333333333333</v>
      </c>
      <c r="BU180" s="1">
        <f t="shared" si="98"/>
        <v>33.69166666666667</v>
      </c>
      <c r="BV180" s="1">
        <f t="shared" si="98"/>
        <v>33.69166666666667</v>
      </c>
      <c r="BW180" s="1">
        <f t="shared" si="98"/>
        <v>34.197222222222223</v>
      </c>
      <c r="BX180" s="1">
        <f t="shared" si="98"/>
        <v>34.705555555555556</v>
      </c>
      <c r="BY180" s="1">
        <f t="shared" si="98"/>
        <v>35.211111111111109</v>
      </c>
      <c r="BZ180" s="1">
        <f t="shared" si="98"/>
        <v>35.719444444444441</v>
      </c>
      <c r="CA180" s="1">
        <f t="shared" si="98"/>
        <v>36.225000000000001</v>
      </c>
      <c r="CB180" s="1">
        <f t="shared" si="98"/>
        <v>36.733333333333334</v>
      </c>
      <c r="CC180" s="1">
        <f t="shared" si="98"/>
        <v>37.241666666666667</v>
      </c>
      <c r="CD180" s="1">
        <f t="shared" si="98"/>
        <v>37.75</v>
      </c>
      <c r="CE180" s="1">
        <f t="shared" si="103"/>
        <v>38.255555555555553</v>
      </c>
      <c r="CF180" s="1">
        <f t="shared" si="103"/>
        <v>38.763888888888886</v>
      </c>
      <c r="CG180" s="1">
        <f t="shared" si="103"/>
        <v>39.269444444444446</v>
      </c>
      <c r="CH180" s="1">
        <f t="shared" si="103"/>
        <v>39.777777777777779</v>
      </c>
      <c r="CI180" s="1">
        <f t="shared" si="103"/>
        <v>40.283333333333331</v>
      </c>
      <c r="CJ180" s="1">
        <f t="shared" si="103"/>
        <v>40.791666666666664</v>
      </c>
      <c r="CK180" s="1">
        <f t="shared" si="103"/>
        <v>41.3</v>
      </c>
      <c r="CL180" s="1">
        <f t="shared" si="103"/>
        <v>41.80833333333333</v>
      </c>
      <c r="CM180" s="1">
        <f t="shared" si="103"/>
        <v>42.31388888888889</v>
      </c>
      <c r="CN180" s="1">
        <f t="shared" si="103"/>
        <v>42.822222222222223</v>
      </c>
      <c r="CO180" s="1">
        <f t="shared" si="103"/>
        <v>43.327777777777776</v>
      </c>
      <c r="CP180" s="1">
        <f t="shared" si="103"/>
        <v>43.836111111111109</v>
      </c>
      <c r="CQ180" s="1">
        <f t="shared" si="103"/>
        <v>44.341666666666669</v>
      </c>
      <c r="CR180" s="1">
        <f t="shared" si="103"/>
        <v>44.85</v>
      </c>
      <c r="CS180" s="1">
        <f t="shared" si="99"/>
        <v>45.358333333333334</v>
      </c>
      <c r="CT180" s="1">
        <f t="shared" si="99"/>
        <v>45.866666666666667</v>
      </c>
      <c r="CU180" s="1">
        <f t="shared" si="99"/>
        <v>46.37222222222222</v>
      </c>
      <c r="CV180" s="1">
        <f t="shared" si="99"/>
        <v>46.880555555555553</v>
      </c>
      <c r="CW180" s="1">
        <f t="shared" si="99"/>
        <v>47.386111111111113</v>
      </c>
      <c r="CX180" s="1">
        <f t="shared" si="99"/>
        <v>47.894444444444446</v>
      </c>
      <c r="CY180" s="1">
        <f t="shared" si="99"/>
        <v>48.4</v>
      </c>
      <c r="CZ180" s="1">
        <f t="shared" si="99"/>
        <v>48.908333333333331</v>
      </c>
      <c r="DA180" s="1">
        <f t="shared" si="99"/>
        <v>49.416666666666664</v>
      </c>
      <c r="DB180" s="1">
        <f t="shared" si="99"/>
        <v>49.924999999999997</v>
      </c>
      <c r="DC180" s="1">
        <f t="shared" si="99"/>
        <v>49.924999999999997</v>
      </c>
    </row>
    <row r="181" spans="1:107" x14ac:dyDescent="0.25">
      <c r="A181">
        <f t="shared" si="74"/>
        <v>6</v>
      </c>
      <c r="B181" s="2">
        <f>yields_BRUTE!B181</f>
        <v>42265</v>
      </c>
      <c r="C181" s="1">
        <f t="shared" si="104"/>
        <v>-0.55833333333333335</v>
      </c>
      <c r="D181" s="1">
        <f t="shared" si="104"/>
        <v>-0.51944444444444449</v>
      </c>
      <c r="E181" s="1">
        <f t="shared" si="104"/>
        <v>-0.30277777777777776</v>
      </c>
      <c r="F181" s="1">
        <f t="shared" si="104"/>
        <v>-4.7222222222222221E-2</v>
      </c>
      <c r="G181" s="1">
        <f t="shared" si="104"/>
        <v>-8.3333333333333332E-3</v>
      </c>
      <c r="H181" s="1">
        <f t="shared" si="104"/>
        <v>0.20555555555555555</v>
      </c>
      <c r="I181" s="1">
        <f t="shared" si="104"/>
        <v>0.20555555555555555</v>
      </c>
      <c r="J181" s="1">
        <f t="shared" si="104"/>
        <v>0.45833333333333331</v>
      </c>
      <c r="K181" s="1">
        <f t="shared" si="104"/>
        <v>0.49722222222222223</v>
      </c>
      <c r="L181" s="1">
        <f t="shared" si="104"/>
        <v>0.71388888888888891</v>
      </c>
      <c r="M181" s="1">
        <f t="shared" si="104"/>
        <v>0.96944444444444444</v>
      </c>
      <c r="N181" s="1">
        <f t="shared" si="104"/>
        <v>0.96944444444444444</v>
      </c>
      <c r="O181" s="1">
        <f t="shared" si="104"/>
        <v>1.0083333333333333</v>
      </c>
      <c r="P181" s="1">
        <f t="shared" si="104"/>
        <v>1.2222222222222223</v>
      </c>
      <c r="Q181" s="1">
        <f t="shared" si="104"/>
        <v>1.5111111111111111</v>
      </c>
      <c r="R181" s="1">
        <f t="shared" si="104"/>
        <v>1.7277777777777779</v>
      </c>
      <c r="S181" s="1">
        <f t="shared" si="100"/>
        <v>2.0222222222222221</v>
      </c>
      <c r="T181" s="1">
        <f t="shared" si="100"/>
        <v>2.2361111111111112</v>
      </c>
      <c r="U181" s="1">
        <f t="shared" si="100"/>
        <v>2.5249999999999999</v>
      </c>
      <c r="V181" s="1">
        <f t="shared" si="100"/>
        <v>2.7416666666666667</v>
      </c>
      <c r="W181" s="1">
        <f t="shared" si="100"/>
        <v>3.036111111111111</v>
      </c>
      <c r="X181" s="1">
        <f t="shared" si="100"/>
        <v>3.25</v>
      </c>
      <c r="Y181" s="1">
        <f t="shared" si="100"/>
        <v>3.5388888888888888</v>
      </c>
      <c r="Z181" s="1">
        <f t="shared" si="100"/>
        <v>3.7555555555555555</v>
      </c>
      <c r="AA181" s="1">
        <f t="shared" si="100"/>
        <v>4.05</v>
      </c>
      <c r="AB181" s="1">
        <f t="shared" si="100"/>
        <v>4.2638888888888893</v>
      </c>
      <c r="AC181" s="1">
        <f t="shared" si="100"/>
        <v>4.5555555555555554</v>
      </c>
      <c r="AD181" s="1">
        <f t="shared" si="100"/>
        <v>4.7722222222222221</v>
      </c>
      <c r="AE181" s="1">
        <f t="shared" si="100"/>
        <v>4.7722222222222221</v>
      </c>
      <c r="AF181" s="3">
        <f t="shared" si="100"/>
        <v>5.0666666666666664</v>
      </c>
      <c r="AG181" s="1">
        <f t="shared" si="96"/>
        <v>5.2805555555555559</v>
      </c>
      <c r="AH181" s="1">
        <f t="shared" si="96"/>
        <v>5.5694444444444446</v>
      </c>
      <c r="AI181" s="1">
        <f t="shared" si="96"/>
        <v>5.5694444444444446</v>
      </c>
      <c r="AJ181" s="1">
        <f t="shared" si="96"/>
        <v>5.7861111111111114</v>
      </c>
      <c r="AK181" s="1">
        <f t="shared" si="96"/>
        <v>5.7861111111111114</v>
      </c>
      <c r="AL181" s="1">
        <f t="shared" si="96"/>
        <v>6.2944444444444443</v>
      </c>
      <c r="AM181" s="1">
        <f t="shared" si="96"/>
        <v>6.8</v>
      </c>
      <c r="AN181" s="1">
        <f t="shared" si="96"/>
        <v>6.8</v>
      </c>
      <c r="AO181" s="1">
        <f t="shared" si="96"/>
        <v>7.3083333333333336</v>
      </c>
      <c r="AP181" s="1">
        <f t="shared" si="96"/>
        <v>7.8138888888888891</v>
      </c>
      <c r="AQ181" s="1">
        <f t="shared" si="96"/>
        <v>7.8138888888888891</v>
      </c>
      <c r="AR181" s="1">
        <f t="shared" si="96"/>
        <v>8.3222222222222229</v>
      </c>
      <c r="AS181" s="1">
        <f t="shared" si="96"/>
        <v>8.8305555555555557</v>
      </c>
      <c r="AT181" s="1">
        <f t="shared" si="96"/>
        <v>9.3388888888888886</v>
      </c>
      <c r="AU181" s="1">
        <f t="shared" si="96"/>
        <v>9.844444444444445</v>
      </c>
      <c r="AV181" s="1">
        <f t="shared" si="96"/>
        <v>9.844444444444445</v>
      </c>
      <c r="AW181" s="1">
        <f t="shared" si="101"/>
        <v>14.411111111111111</v>
      </c>
      <c r="AX181" s="1">
        <f t="shared" si="97"/>
        <v>14.916666666666666</v>
      </c>
      <c r="AY181" s="1">
        <f t="shared" si="97"/>
        <v>15.425000000000001</v>
      </c>
      <c r="AZ181" s="1">
        <f t="shared" si="97"/>
        <v>15.930555555555555</v>
      </c>
      <c r="BA181" s="1">
        <f t="shared" si="97"/>
        <v>16.43888888888889</v>
      </c>
      <c r="BB181" s="1">
        <f t="shared" si="97"/>
        <v>16.947222222222223</v>
      </c>
      <c r="BC181" s="1">
        <f t="shared" si="97"/>
        <v>17.455555555555556</v>
      </c>
      <c r="BD181" s="1">
        <f t="shared" si="97"/>
        <v>17.961111111111112</v>
      </c>
      <c r="BE181" s="1">
        <f t="shared" si="97"/>
        <v>17.961111111111112</v>
      </c>
      <c r="BF181" s="1">
        <f t="shared" si="97"/>
        <v>26.586111111111112</v>
      </c>
      <c r="BG181" s="1">
        <f t="shared" si="97"/>
        <v>27.091666666666665</v>
      </c>
      <c r="BH181" s="1">
        <f t="shared" si="97"/>
        <v>27.6</v>
      </c>
      <c r="BI181" s="1">
        <f t="shared" si="97"/>
        <v>28.105555555555554</v>
      </c>
      <c r="BJ181" s="1">
        <f t="shared" si="97"/>
        <v>28.613888888888887</v>
      </c>
      <c r="BK181" s="1">
        <f t="shared" si="97"/>
        <v>29.122222222222224</v>
      </c>
      <c r="BL181" s="1">
        <f t="shared" si="97"/>
        <v>29.630555555555556</v>
      </c>
      <c r="BM181" s="1">
        <f t="shared" si="97"/>
        <v>30.136111111111113</v>
      </c>
      <c r="BN181" s="1">
        <f t="shared" si="102"/>
        <v>30.644444444444446</v>
      </c>
      <c r="BO181" s="1">
        <f t="shared" si="98"/>
        <v>30.644444444444446</v>
      </c>
      <c r="BP181" s="1">
        <f t="shared" si="98"/>
        <v>31.15</v>
      </c>
      <c r="BQ181" s="1">
        <f t="shared" si="98"/>
        <v>31.658333333333335</v>
      </c>
      <c r="BR181" s="1">
        <f t="shared" si="98"/>
        <v>32.163888888888891</v>
      </c>
      <c r="BS181" s="1">
        <f t="shared" si="98"/>
        <v>32.672222222222224</v>
      </c>
      <c r="BT181" s="1">
        <f t="shared" si="98"/>
        <v>33.180555555555557</v>
      </c>
      <c r="BU181" s="1">
        <f t="shared" si="98"/>
        <v>33.68888888888889</v>
      </c>
      <c r="BV181" s="1">
        <f t="shared" si="98"/>
        <v>33.68888888888889</v>
      </c>
      <c r="BW181" s="1">
        <f t="shared" si="98"/>
        <v>34.194444444444443</v>
      </c>
      <c r="BX181" s="1">
        <f t="shared" si="98"/>
        <v>34.702777777777776</v>
      </c>
      <c r="BY181" s="1">
        <f t="shared" si="98"/>
        <v>35.208333333333336</v>
      </c>
      <c r="BZ181" s="1">
        <f t="shared" si="98"/>
        <v>35.716666666666669</v>
      </c>
      <c r="CA181" s="1">
        <f t="shared" si="98"/>
        <v>36.222222222222221</v>
      </c>
      <c r="CB181" s="1">
        <f t="shared" si="98"/>
        <v>36.730555555555554</v>
      </c>
      <c r="CC181" s="1">
        <f t="shared" si="98"/>
        <v>37.238888888888887</v>
      </c>
      <c r="CD181" s="1">
        <f t="shared" si="98"/>
        <v>37.74722222222222</v>
      </c>
      <c r="CE181" s="1">
        <f t="shared" si="103"/>
        <v>38.25277777777778</v>
      </c>
      <c r="CF181" s="1">
        <f t="shared" si="103"/>
        <v>38.761111111111113</v>
      </c>
      <c r="CG181" s="1">
        <f t="shared" si="103"/>
        <v>39.266666666666666</v>
      </c>
      <c r="CH181" s="1">
        <f t="shared" si="103"/>
        <v>39.774999999999999</v>
      </c>
      <c r="CI181" s="1">
        <f t="shared" si="103"/>
        <v>40.280555555555559</v>
      </c>
      <c r="CJ181" s="1">
        <f t="shared" si="103"/>
        <v>40.788888888888891</v>
      </c>
      <c r="CK181" s="1">
        <f t="shared" si="103"/>
        <v>41.297222222222224</v>
      </c>
      <c r="CL181" s="1">
        <f t="shared" si="103"/>
        <v>41.805555555555557</v>
      </c>
      <c r="CM181" s="1">
        <f t="shared" si="103"/>
        <v>42.31111111111111</v>
      </c>
      <c r="CN181" s="1">
        <f t="shared" si="103"/>
        <v>42.819444444444443</v>
      </c>
      <c r="CO181" s="1">
        <f t="shared" si="103"/>
        <v>43.325000000000003</v>
      </c>
      <c r="CP181" s="1">
        <f t="shared" si="103"/>
        <v>43.833333333333336</v>
      </c>
      <c r="CQ181" s="1">
        <f t="shared" si="103"/>
        <v>44.338888888888889</v>
      </c>
      <c r="CR181" s="1">
        <f t="shared" si="103"/>
        <v>44.847222222222221</v>
      </c>
      <c r="CS181" s="1">
        <f t="shared" si="99"/>
        <v>45.355555555555554</v>
      </c>
      <c r="CT181" s="1">
        <f t="shared" si="99"/>
        <v>45.863888888888887</v>
      </c>
      <c r="CU181" s="1">
        <f t="shared" si="99"/>
        <v>46.369444444444447</v>
      </c>
      <c r="CV181" s="1">
        <f t="shared" si="99"/>
        <v>46.87777777777778</v>
      </c>
      <c r="CW181" s="1">
        <f t="shared" si="99"/>
        <v>47.383333333333333</v>
      </c>
      <c r="CX181" s="1">
        <f t="shared" si="99"/>
        <v>47.891666666666666</v>
      </c>
      <c r="CY181" s="1">
        <f t="shared" si="99"/>
        <v>48.397222222222226</v>
      </c>
      <c r="CZ181" s="1">
        <f t="shared" si="99"/>
        <v>48.905555555555559</v>
      </c>
      <c r="DA181" s="1">
        <f t="shared" si="99"/>
        <v>49.413888888888891</v>
      </c>
      <c r="DB181" s="1">
        <f t="shared" si="99"/>
        <v>49.922222222222224</v>
      </c>
      <c r="DC181" s="1">
        <f t="shared" si="99"/>
        <v>49.922222222222224</v>
      </c>
    </row>
    <row r="182" spans="1:107" x14ac:dyDescent="0.25">
      <c r="A182">
        <f t="shared" si="74"/>
        <v>2</v>
      </c>
      <c r="B182" s="2">
        <f>yields_BRUTE!B182</f>
        <v>42268</v>
      </c>
      <c r="C182" s="1">
        <f t="shared" si="104"/>
        <v>-0.56666666666666665</v>
      </c>
      <c r="D182" s="1">
        <f t="shared" si="104"/>
        <v>-0.52777777777777779</v>
      </c>
      <c r="E182" s="1">
        <f t="shared" si="104"/>
        <v>-0.31111111111111112</v>
      </c>
      <c r="F182" s="1">
        <f t="shared" si="104"/>
        <v>-5.5555555555555552E-2</v>
      </c>
      <c r="G182" s="1">
        <f t="shared" si="104"/>
        <v>-1.6666666666666666E-2</v>
      </c>
      <c r="H182" s="1">
        <f t="shared" si="104"/>
        <v>0.19722222222222222</v>
      </c>
      <c r="I182" s="1">
        <f t="shared" si="104"/>
        <v>0.19722222222222222</v>
      </c>
      <c r="J182" s="1">
        <f t="shared" si="104"/>
        <v>0.45</v>
      </c>
      <c r="K182" s="1">
        <f t="shared" si="104"/>
        <v>0.48888888888888887</v>
      </c>
      <c r="L182" s="1">
        <f t="shared" si="104"/>
        <v>0.7055555555555556</v>
      </c>
      <c r="M182" s="1">
        <f t="shared" si="104"/>
        <v>0.96111111111111114</v>
      </c>
      <c r="N182" s="1">
        <f t="shared" si="104"/>
        <v>0.96111111111111114</v>
      </c>
      <c r="O182" s="1">
        <f t="shared" si="104"/>
        <v>1</v>
      </c>
      <c r="P182" s="1">
        <f t="shared" si="104"/>
        <v>1.2138888888888888</v>
      </c>
      <c r="Q182" s="1">
        <f t="shared" si="104"/>
        <v>1.5027777777777778</v>
      </c>
      <c r="R182" s="1">
        <f t="shared" si="104"/>
        <v>1.7194444444444446</v>
      </c>
      <c r="S182" s="1">
        <f t="shared" si="100"/>
        <v>2.0138888888888888</v>
      </c>
      <c r="T182" s="1">
        <f t="shared" si="100"/>
        <v>2.2277777777777779</v>
      </c>
      <c r="U182" s="1">
        <f t="shared" si="100"/>
        <v>2.5166666666666666</v>
      </c>
      <c r="V182" s="1">
        <f t="shared" si="100"/>
        <v>2.7333333333333334</v>
      </c>
      <c r="W182" s="1">
        <f t="shared" si="100"/>
        <v>3.0277777777777777</v>
      </c>
      <c r="X182" s="1">
        <f t="shared" si="100"/>
        <v>3.2416666666666667</v>
      </c>
      <c r="Y182" s="1">
        <f t="shared" si="100"/>
        <v>3.5305555555555554</v>
      </c>
      <c r="Z182" s="1">
        <f t="shared" si="100"/>
        <v>3.7472222222222222</v>
      </c>
      <c r="AA182" s="1">
        <f t="shared" si="100"/>
        <v>4.041666666666667</v>
      </c>
      <c r="AB182" s="1">
        <f t="shared" si="100"/>
        <v>4.2555555555555555</v>
      </c>
      <c r="AC182" s="1">
        <f t="shared" si="100"/>
        <v>4.5472222222222225</v>
      </c>
      <c r="AD182" s="1">
        <f t="shared" si="100"/>
        <v>4.7638888888888893</v>
      </c>
      <c r="AE182" s="1">
        <f t="shared" si="100"/>
        <v>4.7638888888888893</v>
      </c>
      <c r="AF182" s="3">
        <f t="shared" si="100"/>
        <v>5.0583333333333336</v>
      </c>
      <c r="AG182" s="1">
        <f t="shared" si="96"/>
        <v>5.2722222222222221</v>
      </c>
      <c r="AH182" s="1">
        <f t="shared" si="96"/>
        <v>5.5611111111111109</v>
      </c>
      <c r="AI182" s="1">
        <f t="shared" si="96"/>
        <v>5.5611111111111109</v>
      </c>
      <c r="AJ182" s="1">
        <f t="shared" si="96"/>
        <v>5.7777777777777777</v>
      </c>
      <c r="AK182" s="1">
        <f t="shared" si="96"/>
        <v>5.7777777777777777</v>
      </c>
      <c r="AL182" s="1">
        <f t="shared" si="96"/>
        <v>6.2861111111111114</v>
      </c>
      <c r="AM182" s="1">
        <f t="shared" si="96"/>
        <v>6.791666666666667</v>
      </c>
      <c r="AN182" s="1">
        <f t="shared" si="96"/>
        <v>6.791666666666667</v>
      </c>
      <c r="AO182" s="1">
        <f t="shared" si="96"/>
        <v>7.3</v>
      </c>
      <c r="AP182" s="1">
        <f t="shared" si="96"/>
        <v>7.8055555555555554</v>
      </c>
      <c r="AQ182" s="1">
        <f t="shared" si="96"/>
        <v>7.8055555555555554</v>
      </c>
      <c r="AR182" s="1">
        <f t="shared" si="96"/>
        <v>8.3138888888888882</v>
      </c>
      <c r="AS182" s="1">
        <f t="shared" si="96"/>
        <v>8.8222222222222229</v>
      </c>
      <c r="AT182" s="1">
        <f t="shared" si="96"/>
        <v>9.3305555555555557</v>
      </c>
      <c r="AU182" s="1">
        <f t="shared" si="96"/>
        <v>9.8361111111111104</v>
      </c>
      <c r="AV182" s="1">
        <f t="shared" si="96"/>
        <v>9.8361111111111104</v>
      </c>
      <c r="AW182" s="1">
        <f t="shared" si="101"/>
        <v>14.402777777777779</v>
      </c>
      <c r="AX182" s="1">
        <f t="shared" si="97"/>
        <v>14.908333333333333</v>
      </c>
      <c r="AY182" s="1">
        <f t="shared" si="97"/>
        <v>15.416666666666666</v>
      </c>
      <c r="AZ182" s="1">
        <f t="shared" si="97"/>
        <v>15.922222222222222</v>
      </c>
      <c r="BA182" s="1">
        <f t="shared" si="97"/>
        <v>16.430555555555557</v>
      </c>
      <c r="BB182" s="1">
        <f t="shared" si="97"/>
        <v>16.93888888888889</v>
      </c>
      <c r="BC182" s="1">
        <f t="shared" si="97"/>
        <v>17.447222222222223</v>
      </c>
      <c r="BD182" s="1">
        <f t="shared" si="97"/>
        <v>17.952777777777779</v>
      </c>
      <c r="BE182" s="1">
        <f t="shared" si="97"/>
        <v>17.952777777777779</v>
      </c>
      <c r="BF182" s="1">
        <f t="shared" si="97"/>
        <v>26.577777777777779</v>
      </c>
      <c r="BG182" s="1">
        <f t="shared" si="97"/>
        <v>27.083333333333332</v>
      </c>
      <c r="BH182" s="1">
        <f t="shared" si="97"/>
        <v>27.591666666666665</v>
      </c>
      <c r="BI182" s="1">
        <f t="shared" si="97"/>
        <v>28.097222222222221</v>
      </c>
      <c r="BJ182" s="1">
        <f t="shared" si="97"/>
        <v>28.605555555555554</v>
      </c>
      <c r="BK182" s="1">
        <f t="shared" si="97"/>
        <v>29.113888888888887</v>
      </c>
      <c r="BL182" s="1">
        <f t="shared" si="97"/>
        <v>29.622222222222224</v>
      </c>
      <c r="BM182" s="1">
        <f t="shared" si="97"/>
        <v>30.127777777777776</v>
      </c>
      <c r="BN182" s="1">
        <f t="shared" si="102"/>
        <v>30.636111111111113</v>
      </c>
      <c r="BO182" s="1">
        <f t="shared" si="98"/>
        <v>30.636111111111113</v>
      </c>
      <c r="BP182" s="1">
        <f t="shared" si="98"/>
        <v>31.141666666666666</v>
      </c>
      <c r="BQ182" s="1">
        <f t="shared" si="98"/>
        <v>31.65</v>
      </c>
      <c r="BR182" s="1">
        <f t="shared" si="98"/>
        <v>32.155555555555559</v>
      </c>
      <c r="BS182" s="1">
        <f t="shared" si="98"/>
        <v>32.663888888888891</v>
      </c>
      <c r="BT182" s="1">
        <f t="shared" si="98"/>
        <v>33.172222222222224</v>
      </c>
      <c r="BU182" s="1">
        <f t="shared" si="98"/>
        <v>33.680555555555557</v>
      </c>
      <c r="BV182" s="1">
        <f t="shared" si="98"/>
        <v>33.680555555555557</v>
      </c>
      <c r="BW182" s="1">
        <f t="shared" si="98"/>
        <v>34.18611111111111</v>
      </c>
      <c r="BX182" s="1">
        <f t="shared" si="98"/>
        <v>34.694444444444443</v>
      </c>
      <c r="BY182" s="1">
        <f t="shared" si="98"/>
        <v>35.200000000000003</v>
      </c>
      <c r="BZ182" s="1">
        <f t="shared" si="98"/>
        <v>35.708333333333336</v>
      </c>
      <c r="CA182" s="1">
        <f t="shared" si="98"/>
        <v>36.213888888888889</v>
      </c>
      <c r="CB182" s="1">
        <f t="shared" si="98"/>
        <v>36.722222222222221</v>
      </c>
      <c r="CC182" s="1">
        <f t="shared" si="98"/>
        <v>37.230555555555554</v>
      </c>
      <c r="CD182" s="1">
        <f t="shared" si="98"/>
        <v>37.738888888888887</v>
      </c>
      <c r="CE182" s="1">
        <f t="shared" si="103"/>
        <v>38.244444444444447</v>
      </c>
      <c r="CF182" s="1">
        <f t="shared" si="103"/>
        <v>38.75277777777778</v>
      </c>
      <c r="CG182" s="1">
        <f t="shared" si="103"/>
        <v>39.258333333333333</v>
      </c>
      <c r="CH182" s="1">
        <f t="shared" si="103"/>
        <v>39.766666666666666</v>
      </c>
      <c r="CI182" s="1">
        <f t="shared" si="103"/>
        <v>40.272222222222226</v>
      </c>
      <c r="CJ182" s="1">
        <f t="shared" si="103"/>
        <v>40.780555555555559</v>
      </c>
      <c r="CK182" s="1">
        <f t="shared" si="103"/>
        <v>41.288888888888891</v>
      </c>
      <c r="CL182" s="1">
        <f t="shared" si="103"/>
        <v>41.797222222222224</v>
      </c>
      <c r="CM182" s="1">
        <f t="shared" si="103"/>
        <v>42.302777777777777</v>
      </c>
      <c r="CN182" s="1">
        <f t="shared" si="103"/>
        <v>42.81111111111111</v>
      </c>
      <c r="CO182" s="1">
        <f t="shared" si="103"/>
        <v>43.31666666666667</v>
      </c>
      <c r="CP182" s="1">
        <f t="shared" si="103"/>
        <v>43.825000000000003</v>
      </c>
      <c r="CQ182" s="1">
        <f t="shared" si="103"/>
        <v>44.330555555555556</v>
      </c>
      <c r="CR182" s="1">
        <f t="shared" si="103"/>
        <v>44.838888888888889</v>
      </c>
      <c r="CS182" s="1">
        <f t="shared" si="99"/>
        <v>45.347222222222221</v>
      </c>
      <c r="CT182" s="1">
        <f t="shared" si="99"/>
        <v>45.855555555555554</v>
      </c>
      <c r="CU182" s="1">
        <f t="shared" si="99"/>
        <v>46.361111111111114</v>
      </c>
      <c r="CV182" s="1">
        <f t="shared" si="99"/>
        <v>46.869444444444447</v>
      </c>
      <c r="CW182" s="1">
        <f t="shared" si="99"/>
        <v>47.375</v>
      </c>
      <c r="CX182" s="1">
        <f t="shared" si="99"/>
        <v>47.883333333333333</v>
      </c>
      <c r="CY182" s="1">
        <f t="shared" si="99"/>
        <v>48.388888888888886</v>
      </c>
      <c r="CZ182" s="1">
        <f t="shared" si="99"/>
        <v>48.897222222222226</v>
      </c>
      <c r="DA182" s="1">
        <f t="shared" si="99"/>
        <v>49.405555555555559</v>
      </c>
      <c r="DB182" s="1">
        <f t="shared" si="99"/>
        <v>49.913888888888891</v>
      </c>
      <c r="DC182" s="1">
        <f t="shared" si="99"/>
        <v>49.913888888888891</v>
      </c>
    </row>
    <row r="183" spans="1:107" x14ac:dyDescent="0.25">
      <c r="A183">
        <f t="shared" si="74"/>
        <v>3</v>
      </c>
      <c r="B183" s="2">
        <f>yields_BRUTE!B183</f>
        <v>42269</v>
      </c>
      <c r="C183" s="1">
        <f t="shared" si="104"/>
        <v>-0.56944444444444442</v>
      </c>
      <c r="D183" s="1">
        <f t="shared" si="104"/>
        <v>-0.53055555555555556</v>
      </c>
      <c r="E183" s="1">
        <f t="shared" si="104"/>
        <v>-0.31388888888888888</v>
      </c>
      <c r="F183" s="1">
        <f t="shared" si="104"/>
        <v>-5.8333333333333334E-2</v>
      </c>
      <c r="G183" s="1">
        <f t="shared" si="104"/>
        <v>-1.9444444444444445E-2</v>
      </c>
      <c r="H183" s="1">
        <f t="shared" si="104"/>
        <v>0.19444444444444445</v>
      </c>
      <c r="I183" s="1">
        <f t="shared" si="104"/>
        <v>0.19444444444444445</v>
      </c>
      <c r="J183" s="1">
        <f t="shared" si="104"/>
        <v>0.44722222222222224</v>
      </c>
      <c r="K183" s="1">
        <f t="shared" si="104"/>
        <v>0.4861111111111111</v>
      </c>
      <c r="L183" s="1">
        <f t="shared" si="104"/>
        <v>0.70277777777777772</v>
      </c>
      <c r="M183" s="1">
        <f t="shared" si="104"/>
        <v>0.95833333333333337</v>
      </c>
      <c r="N183" s="1">
        <f t="shared" si="104"/>
        <v>0.95833333333333337</v>
      </c>
      <c r="O183" s="1">
        <f t="shared" si="104"/>
        <v>0.99722222222222223</v>
      </c>
      <c r="P183" s="1">
        <f t="shared" si="104"/>
        <v>1.211111111111111</v>
      </c>
      <c r="Q183" s="1">
        <f t="shared" si="104"/>
        <v>1.5</v>
      </c>
      <c r="R183" s="1">
        <f t="shared" si="104"/>
        <v>1.7166666666666666</v>
      </c>
      <c r="S183" s="1">
        <f t="shared" si="100"/>
        <v>2.0111111111111111</v>
      </c>
      <c r="T183" s="1">
        <f t="shared" si="100"/>
        <v>2.2250000000000001</v>
      </c>
      <c r="U183" s="1">
        <f t="shared" si="100"/>
        <v>2.5138888888888888</v>
      </c>
      <c r="V183" s="1">
        <f t="shared" si="100"/>
        <v>2.7305555555555556</v>
      </c>
      <c r="W183" s="1">
        <f t="shared" si="100"/>
        <v>3.0249999999999999</v>
      </c>
      <c r="X183" s="1">
        <f t="shared" si="100"/>
        <v>3.2388888888888889</v>
      </c>
      <c r="Y183" s="1">
        <f t="shared" si="100"/>
        <v>3.5277777777777777</v>
      </c>
      <c r="Z183" s="1">
        <f t="shared" si="100"/>
        <v>3.7444444444444445</v>
      </c>
      <c r="AA183" s="1">
        <f t="shared" si="100"/>
        <v>4.0388888888888888</v>
      </c>
      <c r="AB183" s="1">
        <f t="shared" si="100"/>
        <v>4.2527777777777782</v>
      </c>
      <c r="AC183" s="1">
        <f t="shared" si="100"/>
        <v>4.5444444444444443</v>
      </c>
      <c r="AD183" s="1">
        <f t="shared" si="100"/>
        <v>4.7611111111111111</v>
      </c>
      <c r="AE183" s="1">
        <f t="shared" si="100"/>
        <v>4.7611111111111111</v>
      </c>
      <c r="AF183" s="3">
        <f t="shared" si="100"/>
        <v>5.0555555555555554</v>
      </c>
      <c r="AG183" s="1">
        <f t="shared" si="96"/>
        <v>5.2694444444444448</v>
      </c>
      <c r="AH183" s="1">
        <f t="shared" si="96"/>
        <v>5.5583333333333336</v>
      </c>
      <c r="AI183" s="1">
        <f t="shared" si="96"/>
        <v>5.5583333333333336</v>
      </c>
      <c r="AJ183" s="1">
        <f t="shared" si="96"/>
        <v>5.7750000000000004</v>
      </c>
      <c r="AK183" s="1">
        <f t="shared" si="96"/>
        <v>5.7750000000000004</v>
      </c>
      <c r="AL183" s="1">
        <f t="shared" si="96"/>
        <v>6.2833333333333332</v>
      </c>
      <c r="AM183" s="1">
        <f t="shared" si="96"/>
        <v>6.7888888888888888</v>
      </c>
      <c r="AN183" s="1">
        <f t="shared" si="96"/>
        <v>6.7888888888888888</v>
      </c>
      <c r="AO183" s="1">
        <f t="shared" si="96"/>
        <v>7.2972222222222225</v>
      </c>
      <c r="AP183" s="1">
        <f t="shared" si="96"/>
        <v>7.802777777777778</v>
      </c>
      <c r="AQ183" s="1">
        <f t="shared" si="96"/>
        <v>7.802777777777778</v>
      </c>
      <c r="AR183" s="1">
        <f t="shared" si="96"/>
        <v>8.3111111111111118</v>
      </c>
      <c r="AS183" s="1">
        <f t="shared" si="96"/>
        <v>8.8194444444444446</v>
      </c>
      <c r="AT183" s="1">
        <f t="shared" si="96"/>
        <v>9.3277777777777775</v>
      </c>
      <c r="AU183" s="1">
        <f t="shared" si="96"/>
        <v>9.8333333333333339</v>
      </c>
      <c r="AV183" s="1">
        <f t="shared" si="96"/>
        <v>9.8333333333333339</v>
      </c>
      <c r="AW183" s="1">
        <f t="shared" si="101"/>
        <v>14.4</v>
      </c>
      <c r="AX183" s="1">
        <f t="shared" si="97"/>
        <v>14.905555555555555</v>
      </c>
      <c r="AY183" s="1">
        <f t="shared" si="97"/>
        <v>15.41388888888889</v>
      </c>
      <c r="AZ183" s="1">
        <f t="shared" si="97"/>
        <v>15.919444444444444</v>
      </c>
      <c r="BA183" s="1">
        <f t="shared" si="97"/>
        <v>16.427777777777777</v>
      </c>
      <c r="BB183" s="1">
        <f t="shared" si="97"/>
        <v>16.93611111111111</v>
      </c>
      <c r="BC183" s="1">
        <f t="shared" si="97"/>
        <v>17.444444444444443</v>
      </c>
      <c r="BD183" s="1">
        <f t="shared" si="97"/>
        <v>17.95</v>
      </c>
      <c r="BE183" s="1">
        <f t="shared" si="97"/>
        <v>17.95</v>
      </c>
      <c r="BF183" s="1">
        <f t="shared" si="97"/>
        <v>26.574999999999999</v>
      </c>
      <c r="BG183" s="1">
        <f t="shared" si="97"/>
        <v>27.080555555555556</v>
      </c>
      <c r="BH183" s="1">
        <f t="shared" si="97"/>
        <v>27.588888888888889</v>
      </c>
      <c r="BI183" s="1">
        <f t="shared" si="97"/>
        <v>28.094444444444445</v>
      </c>
      <c r="BJ183" s="1">
        <f t="shared" si="97"/>
        <v>28.602777777777778</v>
      </c>
      <c r="BK183" s="1">
        <f t="shared" si="97"/>
        <v>29.111111111111111</v>
      </c>
      <c r="BL183" s="1">
        <f t="shared" si="97"/>
        <v>29.619444444444444</v>
      </c>
      <c r="BM183" s="1">
        <f t="shared" si="97"/>
        <v>30.125</v>
      </c>
      <c r="BN183" s="1">
        <f t="shared" si="102"/>
        <v>30.633333333333333</v>
      </c>
      <c r="BO183" s="1">
        <f t="shared" si="98"/>
        <v>30.633333333333333</v>
      </c>
      <c r="BP183" s="1">
        <f t="shared" si="98"/>
        <v>31.138888888888889</v>
      </c>
      <c r="BQ183" s="1">
        <f t="shared" si="98"/>
        <v>31.647222222222222</v>
      </c>
      <c r="BR183" s="1">
        <f t="shared" si="98"/>
        <v>32.152777777777779</v>
      </c>
      <c r="BS183" s="1">
        <f t="shared" si="98"/>
        <v>32.661111111111111</v>
      </c>
      <c r="BT183" s="1">
        <f t="shared" si="98"/>
        <v>33.169444444444444</v>
      </c>
      <c r="BU183" s="1">
        <f t="shared" si="98"/>
        <v>33.677777777777777</v>
      </c>
      <c r="BV183" s="1">
        <f t="shared" si="98"/>
        <v>33.677777777777777</v>
      </c>
      <c r="BW183" s="1">
        <f t="shared" si="98"/>
        <v>34.18333333333333</v>
      </c>
      <c r="BX183" s="1">
        <f t="shared" si="98"/>
        <v>34.69166666666667</v>
      </c>
      <c r="BY183" s="1">
        <f t="shared" si="98"/>
        <v>35.197222222222223</v>
      </c>
      <c r="BZ183" s="1">
        <f t="shared" si="98"/>
        <v>35.705555555555556</v>
      </c>
      <c r="CA183" s="1">
        <f t="shared" si="98"/>
        <v>36.211111111111109</v>
      </c>
      <c r="CB183" s="1">
        <f t="shared" si="98"/>
        <v>36.719444444444441</v>
      </c>
      <c r="CC183" s="1">
        <f t="shared" si="98"/>
        <v>37.227777777777774</v>
      </c>
      <c r="CD183" s="1">
        <f t="shared" si="98"/>
        <v>37.736111111111114</v>
      </c>
      <c r="CE183" s="1">
        <f t="shared" si="103"/>
        <v>38.241666666666667</v>
      </c>
      <c r="CF183" s="1">
        <f t="shared" si="103"/>
        <v>38.75</v>
      </c>
      <c r="CG183" s="1">
        <f t="shared" si="103"/>
        <v>39.255555555555553</v>
      </c>
      <c r="CH183" s="1">
        <f t="shared" si="103"/>
        <v>39.763888888888886</v>
      </c>
      <c r="CI183" s="1">
        <f t="shared" si="103"/>
        <v>40.269444444444446</v>
      </c>
      <c r="CJ183" s="1">
        <f t="shared" si="103"/>
        <v>40.777777777777779</v>
      </c>
      <c r="CK183" s="1">
        <f t="shared" si="103"/>
        <v>41.286111111111111</v>
      </c>
      <c r="CL183" s="1">
        <f t="shared" si="103"/>
        <v>41.794444444444444</v>
      </c>
      <c r="CM183" s="1">
        <f t="shared" si="103"/>
        <v>42.3</v>
      </c>
      <c r="CN183" s="1">
        <f t="shared" si="103"/>
        <v>42.80833333333333</v>
      </c>
      <c r="CO183" s="1">
        <f t="shared" si="103"/>
        <v>43.31388888888889</v>
      </c>
      <c r="CP183" s="1">
        <f t="shared" si="103"/>
        <v>43.822222222222223</v>
      </c>
      <c r="CQ183" s="1">
        <f t="shared" si="103"/>
        <v>44.327777777777776</v>
      </c>
      <c r="CR183" s="1">
        <f t="shared" si="103"/>
        <v>44.836111111111109</v>
      </c>
      <c r="CS183" s="1">
        <f t="shared" si="99"/>
        <v>45.344444444444441</v>
      </c>
      <c r="CT183" s="1">
        <f t="shared" si="99"/>
        <v>45.852777777777774</v>
      </c>
      <c r="CU183" s="1">
        <f t="shared" si="99"/>
        <v>46.358333333333334</v>
      </c>
      <c r="CV183" s="1">
        <f t="shared" si="99"/>
        <v>46.866666666666667</v>
      </c>
      <c r="CW183" s="1">
        <f t="shared" si="99"/>
        <v>47.37222222222222</v>
      </c>
      <c r="CX183" s="1">
        <f t="shared" si="99"/>
        <v>47.880555555555553</v>
      </c>
      <c r="CY183" s="1">
        <f t="shared" si="99"/>
        <v>48.386111111111113</v>
      </c>
      <c r="CZ183" s="1">
        <f t="shared" si="99"/>
        <v>48.894444444444446</v>
      </c>
      <c r="DA183" s="1">
        <f t="shared" si="99"/>
        <v>49.402777777777779</v>
      </c>
      <c r="DB183" s="1">
        <f t="shared" si="99"/>
        <v>49.911111111111111</v>
      </c>
      <c r="DC183" s="1">
        <f t="shared" si="99"/>
        <v>49.911111111111111</v>
      </c>
    </row>
    <row r="184" spans="1:107" x14ac:dyDescent="0.25">
      <c r="A184">
        <f t="shared" si="74"/>
        <v>4</v>
      </c>
      <c r="B184" s="2">
        <f>yields_BRUTE!B184</f>
        <v>42270</v>
      </c>
      <c r="C184" s="1">
        <f t="shared" si="104"/>
        <v>-0.57222222222222219</v>
      </c>
      <c r="D184" s="1">
        <f t="shared" si="104"/>
        <v>-0.53333333333333333</v>
      </c>
      <c r="E184" s="1">
        <f t="shared" si="104"/>
        <v>-0.31666666666666665</v>
      </c>
      <c r="F184" s="1">
        <f t="shared" si="104"/>
        <v>-6.1111111111111109E-2</v>
      </c>
      <c r="G184" s="1">
        <f t="shared" si="104"/>
        <v>-2.2222222222222223E-2</v>
      </c>
      <c r="H184" s="1">
        <f t="shared" si="104"/>
        <v>0.19166666666666668</v>
      </c>
      <c r="I184" s="1">
        <f t="shared" si="104"/>
        <v>0.19166666666666668</v>
      </c>
      <c r="J184" s="1">
        <f t="shared" si="104"/>
        <v>0.44444444444444442</v>
      </c>
      <c r="K184" s="1">
        <f t="shared" si="104"/>
        <v>0.48333333333333334</v>
      </c>
      <c r="L184" s="1">
        <f t="shared" si="104"/>
        <v>0.7</v>
      </c>
      <c r="M184" s="1">
        <f t="shared" si="104"/>
        <v>0.9555555555555556</v>
      </c>
      <c r="N184" s="1">
        <f t="shared" si="104"/>
        <v>0.9555555555555556</v>
      </c>
      <c r="O184" s="1">
        <f t="shared" si="104"/>
        <v>0.99444444444444446</v>
      </c>
      <c r="P184" s="1">
        <f t="shared" si="104"/>
        <v>1.2083333333333333</v>
      </c>
      <c r="Q184" s="1">
        <f t="shared" si="104"/>
        <v>1.4972222222222222</v>
      </c>
      <c r="R184" s="1">
        <f t="shared" si="104"/>
        <v>1.7138888888888888</v>
      </c>
      <c r="S184" s="1">
        <f t="shared" si="100"/>
        <v>2.0083333333333333</v>
      </c>
      <c r="T184" s="1">
        <f t="shared" si="100"/>
        <v>2.2222222222222223</v>
      </c>
      <c r="U184" s="1">
        <f t="shared" si="100"/>
        <v>2.5111111111111111</v>
      </c>
      <c r="V184" s="1">
        <f t="shared" si="100"/>
        <v>2.7277777777777779</v>
      </c>
      <c r="W184" s="1">
        <f t="shared" si="100"/>
        <v>3.0222222222222221</v>
      </c>
      <c r="X184" s="1">
        <f t="shared" si="100"/>
        <v>3.2361111111111112</v>
      </c>
      <c r="Y184" s="1">
        <f t="shared" si="100"/>
        <v>3.5249999999999999</v>
      </c>
      <c r="Z184" s="1">
        <f t="shared" si="100"/>
        <v>3.7416666666666667</v>
      </c>
      <c r="AA184" s="1">
        <f t="shared" si="100"/>
        <v>4.0361111111111114</v>
      </c>
      <c r="AB184" s="1">
        <f t="shared" si="100"/>
        <v>4.25</v>
      </c>
      <c r="AC184" s="1">
        <f t="shared" si="100"/>
        <v>4.541666666666667</v>
      </c>
      <c r="AD184" s="1">
        <f t="shared" si="100"/>
        <v>4.7583333333333337</v>
      </c>
      <c r="AE184" s="1">
        <f t="shared" si="100"/>
        <v>4.7583333333333337</v>
      </c>
      <c r="AF184" s="3">
        <f t="shared" si="100"/>
        <v>5.052777777777778</v>
      </c>
      <c r="AG184" s="1">
        <f t="shared" si="96"/>
        <v>5.2666666666666666</v>
      </c>
      <c r="AH184" s="1">
        <f t="shared" si="96"/>
        <v>5.5555555555555554</v>
      </c>
      <c r="AI184" s="1">
        <f t="shared" si="96"/>
        <v>5.5555555555555554</v>
      </c>
      <c r="AJ184" s="1">
        <f t="shared" si="96"/>
        <v>5.7722222222222221</v>
      </c>
      <c r="AK184" s="1">
        <f t="shared" si="96"/>
        <v>5.7722222222222221</v>
      </c>
      <c r="AL184" s="1">
        <f t="shared" si="96"/>
        <v>6.2805555555555559</v>
      </c>
      <c r="AM184" s="1">
        <f t="shared" si="96"/>
        <v>6.7861111111111114</v>
      </c>
      <c r="AN184" s="1">
        <f t="shared" si="96"/>
        <v>6.7861111111111114</v>
      </c>
      <c r="AO184" s="1">
        <f t="shared" si="96"/>
        <v>7.2944444444444443</v>
      </c>
      <c r="AP184" s="1">
        <f t="shared" si="96"/>
        <v>7.8</v>
      </c>
      <c r="AQ184" s="1">
        <f t="shared" si="96"/>
        <v>7.8</v>
      </c>
      <c r="AR184" s="1">
        <f t="shared" si="96"/>
        <v>8.3083333333333336</v>
      </c>
      <c r="AS184" s="1">
        <f t="shared" si="96"/>
        <v>8.8166666666666664</v>
      </c>
      <c r="AT184" s="1">
        <f t="shared" si="96"/>
        <v>9.3249999999999993</v>
      </c>
      <c r="AU184" s="1">
        <f t="shared" si="96"/>
        <v>9.8305555555555557</v>
      </c>
      <c r="AV184" s="1">
        <f t="shared" si="96"/>
        <v>9.8305555555555557</v>
      </c>
      <c r="AW184" s="1">
        <f t="shared" si="101"/>
        <v>14.397222222222222</v>
      </c>
      <c r="AX184" s="1">
        <f t="shared" si="97"/>
        <v>14.902777777777779</v>
      </c>
      <c r="AY184" s="1">
        <f t="shared" si="97"/>
        <v>15.411111111111111</v>
      </c>
      <c r="AZ184" s="1">
        <f t="shared" si="97"/>
        <v>15.916666666666666</v>
      </c>
      <c r="BA184" s="1">
        <f t="shared" si="97"/>
        <v>16.425000000000001</v>
      </c>
      <c r="BB184" s="1">
        <f t="shared" si="97"/>
        <v>16.933333333333334</v>
      </c>
      <c r="BC184" s="1">
        <f t="shared" si="97"/>
        <v>17.441666666666666</v>
      </c>
      <c r="BD184" s="1">
        <f t="shared" si="97"/>
        <v>17.947222222222223</v>
      </c>
      <c r="BE184" s="1">
        <f t="shared" si="97"/>
        <v>17.947222222222223</v>
      </c>
      <c r="BF184" s="1">
        <f t="shared" si="97"/>
        <v>26.572222222222223</v>
      </c>
      <c r="BG184" s="1">
        <f t="shared" si="97"/>
        <v>27.077777777777779</v>
      </c>
      <c r="BH184" s="1">
        <f t="shared" si="97"/>
        <v>27.586111111111112</v>
      </c>
      <c r="BI184" s="1">
        <f t="shared" si="97"/>
        <v>28.091666666666665</v>
      </c>
      <c r="BJ184" s="1">
        <f t="shared" si="97"/>
        <v>28.6</v>
      </c>
      <c r="BK184" s="1">
        <f t="shared" si="97"/>
        <v>29.108333333333334</v>
      </c>
      <c r="BL184" s="1">
        <f t="shared" si="97"/>
        <v>29.616666666666667</v>
      </c>
      <c r="BM184" s="1">
        <f t="shared" si="97"/>
        <v>30.122222222222224</v>
      </c>
      <c r="BN184" s="1">
        <f t="shared" si="102"/>
        <v>30.630555555555556</v>
      </c>
      <c r="BO184" s="1">
        <f t="shared" si="98"/>
        <v>30.630555555555556</v>
      </c>
      <c r="BP184" s="1">
        <f t="shared" si="98"/>
        <v>31.136111111111113</v>
      </c>
      <c r="BQ184" s="1">
        <f t="shared" si="98"/>
        <v>31.644444444444446</v>
      </c>
      <c r="BR184" s="1">
        <f t="shared" si="98"/>
        <v>32.15</v>
      </c>
      <c r="BS184" s="1">
        <f t="shared" si="98"/>
        <v>32.658333333333331</v>
      </c>
      <c r="BT184" s="1">
        <f t="shared" si="98"/>
        <v>33.166666666666664</v>
      </c>
      <c r="BU184" s="1">
        <f t="shared" si="98"/>
        <v>33.674999999999997</v>
      </c>
      <c r="BV184" s="1">
        <f t="shared" si="98"/>
        <v>33.674999999999997</v>
      </c>
      <c r="BW184" s="1">
        <f t="shared" si="98"/>
        <v>34.180555555555557</v>
      </c>
      <c r="BX184" s="1">
        <f t="shared" si="98"/>
        <v>34.68888888888889</v>
      </c>
      <c r="BY184" s="1">
        <f t="shared" si="98"/>
        <v>35.194444444444443</v>
      </c>
      <c r="BZ184" s="1">
        <f t="shared" si="98"/>
        <v>35.702777777777776</v>
      </c>
      <c r="CA184" s="1">
        <f t="shared" si="98"/>
        <v>36.208333333333336</v>
      </c>
      <c r="CB184" s="1">
        <f t="shared" si="98"/>
        <v>36.716666666666669</v>
      </c>
      <c r="CC184" s="1">
        <f t="shared" si="98"/>
        <v>37.225000000000001</v>
      </c>
      <c r="CD184" s="1">
        <f t="shared" si="98"/>
        <v>37.733333333333334</v>
      </c>
      <c r="CE184" s="1">
        <f t="shared" si="103"/>
        <v>38.238888888888887</v>
      </c>
      <c r="CF184" s="1">
        <f t="shared" si="103"/>
        <v>38.74722222222222</v>
      </c>
      <c r="CG184" s="1">
        <f t="shared" si="103"/>
        <v>39.25277777777778</v>
      </c>
      <c r="CH184" s="1">
        <f t="shared" si="103"/>
        <v>39.761111111111113</v>
      </c>
      <c r="CI184" s="1">
        <f t="shared" si="103"/>
        <v>40.266666666666666</v>
      </c>
      <c r="CJ184" s="1">
        <f t="shared" si="103"/>
        <v>40.774999999999999</v>
      </c>
      <c r="CK184" s="1">
        <f t="shared" si="103"/>
        <v>41.283333333333331</v>
      </c>
      <c r="CL184" s="1">
        <f t="shared" si="103"/>
        <v>41.791666666666664</v>
      </c>
      <c r="CM184" s="1">
        <f t="shared" si="103"/>
        <v>42.297222222222224</v>
      </c>
      <c r="CN184" s="1">
        <f t="shared" si="103"/>
        <v>42.805555555555557</v>
      </c>
      <c r="CO184" s="1">
        <f t="shared" si="103"/>
        <v>43.31111111111111</v>
      </c>
      <c r="CP184" s="1">
        <f t="shared" si="103"/>
        <v>43.819444444444443</v>
      </c>
      <c r="CQ184" s="1">
        <f t="shared" si="103"/>
        <v>44.325000000000003</v>
      </c>
      <c r="CR184" s="1">
        <f t="shared" si="103"/>
        <v>44.833333333333336</v>
      </c>
      <c r="CS184" s="1">
        <f t="shared" si="99"/>
        <v>45.341666666666669</v>
      </c>
      <c r="CT184" s="1">
        <f t="shared" si="99"/>
        <v>45.85</v>
      </c>
      <c r="CU184" s="1">
        <f t="shared" si="99"/>
        <v>46.355555555555554</v>
      </c>
      <c r="CV184" s="1">
        <f t="shared" si="99"/>
        <v>46.863888888888887</v>
      </c>
      <c r="CW184" s="1">
        <f t="shared" si="99"/>
        <v>47.369444444444447</v>
      </c>
      <c r="CX184" s="1">
        <f t="shared" si="99"/>
        <v>47.87777777777778</v>
      </c>
      <c r="CY184" s="1">
        <f t="shared" si="99"/>
        <v>48.383333333333333</v>
      </c>
      <c r="CZ184" s="1">
        <f t="shared" si="99"/>
        <v>48.891666666666666</v>
      </c>
      <c r="DA184" s="1">
        <f t="shared" si="99"/>
        <v>49.4</v>
      </c>
      <c r="DB184" s="1">
        <f t="shared" si="99"/>
        <v>49.908333333333331</v>
      </c>
      <c r="DC184" s="1">
        <f t="shared" si="99"/>
        <v>49.908333333333331</v>
      </c>
    </row>
    <row r="185" spans="1:107" x14ac:dyDescent="0.25">
      <c r="A185">
        <f t="shared" si="74"/>
        <v>5</v>
      </c>
      <c r="B185" s="2">
        <f>yields_BRUTE!B185</f>
        <v>42271</v>
      </c>
      <c r="C185" s="1">
        <f t="shared" si="104"/>
        <v>-0.57499999999999996</v>
      </c>
      <c r="D185" s="1">
        <f t="shared" si="104"/>
        <v>-0.53611111111111109</v>
      </c>
      <c r="E185" s="1">
        <f t="shared" si="104"/>
        <v>-0.31944444444444442</v>
      </c>
      <c r="F185" s="1">
        <f t="shared" si="104"/>
        <v>-6.3888888888888884E-2</v>
      </c>
      <c r="G185" s="1">
        <f t="shared" si="104"/>
        <v>-2.5000000000000001E-2</v>
      </c>
      <c r="H185" s="1">
        <f t="shared" si="104"/>
        <v>0.18888888888888888</v>
      </c>
      <c r="I185" s="1">
        <f t="shared" si="104"/>
        <v>0.18888888888888888</v>
      </c>
      <c r="J185" s="1">
        <f t="shared" si="104"/>
        <v>0.44166666666666665</v>
      </c>
      <c r="K185" s="1">
        <f t="shared" si="104"/>
        <v>0.48055555555555557</v>
      </c>
      <c r="L185" s="1">
        <f t="shared" si="104"/>
        <v>0.69722222222222219</v>
      </c>
      <c r="M185" s="1">
        <f t="shared" si="104"/>
        <v>0.95277777777777772</v>
      </c>
      <c r="N185" s="1">
        <f t="shared" si="104"/>
        <v>0.95277777777777772</v>
      </c>
      <c r="O185" s="1">
        <f t="shared" si="104"/>
        <v>0.9916666666666667</v>
      </c>
      <c r="P185" s="1">
        <f t="shared" si="104"/>
        <v>1.2055555555555555</v>
      </c>
      <c r="Q185" s="1">
        <f t="shared" si="104"/>
        <v>1.4944444444444445</v>
      </c>
      <c r="R185" s="1">
        <f t="shared" si="104"/>
        <v>1.711111111111111</v>
      </c>
      <c r="S185" s="1">
        <f t="shared" si="100"/>
        <v>2.0055555555555555</v>
      </c>
      <c r="T185" s="1">
        <f t="shared" si="100"/>
        <v>2.2194444444444446</v>
      </c>
      <c r="U185" s="1">
        <f t="shared" si="100"/>
        <v>2.5083333333333333</v>
      </c>
      <c r="V185" s="1">
        <f t="shared" si="100"/>
        <v>2.7250000000000001</v>
      </c>
      <c r="W185" s="1">
        <f t="shared" si="100"/>
        <v>3.0194444444444444</v>
      </c>
      <c r="X185" s="1">
        <f t="shared" si="100"/>
        <v>3.2333333333333334</v>
      </c>
      <c r="Y185" s="1">
        <f t="shared" si="100"/>
        <v>3.5222222222222221</v>
      </c>
      <c r="Z185" s="1">
        <f t="shared" si="100"/>
        <v>3.7388888888888889</v>
      </c>
      <c r="AA185" s="1">
        <f t="shared" si="100"/>
        <v>4.0333333333333332</v>
      </c>
      <c r="AB185" s="1">
        <f t="shared" si="100"/>
        <v>4.2472222222222218</v>
      </c>
      <c r="AC185" s="1">
        <f t="shared" si="100"/>
        <v>4.5388888888888888</v>
      </c>
      <c r="AD185" s="1">
        <f t="shared" si="100"/>
        <v>4.7555555555555555</v>
      </c>
      <c r="AE185" s="1">
        <f t="shared" si="100"/>
        <v>4.7555555555555555</v>
      </c>
      <c r="AF185" s="3">
        <f t="shared" si="100"/>
        <v>5.05</v>
      </c>
      <c r="AG185" s="1">
        <f t="shared" si="96"/>
        <v>5.2638888888888893</v>
      </c>
      <c r="AH185" s="1">
        <f t="shared" si="96"/>
        <v>5.552777777777778</v>
      </c>
      <c r="AI185" s="1">
        <f t="shared" si="96"/>
        <v>5.552777777777778</v>
      </c>
      <c r="AJ185" s="1">
        <f t="shared" si="96"/>
        <v>5.7694444444444448</v>
      </c>
      <c r="AK185" s="1">
        <f t="shared" si="96"/>
        <v>5.7694444444444448</v>
      </c>
      <c r="AL185" s="1">
        <f t="shared" si="96"/>
        <v>6.2777777777777777</v>
      </c>
      <c r="AM185" s="1">
        <f t="shared" si="96"/>
        <v>6.7833333333333332</v>
      </c>
      <c r="AN185" s="1">
        <f t="shared" si="96"/>
        <v>6.7833333333333332</v>
      </c>
      <c r="AO185" s="1">
        <f t="shared" si="96"/>
        <v>7.291666666666667</v>
      </c>
      <c r="AP185" s="1">
        <f t="shared" si="96"/>
        <v>7.7972222222222225</v>
      </c>
      <c r="AQ185" s="1">
        <f t="shared" si="96"/>
        <v>7.7972222222222225</v>
      </c>
      <c r="AR185" s="1">
        <f t="shared" si="96"/>
        <v>8.3055555555555554</v>
      </c>
      <c r="AS185" s="1">
        <f t="shared" si="96"/>
        <v>8.8138888888888882</v>
      </c>
      <c r="AT185" s="1">
        <f t="shared" si="96"/>
        <v>9.3222222222222229</v>
      </c>
      <c r="AU185" s="1">
        <f t="shared" si="96"/>
        <v>9.8277777777777775</v>
      </c>
      <c r="AV185" s="1">
        <f t="shared" si="96"/>
        <v>9.8277777777777775</v>
      </c>
      <c r="AW185" s="1">
        <f t="shared" si="101"/>
        <v>14.394444444444444</v>
      </c>
      <c r="AX185" s="1">
        <f t="shared" si="97"/>
        <v>14.9</v>
      </c>
      <c r="AY185" s="1">
        <f t="shared" si="97"/>
        <v>15.408333333333333</v>
      </c>
      <c r="AZ185" s="1">
        <f t="shared" si="97"/>
        <v>15.91388888888889</v>
      </c>
      <c r="BA185" s="1">
        <f t="shared" si="97"/>
        <v>16.422222222222221</v>
      </c>
      <c r="BB185" s="1">
        <f t="shared" si="97"/>
        <v>16.930555555555557</v>
      </c>
      <c r="BC185" s="1">
        <f t="shared" si="97"/>
        <v>17.43888888888889</v>
      </c>
      <c r="BD185" s="1">
        <f t="shared" si="97"/>
        <v>17.944444444444443</v>
      </c>
      <c r="BE185" s="1">
        <f t="shared" si="97"/>
        <v>17.944444444444443</v>
      </c>
      <c r="BF185" s="1">
        <f t="shared" si="97"/>
        <v>26.569444444444443</v>
      </c>
      <c r="BG185" s="1">
        <f t="shared" si="97"/>
        <v>27.074999999999999</v>
      </c>
      <c r="BH185" s="1">
        <f t="shared" si="97"/>
        <v>27.583333333333332</v>
      </c>
      <c r="BI185" s="1">
        <f t="shared" si="97"/>
        <v>28.088888888888889</v>
      </c>
      <c r="BJ185" s="1">
        <f t="shared" si="97"/>
        <v>28.597222222222221</v>
      </c>
      <c r="BK185" s="1">
        <f t="shared" si="97"/>
        <v>29.105555555555554</v>
      </c>
      <c r="BL185" s="1">
        <f t="shared" si="97"/>
        <v>29.613888888888887</v>
      </c>
      <c r="BM185" s="1">
        <f t="shared" si="97"/>
        <v>30.119444444444444</v>
      </c>
      <c r="BN185" s="1">
        <f t="shared" si="102"/>
        <v>30.627777777777776</v>
      </c>
      <c r="BO185" s="1">
        <f t="shared" si="98"/>
        <v>30.627777777777776</v>
      </c>
      <c r="BP185" s="1">
        <f t="shared" si="98"/>
        <v>31.133333333333333</v>
      </c>
      <c r="BQ185" s="1">
        <f t="shared" si="98"/>
        <v>31.641666666666666</v>
      </c>
      <c r="BR185" s="1">
        <f t="shared" si="98"/>
        <v>32.147222222222226</v>
      </c>
      <c r="BS185" s="1">
        <f t="shared" si="98"/>
        <v>32.655555555555559</v>
      </c>
      <c r="BT185" s="1">
        <f t="shared" si="98"/>
        <v>33.163888888888891</v>
      </c>
      <c r="BU185" s="1">
        <f t="shared" si="98"/>
        <v>33.672222222222224</v>
      </c>
      <c r="BV185" s="1">
        <f t="shared" si="98"/>
        <v>33.672222222222224</v>
      </c>
      <c r="BW185" s="1">
        <f t="shared" si="98"/>
        <v>34.177777777777777</v>
      </c>
      <c r="BX185" s="1">
        <f t="shared" si="98"/>
        <v>34.68611111111111</v>
      </c>
      <c r="BY185" s="1">
        <f t="shared" si="98"/>
        <v>35.19166666666667</v>
      </c>
      <c r="BZ185" s="1">
        <f t="shared" si="98"/>
        <v>35.700000000000003</v>
      </c>
      <c r="CA185" s="1">
        <f t="shared" si="98"/>
        <v>36.205555555555556</v>
      </c>
      <c r="CB185" s="1">
        <f t="shared" si="98"/>
        <v>36.713888888888889</v>
      </c>
      <c r="CC185" s="1">
        <f t="shared" si="98"/>
        <v>37.222222222222221</v>
      </c>
      <c r="CD185" s="1">
        <f t="shared" si="98"/>
        <v>37.730555555555554</v>
      </c>
      <c r="CE185" s="1">
        <f t="shared" si="103"/>
        <v>38.236111111111114</v>
      </c>
      <c r="CF185" s="1">
        <f t="shared" si="103"/>
        <v>38.744444444444447</v>
      </c>
      <c r="CG185" s="1">
        <f t="shared" si="103"/>
        <v>39.25</v>
      </c>
      <c r="CH185" s="1">
        <f t="shared" si="103"/>
        <v>39.758333333333333</v>
      </c>
      <c r="CI185" s="1">
        <f t="shared" si="103"/>
        <v>40.263888888888886</v>
      </c>
      <c r="CJ185" s="1">
        <f t="shared" si="103"/>
        <v>40.772222222222226</v>
      </c>
      <c r="CK185" s="1">
        <f t="shared" si="103"/>
        <v>41.280555555555559</v>
      </c>
      <c r="CL185" s="1">
        <f t="shared" si="103"/>
        <v>41.788888888888891</v>
      </c>
      <c r="CM185" s="1">
        <f t="shared" si="103"/>
        <v>42.294444444444444</v>
      </c>
      <c r="CN185" s="1">
        <f t="shared" si="103"/>
        <v>42.802777777777777</v>
      </c>
      <c r="CO185" s="1">
        <f t="shared" si="103"/>
        <v>43.30833333333333</v>
      </c>
      <c r="CP185" s="1">
        <f t="shared" si="103"/>
        <v>43.81666666666667</v>
      </c>
      <c r="CQ185" s="1">
        <f t="shared" si="103"/>
        <v>44.322222222222223</v>
      </c>
      <c r="CR185" s="1">
        <f t="shared" si="103"/>
        <v>44.830555555555556</v>
      </c>
      <c r="CS185" s="1">
        <f t="shared" si="99"/>
        <v>45.338888888888889</v>
      </c>
      <c r="CT185" s="1">
        <f t="shared" si="99"/>
        <v>45.847222222222221</v>
      </c>
      <c r="CU185" s="1">
        <f t="shared" si="99"/>
        <v>46.352777777777774</v>
      </c>
      <c r="CV185" s="1">
        <f t="shared" si="99"/>
        <v>46.861111111111114</v>
      </c>
      <c r="CW185" s="1">
        <f t="shared" si="99"/>
        <v>47.366666666666667</v>
      </c>
      <c r="CX185" s="1">
        <f t="shared" si="99"/>
        <v>47.875</v>
      </c>
      <c r="CY185" s="1">
        <f t="shared" si="99"/>
        <v>48.380555555555553</v>
      </c>
      <c r="CZ185" s="1">
        <f t="shared" si="99"/>
        <v>48.888888888888886</v>
      </c>
      <c r="DA185" s="1">
        <f t="shared" si="99"/>
        <v>49.397222222222226</v>
      </c>
      <c r="DB185" s="1">
        <f t="shared" si="99"/>
        <v>49.905555555555559</v>
      </c>
      <c r="DC185" s="1">
        <f t="shared" si="99"/>
        <v>49.905555555555559</v>
      </c>
    </row>
    <row r="186" spans="1:107" x14ac:dyDescent="0.25">
      <c r="A186">
        <f t="shared" si="74"/>
        <v>6</v>
      </c>
      <c r="B186" s="2">
        <f>yields_BRUTE!B186</f>
        <v>42272</v>
      </c>
      <c r="C186" s="1">
        <f t="shared" si="104"/>
        <v>-0.57777777777777772</v>
      </c>
      <c r="D186" s="1">
        <f t="shared" si="104"/>
        <v>-0.53888888888888886</v>
      </c>
      <c r="E186" s="1">
        <f t="shared" si="104"/>
        <v>-0.32222222222222224</v>
      </c>
      <c r="F186" s="1">
        <f t="shared" si="104"/>
        <v>-6.6666666666666666E-2</v>
      </c>
      <c r="G186" s="1">
        <f t="shared" si="104"/>
        <v>-2.7777777777777776E-2</v>
      </c>
      <c r="H186" s="1">
        <f t="shared" si="104"/>
        <v>0.18611111111111112</v>
      </c>
      <c r="I186" s="1">
        <f t="shared" si="104"/>
        <v>0.18611111111111112</v>
      </c>
      <c r="J186" s="1">
        <f t="shared" si="104"/>
        <v>0.43888888888888888</v>
      </c>
      <c r="K186" s="1">
        <f t="shared" si="104"/>
        <v>0.4777777777777778</v>
      </c>
      <c r="L186" s="1">
        <f t="shared" si="104"/>
        <v>0.69444444444444442</v>
      </c>
      <c r="M186" s="1">
        <f t="shared" si="104"/>
        <v>0.95</v>
      </c>
      <c r="N186" s="1">
        <f t="shared" si="104"/>
        <v>0.95</v>
      </c>
      <c r="O186" s="1">
        <f t="shared" si="104"/>
        <v>0.98888888888888893</v>
      </c>
      <c r="P186" s="1">
        <f t="shared" si="104"/>
        <v>1.2027777777777777</v>
      </c>
      <c r="Q186" s="1">
        <f t="shared" si="104"/>
        <v>1.4916666666666667</v>
      </c>
      <c r="R186" s="1">
        <f t="shared" si="104"/>
        <v>1.7083333333333333</v>
      </c>
      <c r="S186" s="1">
        <f t="shared" si="100"/>
        <v>2.0027777777777778</v>
      </c>
      <c r="T186" s="1">
        <f t="shared" si="100"/>
        <v>2.2166666666666668</v>
      </c>
      <c r="U186" s="1">
        <f t="shared" si="100"/>
        <v>2.5055555555555555</v>
      </c>
      <c r="V186" s="1">
        <f t="shared" si="100"/>
        <v>2.7222222222222223</v>
      </c>
      <c r="W186" s="1">
        <f t="shared" si="100"/>
        <v>3.0166666666666666</v>
      </c>
      <c r="X186" s="1">
        <f t="shared" si="100"/>
        <v>3.2305555555555556</v>
      </c>
      <c r="Y186" s="1">
        <f t="shared" si="100"/>
        <v>3.5194444444444444</v>
      </c>
      <c r="Z186" s="1">
        <f t="shared" si="100"/>
        <v>3.7361111111111112</v>
      </c>
      <c r="AA186" s="1">
        <f t="shared" si="100"/>
        <v>4.0305555555555559</v>
      </c>
      <c r="AB186" s="1">
        <f t="shared" si="100"/>
        <v>4.2444444444444445</v>
      </c>
      <c r="AC186" s="1">
        <f t="shared" si="100"/>
        <v>4.5361111111111114</v>
      </c>
      <c r="AD186" s="1">
        <f t="shared" si="100"/>
        <v>4.7527777777777782</v>
      </c>
      <c r="AE186" s="1">
        <f t="shared" si="100"/>
        <v>4.7527777777777782</v>
      </c>
      <c r="AF186" s="3">
        <f t="shared" si="100"/>
        <v>5.0472222222222225</v>
      </c>
      <c r="AG186" s="1">
        <f t="shared" si="96"/>
        <v>5.2611111111111111</v>
      </c>
      <c r="AH186" s="1">
        <f t="shared" si="96"/>
        <v>5.55</v>
      </c>
      <c r="AI186" s="1">
        <f t="shared" si="96"/>
        <v>5.55</v>
      </c>
      <c r="AJ186" s="1">
        <f t="shared" si="96"/>
        <v>5.7666666666666666</v>
      </c>
      <c r="AK186" s="1">
        <f t="shared" si="96"/>
        <v>5.7666666666666666</v>
      </c>
      <c r="AL186" s="1">
        <f t="shared" si="96"/>
        <v>6.2750000000000004</v>
      </c>
      <c r="AM186" s="1">
        <f t="shared" si="96"/>
        <v>6.7805555555555559</v>
      </c>
      <c r="AN186" s="1">
        <f t="shared" si="96"/>
        <v>6.7805555555555559</v>
      </c>
      <c r="AO186" s="1">
        <f t="shared" si="96"/>
        <v>7.2888888888888888</v>
      </c>
      <c r="AP186" s="1">
        <f t="shared" si="96"/>
        <v>7.7944444444444443</v>
      </c>
      <c r="AQ186" s="1">
        <f t="shared" si="96"/>
        <v>7.7944444444444443</v>
      </c>
      <c r="AR186" s="1">
        <f t="shared" si="96"/>
        <v>8.3027777777777771</v>
      </c>
      <c r="AS186" s="1">
        <f t="shared" si="96"/>
        <v>8.8111111111111118</v>
      </c>
      <c r="AT186" s="1">
        <f t="shared" si="96"/>
        <v>9.3194444444444446</v>
      </c>
      <c r="AU186" s="1">
        <f t="shared" si="96"/>
        <v>9.8249999999999993</v>
      </c>
      <c r="AV186" s="1">
        <f t="shared" si="96"/>
        <v>9.8249999999999993</v>
      </c>
      <c r="AW186" s="1">
        <f t="shared" si="101"/>
        <v>14.391666666666667</v>
      </c>
      <c r="AX186" s="1">
        <f t="shared" si="97"/>
        <v>14.897222222222222</v>
      </c>
      <c r="AY186" s="1">
        <f t="shared" si="97"/>
        <v>15.405555555555555</v>
      </c>
      <c r="AZ186" s="1">
        <f t="shared" si="97"/>
        <v>15.911111111111111</v>
      </c>
      <c r="BA186" s="1">
        <f t="shared" si="97"/>
        <v>16.419444444444444</v>
      </c>
      <c r="BB186" s="1">
        <f t="shared" si="97"/>
        <v>16.927777777777777</v>
      </c>
      <c r="BC186" s="1">
        <f t="shared" si="97"/>
        <v>17.43611111111111</v>
      </c>
      <c r="BD186" s="1">
        <f t="shared" si="97"/>
        <v>17.941666666666666</v>
      </c>
      <c r="BE186" s="1">
        <f t="shared" si="97"/>
        <v>17.941666666666666</v>
      </c>
      <c r="BF186" s="1">
        <f t="shared" si="97"/>
        <v>26.566666666666666</v>
      </c>
      <c r="BG186" s="1">
        <f t="shared" si="97"/>
        <v>27.072222222222223</v>
      </c>
      <c r="BH186" s="1">
        <f t="shared" si="97"/>
        <v>27.580555555555556</v>
      </c>
      <c r="BI186" s="1">
        <f t="shared" si="97"/>
        <v>28.086111111111112</v>
      </c>
      <c r="BJ186" s="1">
        <f t="shared" si="97"/>
        <v>28.594444444444445</v>
      </c>
      <c r="BK186" s="1">
        <f t="shared" si="97"/>
        <v>29.102777777777778</v>
      </c>
      <c r="BL186" s="1">
        <f t="shared" si="97"/>
        <v>29.611111111111111</v>
      </c>
      <c r="BM186" s="1">
        <f t="shared" si="97"/>
        <v>30.116666666666667</v>
      </c>
      <c r="BN186" s="1">
        <f t="shared" si="102"/>
        <v>30.625</v>
      </c>
      <c r="BO186" s="1">
        <f t="shared" si="98"/>
        <v>30.625</v>
      </c>
      <c r="BP186" s="1">
        <f t="shared" si="98"/>
        <v>31.130555555555556</v>
      </c>
      <c r="BQ186" s="1">
        <f t="shared" si="98"/>
        <v>31.638888888888889</v>
      </c>
      <c r="BR186" s="1">
        <f t="shared" si="98"/>
        <v>32.144444444444446</v>
      </c>
      <c r="BS186" s="1">
        <f t="shared" si="98"/>
        <v>32.652777777777779</v>
      </c>
      <c r="BT186" s="1">
        <f t="shared" si="98"/>
        <v>33.161111111111111</v>
      </c>
      <c r="BU186" s="1">
        <f t="shared" si="98"/>
        <v>33.669444444444444</v>
      </c>
      <c r="BV186" s="1">
        <f t="shared" si="98"/>
        <v>33.669444444444444</v>
      </c>
      <c r="BW186" s="1">
        <f t="shared" si="98"/>
        <v>34.174999999999997</v>
      </c>
      <c r="BX186" s="1">
        <f t="shared" si="98"/>
        <v>34.68333333333333</v>
      </c>
      <c r="BY186" s="1">
        <f t="shared" si="98"/>
        <v>35.18888888888889</v>
      </c>
      <c r="BZ186" s="1">
        <f t="shared" si="98"/>
        <v>35.697222222222223</v>
      </c>
      <c r="CA186" s="1">
        <f t="shared" si="98"/>
        <v>36.202777777777776</v>
      </c>
      <c r="CB186" s="1">
        <f t="shared" si="98"/>
        <v>36.711111111111109</v>
      </c>
      <c r="CC186" s="1">
        <f t="shared" si="98"/>
        <v>37.219444444444441</v>
      </c>
      <c r="CD186" s="1">
        <f t="shared" si="98"/>
        <v>37.727777777777774</v>
      </c>
      <c r="CE186" s="1">
        <f t="shared" si="103"/>
        <v>38.233333333333334</v>
      </c>
      <c r="CF186" s="1">
        <f t="shared" si="103"/>
        <v>38.741666666666667</v>
      </c>
      <c r="CG186" s="1">
        <f t="shared" si="103"/>
        <v>39.24722222222222</v>
      </c>
      <c r="CH186" s="1">
        <f t="shared" si="103"/>
        <v>39.755555555555553</v>
      </c>
      <c r="CI186" s="1">
        <f t="shared" si="103"/>
        <v>40.261111111111113</v>
      </c>
      <c r="CJ186" s="1">
        <f t="shared" si="103"/>
        <v>40.769444444444446</v>
      </c>
      <c r="CK186" s="1">
        <f t="shared" si="103"/>
        <v>41.277777777777779</v>
      </c>
      <c r="CL186" s="1">
        <f t="shared" si="103"/>
        <v>41.786111111111111</v>
      </c>
      <c r="CM186" s="1">
        <f t="shared" si="103"/>
        <v>42.291666666666664</v>
      </c>
      <c r="CN186" s="1">
        <f t="shared" si="103"/>
        <v>42.8</v>
      </c>
      <c r="CO186" s="1">
        <f t="shared" si="103"/>
        <v>43.305555555555557</v>
      </c>
      <c r="CP186" s="1">
        <f t="shared" si="103"/>
        <v>43.81388888888889</v>
      </c>
      <c r="CQ186" s="1">
        <f t="shared" si="103"/>
        <v>44.319444444444443</v>
      </c>
      <c r="CR186" s="1">
        <f t="shared" si="103"/>
        <v>44.827777777777776</v>
      </c>
      <c r="CS186" s="1">
        <f t="shared" si="99"/>
        <v>45.336111111111109</v>
      </c>
      <c r="CT186" s="1">
        <f t="shared" si="99"/>
        <v>45.844444444444441</v>
      </c>
      <c r="CU186" s="1">
        <f t="shared" si="99"/>
        <v>46.35</v>
      </c>
      <c r="CV186" s="1">
        <f t="shared" si="99"/>
        <v>46.858333333333334</v>
      </c>
      <c r="CW186" s="1">
        <f t="shared" si="99"/>
        <v>47.363888888888887</v>
      </c>
      <c r="CX186" s="1">
        <f t="shared" si="99"/>
        <v>47.87222222222222</v>
      </c>
      <c r="CY186" s="1">
        <f t="shared" si="99"/>
        <v>48.37777777777778</v>
      </c>
      <c r="CZ186" s="1">
        <f t="shared" si="99"/>
        <v>48.886111111111113</v>
      </c>
      <c r="DA186" s="1">
        <f t="shared" si="99"/>
        <v>49.394444444444446</v>
      </c>
      <c r="DB186" s="1">
        <f t="shared" si="99"/>
        <v>49.902777777777779</v>
      </c>
      <c r="DC186" s="1">
        <f t="shared" si="99"/>
        <v>49.902777777777779</v>
      </c>
    </row>
    <row r="187" spans="1:107" x14ac:dyDescent="0.25">
      <c r="A187">
        <f t="shared" si="74"/>
        <v>2</v>
      </c>
      <c r="B187" s="2">
        <f>yields_BRUTE!B187</f>
        <v>42275</v>
      </c>
      <c r="C187" s="1">
        <f t="shared" si="104"/>
        <v>-0.58611111111111114</v>
      </c>
      <c r="D187" s="1">
        <f t="shared" si="104"/>
        <v>-0.54722222222222228</v>
      </c>
      <c r="E187" s="1">
        <f t="shared" si="104"/>
        <v>-0.33055555555555555</v>
      </c>
      <c r="F187" s="1">
        <f t="shared" si="104"/>
        <v>-7.4999999999999997E-2</v>
      </c>
      <c r="G187" s="1">
        <f t="shared" si="104"/>
        <v>-3.6111111111111108E-2</v>
      </c>
      <c r="H187" s="1">
        <f t="shared" si="104"/>
        <v>0.17777777777777778</v>
      </c>
      <c r="I187" s="1">
        <f t="shared" si="104"/>
        <v>0.17777777777777778</v>
      </c>
      <c r="J187" s="1">
        <f t="shared" si="104"/>
        <v>0.43055555555555558</v>
      </c>
      <c r="K187" s="1">
        <f t="shared" si="104"/>
        <v>0.46944444444444444</v>
      </c>
      <c r="L187" s="1">
        <f t="shared" si="104"/>
        <v>0.68611111111111112</v>
      </c>
      <c r="M187" s="1">
        <f t="shared" si="104"/>
        <v>0.94166666666666665</v>
      </c>
      <c r="N187" s="1">
        <f t="shared" si="104"/>
        <v>0.94166666666666665</v>
      </c>
      <c r="O187" s="1">
        <f t="shared" si="104"/>
        <v>0.98055555555555551</v>
      </c>
      <c r="P187" s="1">
        <f t="shared" si="104"/>
        <v>1.1944444444444444</v>
      </c>
      <c r="Q187" s="1">
        <f t="shared" si="104"/>
        <v>1.4833333333333334</v>
      </c>
      <c r="R187" s="1">
        <f t="shared" si="104"/>
        <v>1.7</v>
      </c>
      <c r="S187" s="1">
        <f t="shared" si="100"/>
        <v>1.9944444444444445</v>
      </c>
      <c r="T187" s="1">
        <f t="shared" si="100"/>
        <v>2.2083333333333335</v>
      </c>
      <c r="U187" s="1">
        <f t="shared" si="100"/>
        <v>2.4972222222222222</v>
      </c>
      <c r="V187" s="1">
        <f t="shared" si="100"/>
        <v>2.713888888888889</v>
      </c>
      <c r="W187" s="1">
        <f t="shared" si="100"/>
        <v>3.0083333333333333</v>
      </c>
      <c r="X187" s="1">
        <f t="shared" si="100"/>
        <v>3.2222222222222223</v>
      </c>
      <c r="Y187" s="1">
        <f t="shared" si="100"/>
        <v>3.5111111111111111</v>
      </c>
      <c r="Z187" s="1">
        <f t="shared" si="100"/>
        <v>3.7277777777777779</v>
      </c>
      <c r="AA187" s="1">
        <f t="shared" si="100"/>
        <v>4.0222222222222221</v>
      </c>
      <c r="AB187" s="1">
        <f t="shared" si="100"/>
        <v>4.2361111111111107</v>
      </c>
      <c r="AC187" s="1">
        <f t="shared" si="100"/>
        <v>4.5277777777777777</v>
      </c>
      <c r="AD187" s="1">
        <f t="shared" si="100"/>
        <v>4.7444444444444445</v>
      </c>
      <c r="AE187" s="1">
        <f t="shared" si="100"/>
        <v>4.7444444444444445</v>
      </c>
      <c r="AF187" s="3">
        <f t="shared" si="100"/>
        <v>5.0388888888888888</v>
      </c>
      <c r="AG187" s="1">
        <f t="shared" si="96"/>
        <v>5.2527777777777782</v>
      </c>
      <c r="AH187" s="1">
        <f t="shared" si="96"/>
        <v>5.541666666666667</v>
      </c>
      <c r="AI187" s="1">
        <f t="shared" si="96"/>
        <v>5.541666666666667</v>
      </c>
      <c r="AJ187" s="1">
        <f t="shared" si="96"/>
        <v>5.7583333333333337</v>
      </c>
      <c r="AK187" s="1">
        <f t="shared" si="96"/>
        <v>5.7583333333333337</v>
      </c>
      <c r="AL187" s="1">
        <f t="shared" si="96"/>
        <v>6.2666666666666666</v>
      </c>
      <c r="AM187" s="1">
        <f t="shared" si="96"/>
        <v>6.7722222222222221</v>
      </c>
      <c r="AN187" s="1">
        <f t="shared" si="96"/>
        <v>6.7722222222222221</v>
      </c>
      <c r="AO187" s="1">
        <f t="shared" si="96"/>
        <v>7.2805555555555559</v>
      </c>
      <c r="AP187" s="1">
        <f t="shared" si="96"/>
        <v>7.7861111111111114</v>
      </c>
      <c r="AQ187" s="1">
        <f t="shared" si="96"/>
        <v>7.7861111111111114</v>
      </c>
      <c r="AR187" s="1">
        <f t="shared" si="96"/>
        <v>8.2944444444444443</v>
      </c>
      <c r="AS187" s="1">
        <f t="shared" si="96"/>
        <v>8.8027777777777771</v>
      </c>
      <c r="AT187" s="1">
        <f t="shared" si="96"/>
        <v>9.3111111111111118</v>
      </c>
      <c r="AU187" s="1">
        <f t="shared" si="96"/>
        <v>9.8166666666666664</v>
      </c>
      <c r="AV187" s="1">
        <f t="shared" si="96"/>
        <v>9.8166666666666664</v>
      </c>
      <c r="AW187" s="1">
        <f t="shared" si="101"/>
        <v>14.383333333333333</v>
      </c>
      <c r="AX187" s="1">
        <f t="shared" si="97"/>
        <v>14.888888888888889</v>
      </c>
      <c r="AY187" s="1">
        <f t="shared" si="97"/>
        <v>15.397222222222222</v>
      </c>
      <c r="AZ187" s="1">
        <f t="shared" si="97"/>
        <v>15.902777777777779</v>
      </c>
      <c r="BA187" s="1">
        <f t="shared" si="97"/>
        <v>16.411111111111111</v>
      </c>
      <c r="BB187" s="1">
        <f t="shared" si="97"/>
        <v>16.919444444444444</v>
      </c>
      <c r="BC187" s="1">
        <f t="shared" si="97"/>
        <v>17.427777777777777</v>
      </c>
      <c r="BD187" s="1">
        <f t="shared" si="97"/>
        <v>17.933333333333334</v>
      </c>
      <c r="BE187" s="1">
        <f t="shared" si="97"/>
        <v>17.933333333333334</v>
      </c>
      <c r="BF187" s="1">
        <f t="shared" si="97"/>
        <v>26.558333333333334</v>
      </c>
      <c r="BG187" s="1">
        <f t="shared" si="97"/>
        <v>27.06388888888889</v>
      </c>
      <c r="BH187" s="1">
        <f t="shared" si="97"/>
        <v>27.572222222222223</v>
      </c>
      <c r="BI187" s="1">
        <f t="shared" si="97"/>
        <v>28.077777777777779</v>
      </c>
      <c r="BJ187" s="1">
        <f t="shared" si="97"/>
        <v>28.586111111111112</v>
      </c>
      <c r="BK187" s="1">
        <f t="shared" si="97"/>
        <v>29.094444444444445</v>
      </c>
      <c r="BL187" s="1">
        <f t="shared" si="97"/>
        <v>29.602777777777778</v>
      </c>
      <c r="BM187" s="1">
        <f t="shared" si="97"/>
        <v>30.108333333333334</v>
      </c>
      <c r="BN187" s="1">
        <f t="shared" si="102"/>
        <v>30.616666666666667</v>
      </c>
      <c r="BO187" s="1">
        <f t="shared" si="98"/>
        <v>30.616666666666667</v>
      </c>
      <c r="BP187" s="1">
        <f t="shared" si="98"/>
        <v>31.122222222222224</v>
      </c>
      <c r="BQ187" s="1">
        <f t="shared" si="98"/>
        <v>31.630555555555556</v>
      </c>
      <c r="BR187" s="1">
        <f t="shared" si="98"/>
        <v>32.136111111111113</v>
      </c>
      <c r="BS187" s="1">
        <f t="shared" si="98"/>
        <v>32.644444444444446</v>
      </c>
      <c r="BT187" s="1">
        <f t="shared" si="98"/>
        <v>33.152777777777779</v>
      </c>
      <c r="BU187" s="1">
        <f t="shared" si="98"/>
        <v>33.661111111111111</v>
      </c>
      <c r="BV187" s="1">
        <f t="shared" si="98"/>
        <v>33.661111111111111</v>
      </c>
      <c r="BW187" s="1">
        <f t="shared" si="98"/>
        <v>34.166666666666664</v>
      </c>
      <c r="BX187" s="1">
        <f t="shared" si="98"/>
        <v>34.674999999999997</v>
      </c>
      <c r="BY187" s="1">
        <f t="shared" si="98"/>
        <v>35.180555555555557</v>
      </c>
      <c r="BZ187" s="1">
        <f t="shared" si="98"/>
        <v>35.68888888888889</v>
      </c>
      <c r="CA187" s="1">
        <f t="shared" si="98"/>
        <v>36.194444444444443</v>
      </c>
      <c r="CB187" s="1">
        <f t="shared" si="98"/>
        <v>36.702777777777776</v>
      </c>
      <c r="CC187" s="1">
        <f t="shared" si="98"/>
        <v>37.211111111111109</v>
      </c>
      <c r="CD187" s="1">
        <f t="shared" si="98"/>
        <v>37.719444444444441</v>
      </c>
      <c r="CE187" s="1">
        <f t="shared" si="103"/>
        <v>38.225000000000001</v>
      </c>
      <c r="CF187" s="1">
        <f t="shared" si="103"/>
        <v>38.733333333333334</v>
      </c>
      <c r="CG187" s="1">
        <f t="shared" si="103"/>
        <v>39.238888888888887</v>
      </c>
      <c r="CH187" s="1">
        <f t="shared" si="103"/>
        <v>39.74722222222222</v>
      </c>
      <c r="CI187" s="1">
        <f t="shared" si="103"/>
        <v>40.25277777777778</v>
      </c>
      <c r="CJ187" s="1">
        <f t="shared" si="103"/>
        <v>40.761111111111113</v>
      </c>
      <c r="CK187" s="1">
        <f t="shared" si="103"/>
        <v>41.269444444444446</v>
      </c>
      <c r="CL187" s="1">
        <f t="shared" si="103"/>
        <v>41.777777777777779</v>
      </c>
      <c r="CM187" s="1">
        <f t="shared" si="103"/>
        <v>42.283333333333331</v>
      </c>
      <c r="CN187" s="1">
        <f t="shared" si="103"/>
        <v>42.791666666666664</v>
      </c>
      <c r="CO187" s="1">
        <f t="shared" si="103"/>
        <v>43.297222222222224</v>
      </c>
      <c r="CP187" s="1">
        <f t="shared" si="103"/>
        <v>43.805555555555557</v>
      </c>
      <c r="CQ187" s="1">
        <f t="shared" si="103"/>
        <v>44.31111111111111</v>
      </c>
      <c r="CR187" s="1">
        <f t="shared" si="103"/>
        <v>44.819444444444443</v>
      </c>
      <c r="CS187" s="1">
        <f t="shared" si="99"/>
        <v>45.327777777777776</v>
      </c>
      <c r="CT187" s="1">
        <f t="shared" si="99"/>
        <v>45.836111111111109</v>
      </c>
      <c r="CU187" s="1">
        <f t="shared" si="99"/>
        <v>46.341666666666669</v>
      </c>
      <c r="CV187" s="1">
        <f t="shared" si="99"/>
        <v>46.85</v>
      </c>
      <c r="CW187" s="1">
        <f t="shared" si="99"/>
        <v>47.355555555555554</v>
      </c>
      <c r="CX187" s="1">
        <f t="shared" si="99"/>
        <v>47.863888888888887</v>
      </c>
      <c r="CY187" s="1">
        <f t="shared" si="99"/>
        <v>48.369444444444447</v>
      </c>
      <c r="CZ187" s="1">
        <f t="shared" si="99"/>
        <v>48.87777777777778</v>
      </c>
      <c r="DA187" s="1">
        <f t="shared" si="99"/>
        <v>49.386111111111113</v>
      </c>
      <c r="DB187" s="1">
        <f t="shared" si="99"/>
        <v>49.894444444444446</v>
      </c>
      <c r="DC187" s="1">
        <f t="shared" si="99"/>
        <v>49.894444444444446</v>
      </c>
    </row>
    <row r="188" spans="1:107" x14ac:dyDescent="0.25">
      <c r="A188">
        <f t="shared" si="74"/>
        <v>3</v>
      </c>
      <c r="B188" s="2">
        <f>yields_BRUTE!B188</f>
        <v>42276</v>
      </c>
      <c r="C188" s="1">
        <f t="shared" si="104"/>
        <v>-0.58888888888888891</v>
      </c>
      <c r="D188" s="1">
        <f t="shared" si="104"/>
        <v>-0.55000000000000004</v>
      </c>
      <c r="E188" s="1">
        <f t="shared" si="104"/>
        <v>-0.33333333333333331</v>
      </c>
      <c r="F188" s="1">
        <f t="shared" si="104"/>
        <v>-7.7777777777777779E-2</v>
      </c>
      <c r="G188" s="1">
        <f t="shared" si="104"/>
        <v>-3.888888888888889E-2</v>
      </c>
      <c r="H188" s="1">
        <f t="shared" si="104"/>
        <v>0.17499999999999999</v>
      </c>
      <c r="I188" s="1">
        <f t="shared" si="104"/>
        <v>0.17499999999999999</v>
      </c>
      <c r="J188" s="1">
        <f t="shared" si="104"/>
        <v>0.42777777777777776</v>
      </c>
      <c r="K188" s="1">
        <f t="shared" si="104"/>
        <v>0.46666666666666667</v>
      </c>
      <c r="L188" s="1">
        <f t="shared" si="104"/>
        <v>0.68333333333333335</v>
      </c>
      <c r="M188" s="1">
        <f t="shared" si="104"/>
        <v>0.93888888888888888</v>
      </c>
      <c r="N188" s="1">
        <f t="shared" si="104"/>
        <v>0.93888888888888888</v>
      </c>
      <c r="O188" s="1">
        <f t="shared" si="104"/>
        <v>0.97777777777777775</v>
      </c>
      <c r="P188" s="1">
        <f t="shared" si="104"/>
        <v>1.1916666666666667</v>
      </c>
      <c r="Q188" s="1">
        <f t="shared" si="104"/>
        <v>1.4805555555555556</v>
      </c>
      <c r="R188" s="1">
        <f t="shared" si="104"/>
        <v>1.6972222222222222</v>
      </c>
      <c r="S188" s="1">
        <f t="shared" si="100"/>
        <v>1.9916666666666667</v>
      </c>
      <c r="T188" s="1">
        <f t="shared" si="100"/>
        <v>2.2055555555555557</v>
      </c>
      <c r="U188" s="1">
        <f t="shared" si="100"/>
        <v>2.4944444444444445</v>
      </c>
      <c r="V188" s="1">
        <f t="shared" si="100"/>
        <v>2.7111111111111112</v>
      </c>
      <c r="W188" s="1">
        <f t="shared" si="100"/>
        <v>3.0055555555555555</v>
      </c>
      <c r="X188" s="1">
        <f t="shared" si="100"/>
        <v>3.2194444444444446</v>
      </c>
      <c r="Y188" s="1">
        <f t="shared" si="100"/>
        <v>3.5083333333333333</v>
      </c>
      <c r="Z188" s="1">
        <f t="shared" si="100"/>
        <v>3.7250000000000001</v>
      </c>
      <c r="AA188" s="1">
        <f t="shared" si="100"/>
        <v>4.0194444444444448</v>
      </c>
      <c r="AB188" s="1">
        <f t="shared" si="100"/>
        <v>4.2333333333333334</v>
      </c>
      <c r="AC188" s="1">
        <f t="shared" si="100"/>
        <v>4.5250000000000004</v>
      </c>
      <c r="AD188" s="1">
        <f t="shared" si="100"/>
        <v>4.7416666666666663</v>
      </c>
      <c r="AE188" s="1">
        <f t="shared" si="100"/>
        <v>4.7416666666666663</v>
      </c>
      <c r="AF188" s="3">
        <f t="shared" si="100"/>
        <v>5.0361111111111114</v>
      </c>
      <c r="AG188" s="1">
        <f t="shared" si="96"/>
        <v>5.25</v>
      </c>
      <c r="AH188" s="1">
        <f t="shared" si="96"/>
        <v>5.5388888888888888</v>
      </c>
      <c r="AI188" s="1">
        <f t="shared" si="96"/>
        <v>5.5388888888888888</v>
      </c>
      <c r="AJ188" s="1">
        <f t="shared" si="96"/>
        <v>5.7555555555555555</v>
      </c>
      <c r="AK188" s="1">
        <f t="shared" si="96"/>
        <v>5.7555555555555555</v>
      </c>
      <c r="AL188" s="1">
        <f t="shared" si="96"/>
        <v>6.2638888888888893</v>
      </c>
      <c r="AM188" s="1">
        <f t="shared" si="96"/>
        <v>6.7694444444444448</v>
      </c>
      <c r="AN188" s="1">
        <f t="shared" si="96"/>
        <v>6.7694444444444448</v>
      </c>
      <c r="AO188" s="1">
        <f t="shared" si="96"/>
        <v>7.2777777777777777</v>
      </c>
      <c r="AP188" s="1">
        <f t="shared" si="96"/>
        <v>7.7833333333333332</v>
      </c>
      <c r="AQ188" s="1">
        <f t="shared" si="96"/>
        <v>7.7833333333333332</v>
      </c>
      <c r="AR188" s="1">
        <f t="shared" si="96"/>
        <v>8.2916666666666661</v>
      </c>
      <c r="AS188" s="1">
        <f t="shared" si="96"/>
        <v>8.8000000000000007</v>
      </c>
      <c r="AT188" s="1">
        <f t="shared" si="96"/>
        <v>9.3083333333333336</v>
      </c>
      <c r="AU188" s="1">
        <f t="shared" si="96"/>
        <v>9.8138888888888882</v>
      </c>
      <c r="AV188" s="1">
        <f t="shared" si="96"/>
        <v>9.8138888888888882</v>
      </c>
      <c r="AW188" s="1">
        <f t="shared" si="101"/>
        <v>14.380555555555556</v>
      </c>
      <c r="AX188" s="1">
        <f t="shared" si="97"/>
        <v>14.886111111111111</v>
      </c>
      <c r="AY188" s="1">
        <f t="shared" si="97"/>
        <v>15.394444444444444</v>
      </c>
      <c r="AZ188" s="1">
        <f t="shared" si="97"/>
        <v>15.9</v>
      </c>
      <c r="BA188" s="1">
        <f t="shared" si="97"/>
        <v>16.408333333333335</v>
      </c>
      <c r="BB188" s="1">
        <f t="shared" si="97"/>
        <v>16.916666666666668</v>
      </c>
      <c r="BC188" s="1">
        <f t="shared" si="97"/>
        <v>17.425000000000001</v>
      </c>
      <c r="BD188" s="1">
        <f t="shared" si="97"/>
        <v>17.930555555555557</v>
      </c>
      <c r="BE188" s="1">
        <f t="shared" si="97"/>
        <v>17.930555555555557</v>
      </c>
      <c r="BF188" s="1">
        <f t="shared" si="97"/>
        <v>26.555555555555557</v>
      </c>
      <c r="BG188" s="1">
        <f t="shared" si="97"/>
        <v>27.06111111111111</v>
      </c>
      <c r="BH188" s="1">
        <f t="shared" si="97"/>
        <v>27.569444444444443</v>
      </c>
      <c r="BI188" s="1">
        <f t="shared" si="97"/>
        <v>28.074999999999999</v>
      </c>
      <c r="BJ188" s="1">
        <f t="shared" si="97"/>
        <v>28.583333333333332</v>
      </c>
      <c r="BK188" s="1">
        <f t="shared" si="97"/>
        <v>29.091666666666665</v>
      </c>
      <c r="BL188" s="1">
        <f t="shared" si="97"/>
        <v>29.6</v>
      </c>
      <c r="BM188" s="1">
        <f t="shared" si="97"/>
        <v>30.105555555555554</v>
      </c>
      <c r="BN188" s="1">
        <f t="shared" si="102"/>
        <v>30.613888888888887</v>
      </c>
      <c r="BO188" s="1">
        <f t="shared" si="98"/>
        <v>30.613888888888887</v>
      </c>
      <c r="BP188" s="1">
        <f t="shared" si="98"/>
        <v>31.119444444444444</v>
      </c>
      <c r="BQ188" s="1">
        <f t="shared" si="98"/>
        <v>31.627777777777776</v>
      </c>
      <c r="BR188" s="1">
        <f t="shared" si="98"/>
        <v>32.133333333333333</v>
      </c>
      <c r="BS188" s="1">
        <f t="shared" si="98"/>
        <v>32.641666666666666</v>
      </c>
      <c r="BT188" s="1">
        <f t="shared" si="98"/>
        <v>33.15</v>
      </c>
      <c r="BU188" s="1">
        <f t="shared" si="98"/>
        <v>33.658333333333331</v>
      </c>
      <c r="BV188" s="1">
        <f t="shared" si="98"/>
        <v>33.658333333333331</v>
      </c>
      <c r="BW188" s="1">
        <f t="shared" si="98"/>
        <v>34.163888888888891</v>
      </c>
      <c r="BX188" s="1">
        <f t="shared" si="98"/>
        <v>34.672222222222224</v>
      </c>
      <c r="BY188" s="1">
        <f t="shared" si="98"/>
        <v>35.177777777777777</v>
      </c>
      <c r="BZ188" s="1">
        <f t="shared" si="98"/>
        <v>35.68611111111111</v>
      </c>
      <c r="CA188" s="1">
        <f t="shared" si="98"/>
        <v>36.19166666666667</v>
      </c>
      <c r="CB188" s="1">
        <f t="shared" si="98"/>
        <v>36.700000000000003</v>
      </c>
      <c r="CC188" s="1">
        <f t="shared" si="98"/>
        <v>37.208333333333336</v>
      </c>
      <c r="CD188" s="1">
        <f t="shared" si="98"/>
        <v>37.716666666666669</v>
      </c>
      <c r="CE188" s="1">
        <f t="shared" si="103"/>
        <v>38.222222222222221</v>
      </c>
      <c r="CF188" s="1">
        <f t="shared" si="103"/>
        <v>38.730555555555554</v>
      </c>
      <c r="CG188" s="1">
        <f t="shared" si="103"/>
        <v>39.236111111111114</v>
      </c>
      <c r="CH188" s="1">
        <f t="shared" si="103"/>
        <v>39.744444444444447</v>
      </c>
      <c r="CI188" s="1">
        <f t="shared" si="103"/>
        <v>40.25</v>
      </c>
      <c r="CJ188" s="1">
        <f t="shared" si="103"/>
        <v>40.758333333333333</v>
      </c>
      <c r="CK188" s="1">
        <f t="shared" si="103"/>
        <v>41.266666666666666</v>
      </c>
      <c r="CL188" s="1">
        <f t="shared" si="103"/>
        <v>41.774999999999999</v>
      </c>
      <c r="CM188" s="1">
        <f t="shared" si="103"/>
        <v>42.280555555555559</v>
      </c>
      <c r="CN188" s="1">
        <f t="shared" si="103"/>
        <v>42.788888888888891</v>
      </c>
      <c r="CO188" s="1">
        <f t="shared" si="103"/>
        <v>43.294444444444444</v>
      </c>
      <c r="CP188" s="1">
        <f t="shared" si="103"/>
        <v>43.802777777777777</v>
      </c>
      <c r="CQ188" s="1">
        <f t="shared" si="103"/>
        <v>44.30833333333333</v>
      </c>
      <c r="CR188" s="1">
        <f t="shared" si="103"/>
        <v>44.81666666666667</v>
      </c>
      <c r="CS188" s="1">
        <f t="shared" si="99"/>
        <v>45.325000000000003</v>
      </c>
      <c r="CT188" s="1">
        <f t="shared" si="99"/>
        <v>45.833333333333336</v>
      </c>
      <c r="CU188" s="1">
        <f t="shared" si="99"/>
        <v>46.338888888888889</v>
      </c>
      <c r="CV188" s="1">
        <f t="shared" si="99"/>
        <v>46.847222222222221</v>
      </c>
      <c r="CW188" s="1">
        <f t="shared" si="99"/>
        <v>47.352777777777774</v>
      </c>
      <c r="CX188" s="1">
        <f t="shared" si="99"/>
        <v>47.861111111111114</v>
      </c>
      <c r="CY188" s="1">
        <f t="shared" si="99"/>
        <v>48.366666666666667</v>
      </c>
      <c r="CZ188" s="1">
        <f t="shared" si="99"/>
        <v>48.875</v>
      </c>
      <c r="DA188" s="1">
        <f t="shared" si="99"/>
        <v>49.383333333333333</v>
      </c>
      <c r="DB188" s="1">
        <f t="shared" si="99"/>
        <v>49.891666666666666</v>
      </c>
      <c r="DC188" s="1">
        <f t="shared" si="99"/>
        <v>49.891666666666666</v>
      </c>
    </row>
    <row r="189" spans="1:107" x14ac:dyDescent="0.25">
      <c r="A189">
        <f t="shared" si="74"/>
        <v>4</v>
      </c>
      <c r="B189" s="2">
        <f>yields_BRUTE!B189</f>
        <v>42277</v>
      </c>
      <c r="C189" s="1">
        <f t="shared" si="104"/>
        <v>-0.59166666666666667</v>
      </c>
      <c r="D189" s="1">
        <f t="shared" si="104"/>
        <v>-0.55277777777777781</v>
      </c>
      <c r="E189" s="1">
        <f t="shared" si="104"/>
        <v>-0.33611111111111114</v>
      </c>
      <c r="F189" s="1">
        <f t="shared" si="104"/>
        <v>-8.0555555555555561E-2</v>
      </c>
      <c r="G189" s="1">
        <f t="shared" si="104"/>
        <v>-4.1666666666666664E-2</v>
      </c>
      <c r="H189" s="1">
        <f t="shared" si="104"/>
        <v>0.17222222222222222</v>
      </c>
      <c r="I189" s="1">
        <f t="shared" si="104"/>
        <v>0.17222222222222222</v>
      </c>
      <c r="J189" s="1">
        <f t="shared" si="104"/>
        <v>0.42499999999999999</v>
      </c>
      <c r="K189" s="1">
        <f t="shared" si="104"/>
        <v>0.46388888888888891</v>
      </c>
      <c r="L189" s="1">
        <f t="shared" si="104"/>
        <v>0.68055555555555558</v>
      </c>
      <c r="M189" s="1">
        <f t="shared" si="104"/>
        <v>0.93611111111111112</v>
      </c>
      <c r="N189" s="1">
        <f t="shared" si="104"/>
        <v>0.93611111111111112</v>
      </c>
      <c r="O189" s="1">
        <f t="shared" si="104"/>
        <v>0.97499999999999998</v>
      </c>
      <c r="P189" s="1">
        <f t="shared" si="104"/>
        <v>1.1888888888888889</v>
      </c>
      <c r="Q189" s="1">
        <f t="shared" si="104"/>
        <v>1.4777777777777779</v>
      </c>
      <c r="R189" s="1">
        <f t="shared" si="104"/>
        <v>1.6944444444444444</v>
      </c>
      <c r="S189" s="1">
        <f t="shared" si="100"/>
        <v>1.9888888888888889</v>
      </c>
      <c r="T189" s="1">
        <f t="shared" si="100"/>
        <v>2.2027777777777779</v>
      </c>
      <c r="U189" s="1">
        <f t="shared" si="100"/>
        <v>2.4916666666666667</v>
      </c>
      <c r="V189" s="1">
        <f t="shared" si="100"/>
        <v>2.7083333333333335</v>
      </c>
      <c r="W189" s="1">
        <f t="shared" si="100"/>
        <v>3.0027777777777778</v>
      </c>
      <c r="X189" s="1">
        <f t="shared" si="100"/>
        <v>3.2166666666666668</v>
      </c>
      <c r="Y189" s="1">
        <f t="shared" si="100"/>
        <v>3.5055555555555555</v>
      </c>
      <c r="Z189" s="1">
        <f t="shared" si="100"/>
        <v>3.7222222222222223</v>
      </c>
      <c r="AA189" s="1">
        <f t="shared" si="100"/>
        <v>4.0166666666666666</v>
      </c>
      <c r="AB189" s="1">
        <f t="shared" si="100"/>
        <v>4.2305555555555552</v>
      </c>
      <c r="AC189" s="1">
        <f t="shared" si="100"/>
        <v>4.5222222222222221</v>
      </c>
      <c r="AD189" s="1">
        <f t="shared" si="100"/>
        <v>4.7388888888888889</v>
      </c>
      <c r="AE189" s="1">
        <f t="shared" si="100"/>
        <v>4.7388888888888889</v>
      </c>
      <c r="AF189" s="3">
        <f t="shared" si="100"/>
        <v>5.0333333333333332</v>
      </c>
      <c r="AG189" s="1">
        <f t="shared" si="96"/>
        <v>5.2472222222222218</v>
      </c>
      <c r="AH189" s="1">
        <f t="shared" si="96"/>
        <v>5.5361111111111114</v>
      </c>
      <c r="AI189" s="1">
        <f t="shared" si="96"/>
        <v>5.5361111111111114</v>
      </c>
      <c r="AJ189" s="1">
        <f t="shared" si="96"/>
        <v>5.7527777777777782</v>
      </c>
      <c r="AK189" s="1">
        <f t="shared" si="96"/>
        <v>5.7527777777777782</v>
      </c>
      <c r="AL189" s="1">
        <f t="shared" si="96"/>
        <v>6.2611111111111111</v>
      </c>
      <c r="AM189" s="1">
        <f t="shared" si="96"/>
        <v>6.7666666666666666</v>
      </c>
      <c r="AN189" s="1">
        <f t="shared" si="96"/>
        <v>6.7666666666666666</v>
      </c>
      <c r="AO189" s="1">
        <f t="shared" si="96"/>
        <v>7.2750000000000004</v>
      </c>
      <c r="AP189" s="1">
        <f t="shared" si="96"/>
        <v>7.7805555555555559</v>
      </c>
      <c r="AQ189" s="1">
        <f t="shared" si="96"/>
        <v>7.7805555555555559</v>
      </c>
      <c r="AR189" s="1">
        <f t="shared" si="96"/>
        <v>8.2888888888888896</v>
      </c>
      <c r="AS189" s="1">
        <f t="shared" si="96"/>
        <v>8.7972222222222225</v>
      </c>
      <c r="AT189" s="1">
        <f t="shared" si="96"/>
        <v>9.3055555555555554</v>
      </c>
      <c r="AU189" s="1">
        <f t="shared" si="96"/>
        <v>9.8111111111111118</v>
      </c>
      <c r="AV189" s="1">
        <f t="shared" si="96"/>
        <v>9.8111111111111118</v>
      </c>
      <c r="AW189" s="1">
        <f t="shared" si="101"/>
        <v>14.377777777777778</v>
      </c>
      <c r="AX189" s="1">
        <f t="shared" si="97"/>
        <v>14.883333333333333</v>
      </c>
      <c r="AY189" s="1">
        <f t="shared" si="97"/>
        <v>15.391666666666667</v>
      </c>
      <c r="AZ189" s="1">
        <f t="shared" si="97"/>
        <v>15.897222222222222</v>
      </c>
      <c r="BA189" s="1">
        <f t="shared" si="97"/>
        <v>16.405555555555555</v>
      </c>
      <c r="BB189" s="1">
        <f t="shared" si="97"/>
        <v>16.913888888888888</v>
      </c>
      <c r="BC189" s="1">
        <f t="shared" si="97"/>
        <v>17.422222222222221</v>
      </c>
      <c r="BD189" s="1">
        <f t="shared" si="97"/>
        <v>17.927777777777777</v>
      </c>
      <c r="BE189" s="1">
        <f t="shared" si="97"/>
        <v>17.927777777777777</v>
      </c>
      <c r="BF189" s="1">
        <f t="shared" si="97"/>
        <v>26.552777777777777</v>
      </c>
      <c r="BG189" s="1">
        <f t="shared" si="97"/>
        <v>27.058333333333334</v>
      </c>
      <c r="BH189" s="1">
        <f t="shared" si="97"/>
        <v>27.566666666666666</v>
      </c>
      <c r="BI189" s="1">
        <f t="shared" si="97"/>
        <v>28.072222222222223</v>
      </c>
      <c r="BJ189" s="1">
        <f t="shared" si="97"/>
        <v>28.580555555555556</v>
      </c>
      <c r="BK189" s="1">
        <f t="shared" si="97"/>
        <v>29.088888888888889</v>
      </c>
      <c r="BL189" s="1">
        <f t="shared" si="97"/>
        <v>29.597222222222221</v>
      </c>
      <c r="BM189" s="1">
        <f t="shared" si="97"/>
        <v>30.102777777777778</v>
      </c>
      <c r="BN189" s="1">
        <f t="shared" si="102"/>
        <v>30.611111111111111</v>
      </c>
      <c r="BO189" s="1">
        <f t="shared" si="98"/>
        <v>30.611111111111111</v>
      </c>
      <c r="BP189" s="1">
        <f t="shared" si="98"/>
        <v>31.116666666666667</v>
      </c>
      <c r="BQ189" s="1">
        <f t="shared" si="98"/>
        <v>31.625</v>
      </c>
      <c r="BR189" s="1">
        <f t="shared" si="98"/>
        <v>32.130555555555553</v>
      </c>
      <c r="BS189" s="1">
        <f t="shared" si="98"/>
        <v>32.638888888888886</v>
      </c>
      <c r="BT189" s="1">
        <f t="shared" si="98"/>
        <v>33.147222222222226</v>
      </c>
      <c r="BU189" s="1">
        <f t="shared" si="98"/>
        <v>33.655555555555559</v>
      </c>
      <c r="BV189" s="1">
        <f t="shared" si="98"/>
        <v>33.655555555555559</v>
      </c>
      <c r="BW189" s="1">
        <f t="shared" si="98"/>
        <v>34.161111111111111</v>
      </c>
      <c r="BX189" s="1">
        <f t="shared" si="98"/>
        <v>34.669444444444444</v>
      </c>
      <c r="BY189" s="1">
        <f t="shared" si="98"/>
        <v>35.174999999999997</v>
      </c>
      <c r="BZ189" s="1">
        <f t="shared" si="98"/>
        <v>35.68333333333333</v>
      </c>
      <c r="CA189" s="1">
        <f t="shared" si="98"/>
        <v>36.18888888888889</v>
      </c>
      <c r="CB189" s="1">
        <f t="shared" si="98"/>
        <v>36.697222222222223</v>
      </c>
      <c r="CC189" s="1">
        <f t="shared" si="98"/>
        <v>37.205555555555556</v>
      </c>
      <c r="CD189" s="1">
        <f t="shared" si="98"/>
        <v>37.713888888888889</v>
      </c>
      <c r="CE189" s="1">
        <f t="shared" si="103"/>
        <v>38.219444444444441</v>
      </c>
      <c r="CF189" s="1">
        <f t="shared" si="103"/>
        <v>38.727777777777774</v>
      </c>
      <c r="CG189" s="1">
        <f t="shared" si="103"/>
        <v>39.233333333333334</v>
      </c>
      <c r="CH189" s="1">
        <f t="shared" si="103"/>
        <v>39.741666666666667</v>
      </c>
      <c r="CI189" s="1">
        <f t="shared" si="103"/>
        <v>40.24722222222222</v>
      </c>
      <c r="CJ189" s="1">
        <f t="shared" si="103"/>
        <v>40.755555555555553</v>
      </c>
      <c r="CK189" s="1">
        <f t="shared" si="103"/>
        <v>41.263888888888886</v>
      </c>
      <c r="CL189" s="1">
        <f t="shared" si="103"/>
        <v>41.772222222222226</v>
      </c>
      <c r="CM189" s="1">
        <f t="shared" si="103"/>
        <v>42.277777777777779</v>
      </c>
      <c r="CN189" s="1">
        <f t="shared" si="103"/>
        <v>42.786111111111111</v>
      </c>
      <c r="CO189" s="1">
        <f t="shared" si="103"/>
        <v>43.291666666666664</v>
      </c>
      <c r="CP189" s="1">
        <f t="shared" si="103"/>
        <v>43.8</v>
      </c>
      <c r="CQ189" s="1">
        <f t="shared" si="103"/>
        <v>44.305555555555557</v>
      </c>
      <c r="CR189" s="1">
        <f t="shared" si="103"/>
        <v>44.81388888888889</v>
      </c>
      <c r="CS189" s="1">
        <f t="shared" si="99"/>
        <v>45.322222222222223</v>
      </c>
      <c r="CT189" s="1">
        <f t="shared" si="99"/>
        <v>45.830555555555556</v>
      </c>
      <c r="CU189" s="1">
        <f t="shared" si="99"/>
        <v>46.336111111111109</v>
      </c>
      <c r="CV189" s="1">
        <f t="shared" si="99"/>
        <v>46.844444444444441</v>
      </c>
      <c r="CW189" s="1">
        <f t="shared" si="99"/>
        <v>47.35</v>
      </c>
      <c r="CX189" s="1">
        <f t="shared" si="99"/>
        <v>47.858333333333334</v>
      </c>
      <c r="CY189" s="1">
        <f t="shared" si="99"/>
        <v>48.363888888888887</v>
      </c>
      <c r="CZ189" s="1">
        <f t="shared" si="99"/>
        <v>48.87222222222222</v>
      </c>
      <c r="DA189" s="1">
        <f t="shared" si="99"/>
        <v>49.380555555555553</v>
      </c>
      <c r="DB189" s="1">
        <f t="shared" si="99"/>
        <v>49.888888888888886</v>
      </c>
      <c r="DC189" s="1">
        <f t="shared" si="99"/>
        <v>49.888888888888886</v>
      </c>
    </row>
    <row r="190" spans="1:107" x14ac:dyDescent="0.25">
      <c r="A190">
        <f t="shared" si="74"/>
        <v>5</v>
      </c>
      <c r="B190" s="2">
        <f>yields_BRUTE!B190</f>
        <v>42278</v>
      </c>
      <c r="C190" s="1">
        <f t="shared" si="104"/>
        <v>-0.59444444444444444</v>
      </c>
      <c r="D190" s="1">
        <f t="shared" si="104"/>
        <v>-0.55555555555555558</v>
      </c>
      <c r="E190" s="1">
        <f t="shared" si="104"/>
        <v>-0.33888888888888891</v>
      </c>
      <c r="F190" s="1">
        <f t="shared" si="104"/>
        <v>-8.3333333333333329E-2</v>
      </c>
      <c r="G190" s="1">
        <f t="shared" si="104"/>
        <v>-4.4444444444444446E-2</v>
      </c>
      <c r="H190" s="1">
        <f t="shared" si="104"/>
        <v>0.16944444444444445</v>
      </c>
      <c r="I190" s="1">
        <f t="shared" si="104"/>
        <v>0.16944444444444445</v>
      </c>
      <c r="J190" s="1">
        <f t="shared" si="104"/>
        <v>0.42222222222222222</v>
      </c>
      <c r="K190" s="1">
        <f t="shared" si="104"/>
        <v>0.46111111111111114</v>
      </c>
      <c r="L190" s="1">
        <f t="shared" si="104"/>
        <v>0.67777777777777781</v>
      </c>
      <c r="M190" s="1">
        <f t="shared" si="104"/>
        <v>0.93333333333333335</v>
      </c>
      <c r="N190" s="1">
        <f t="shared" si="104"/>
        <v>0.93333333333333335</v>
      </c>
      <c r="O190" s="1">
        <f t="shared" si="104"/>
        <v>0.97222222222222221</v>
      </c>
      <c r="P190" s="1">
        <f t="shared" si="104"/>
        <v>1.1861111111111111</v>
      </c>
      <c r="Q190" s="1">
        <f t="shared" si="104"/>
        <v>1.4750000000000001</v>
      </c>
      <c r="R190" s="1">
        <f t="shared" si="104"/>
        <v>1.6916666666666667</v>
      </c>
      <c r="S190" s="1">
        <f t="shared" si="100"/>
        <v>1.9861111111111112</v>
      </c>
      <c r="T190" s="1">
        <f t="shared" si="100"/>
        <v>2.2000000000000002</v>
      </c>
      <c r="U190" s="1">
        <f t="shared" si="100"/>
        <v>2.4888888888888889</v>
      </c>
      <c r="V190" s="1">
        <f t="shared" si="100"/>
        <v>2.7055555555555557</v>
      </c>
      <c r="W190" s="1">
        <f t="shared" si="100"/>
        <v>3</v>
      </c>
      <c r="X190" s="1">
        <f t="shared" si="100"/>
        <v>3.213888888888889</v>
      </c>
      <c r="Y190" s="1">
        <f t="shared" si="100"/>
        <v>3.5027777777777778</v>
      </c>
      <c r="Z190" s="1">
        <f t="shared" si="100"/>
        <v>3.7194444444444446</v>
      </c>
      <c r="AA190" s="1">
        <f t="shared" si="100"/>
        <v>4.0138888888888893</v>
      </c>
      <c r="AB190" s="1">
        <f t="shared" si="100"/>
        <v>4.2277777777777779</v>
      </c>
      <c r="AC190" s="1">
        <f t="shared" si="100"/>
        <v>4.5194444444444448</v>
      </c>
      <c r="AD190" s="1">
        <f t="shared" si="100"/>
        <v>4.7361111111111107</v>
      </c>
      <c r="AE190" s="1">
        <f t="shared" si="100"/>
        <v>4.7361111111111107</v>
      </c>
      <c r="AF190" s="3">
        <f t="shared" si="100"/>
        <v>5.0305555555555559</v>
      </c>
      <c r="AG190" s="1">
        <f t="shared" si="96"/>
        <v>5.2444444444444445</v>
      </c>
      <c r="AH190" s="1">
        <f t="shared" si="96"/>
        <v>5.5333333333333332</v>
      </c>
      <c r="AI190" s="1">
        <f t="shared" si="96"/>
        <v>5.5333333333333332</v>
      </c>
      <c r="AJ190" s="1">
        <f t="shared" si="96"/>
        <v>5.75</v>
      </c>
      <c r="AK190" s="1">
        <f t="shared" si="96"/>
        <v>5.75</v>
      </c>
      <c r="AL190" s="1">
        <f t="shared" si="96"/>
        <v>6.2583333333333337</v>
      </c>
      <c r="AM190" s="1">
        <f t="shared" si="96"/>
        <v>6.7638888888888893</v>
      </c>
      <c r="AN190" s="1">
        <f t="shared" si="96"/>
        <v>6.7638888888888893</v>
      </c>
      <c r="AO190" s="1">
        <f t="shared" si="96"/>
        <v>7.2722222222222221</v>
      </c>
      <c r="AP190" s="1">
        <f t="shared" si="96"/>
        <v>7.7777777777777777</v>
      </c>
      <c r="AQ190" s="1">
        <f t="shared" si="96"/>
        <v>7.7777777777777777</v>
      </c>
      <c r="AR190" s="1">
        <f t="shared" si="96"/>
        <v>8.2861111111111114</v>
      </c>
      <c r="AS190" s="1">
        <f t="shared" si="96"/>
        <v>8.7944444444444443</v>
      </c>
      <c r="AT190" s="1">
        <f t="shared" si="96"/>
        <v>9.3027777777777771</v>
      </c>
      <c r="AU190" s="1">
        <f t="shared" si="96"/>
        <v>9.8083333333333336</v>
      </c>
      <c r="AV190" s="1">
        <f t="shared" si="96"/>
        <v>9.8083333333333336</v>
      </c>
      <c r="AW190" s="1">
        <f t="shared" si="101"/>
        <v>14.375</v>
      </c>
      <c r="AX190" s="1">
        <f t="shared" si="97"/>
        <v>14.880555555555556</v>
      </c>
      <c r="AY190" s="1">
        <f t="shared" si="97"/>
        <v>15.388888888888889</v>
      </c>
      <c r="AZ190" s="1">
        <f t="shared" si="97"/>
        <v>15.894444444444444</v>
      </c>
      <c r="BA190" s="1">
        <f t="shared" si="97"/>
        <v>16.402777777777779</v>
      </c>
      <c r="BB190" s="1">
        <f t="shared" si="97"/>
        <v>16.911111111111111</v>
      </c>
      <c r="BC190" s="1">
        <f t="shared" si="97"/>
        <v>17.419444444444444</v>
      </c>
      <c r="BD190" s="1">
        <f t="shared" si="97"/>
        <v>17.925000000000001</v>
      </c>
      <c r="BE190" s="1">
        <f t="shared" si="97"/>
        <v>17.925000000000001</v>
      </c>
      <c r="BF190" s="1">
        <f t="shared" si="97"/>
        <v>26.55</v>
      </c>
      <c r="BG190" s="1">
        <f t="shared" si="97"/>
        <v>27.055555555555557</v>
      </c>
      <c r="BH190" s="1">
        <f t="shared" si="97"/>
        <v>27.56388888888889</v>
      </c>
      <c r="BI190" s="1">
        <f t="shared" si="97"/>
        <v>28.069444444444443</v>
      </c>
      <c r="BJ190" s="1">
        <f t="shared" si="97"/>
        <v>28.577777777777779</v>
      </c>
      <c r="BK190" s="1">
        <f t="shared" si="97"/>
        <v>29.086111111111112</v>
      </c>
      <c r="BL190" s="1">
        <f t="shared" si="97"/>
        <v>29.594444444444445</v>
      </c>
      <c r="BM190" s="1">
        <f t="shared" si="97"/>
        <v>30.1</v>
      </c>
      <c r="BN190" s="1">
        <f t="shared" si="102"/>
        <v>30.608333333333334</v>
      </c>
      <c r="BO190" s="1">
        <f t="shared" si="98"/>
        <v>30.608333333333334</v>
      </c>
      <c r="BP190" s="1">
        <f t="shared" si="98"/>
        <v>31.113888888888887</v>
      </c>
      <c r="BQ190" s="1">
        <f t="shared" si="98"/>
        <v>31.622222222222224</v>
      </c>
      <c r="BR190" s="1">
        <f t="shared" si="98"/>
        <v>32.12777777777778</v>
      </c>
      <c r="BS190" s="1">
        <f t="shared" si="98"/>
        <v>32.636111111111113</v>
      </c>
      <c r="BT190" s="1">
        <f t="shared" si="98"/>
        <v>33.144444444444446</v>
      </c>
      <c r="BU190" s="1">
        <f t="shared" si="98"/>
        <v>33.652777777777779</v>
      </c>
      <c r="BV190" s="1">
        <f t="shared" si="98"/>
        <v>33.652777777777779</v>
      </c>
      <c r="BW190" s="1">
        <f t="shared" si="98"/>
        <v>34.158333333333331</v>
      </c>
      <c r="BX190" s="1">
        <f t="shared" si="98"/>
        <v>34.666666666666664</v>
      </c>
      <c r="BY190" s="1">
        <f t="shared" si="98"/>
        <v>35.172222222222224</v>
      </c>
      <c r="BZ190" s="1">
        <f t="shared" si="98"/>
        <v>35.680555555555557</v>
      </c>
      <c r="CA190" s="1">
        <f t="shared" si="98"/>
        <v>36.18611111111111</v>
      </c>
      <c r="CB190" s="1">
        <f t="shared" si="98"/>
        <v>36.694444444444443</v>
      </c>
      <c r="CC190" s="1">
        <f t="shared" si="98"/>
        <v>37.202777777777776</v>
      </c>
      <c r="CD190" s="1">
        <f t="shared" si="98"/>
        <v>37.711111111111109</v>
      </c>
      <c r="CE190" s="1">
        <f t="shared" si="103"/>
        <v>38.216666666666669</v>
      </c>
      <c r="CF190" s="1">
        <f t="shared" si="103"/>
        <v>38.725000000000001</v>
      </c>
      <c r="CG190" s="1">
        <f t="shared" si="103"/>
        <v>39.230555555555554</v>
      </c>
      <c r="CH190" s="1">
        <f t="shared" si="103"/>
        <v>39.738888888888887</v>
      </c>
      <c r="CI190" s="1">
        <f t="shared" si="103"/>
        <v>40.244444444444447</v>
      </c>
      <c r="CJ190" s="1">
        <f t="shared" si="103"/>
        <v>40.75277777777778</v>
      </c>
      <c r="CK190" s="1">
        <f t="shared" si="103"/>
        <v>41.261111111111113</v>
      </c>
      <c r="CL190" s="1">
        <f t="shared" si="103"/>
        <v>41.769444444444446</v>
      </c>
      <c r="CM190" s="1">
        <f t="shared" si="103"/>
        <v>42.274999999999999</v>
      </c>
      <c r="CN190" s="1">
        <f t="shared" si="103"/>
        <v>42.783333333333331</v>
      </c>
      <c r="CO190" s="1">
        <f t="shared" si="103"/>
        <v>43.288888888888891</v>
      </c>
      <c r="CP190" s="1">
        <f t="shared" si="103"/>
        <v>43.797222222222224</v>
      </c>
      <c r="CQ190" s="1">
        <f t="shared" si="103"/>
        <v>44.302777777777777</v>
      </c>
      <c r="CR190" s="1">
        <f t="shared" si="103"/>
        <v>44.81111111111111</v>
      </c>
      <c r="CS190" s="1">
        <f t="shared" si="99"/>
        <v>45.319444444444443</v>
      </c>
      <c r="CT190" s="1">
        <f t="shared" si="99"/>
        <v>45.827777777777776</v>
      </c>
      <c r="CU190" s="1">
        <f t="shared" si="99"/>
        <v>46.333333333333336</v>
      </c>
      <c r="CV190" s="1">
        <f t="shared" si="99"/>
        <v>46.841666666666669</v>
      </c>
      <c r="CW190" s="1">
        <f t="shared" si="99"/>
        <v>47.347222222222221</v>
      </c>
      <c r="CX190" s="1">
        <f t="shared" si="99"/>
        <v>47.855555555555554</v>
      </c>
      <c r="CY190" s="1">
        <f t="shared" si="99"/>
        <v>48.361111111111114</v>
      </c>
      <c r="CZ190" s="1">
        <f t="shared" si="99"/>
        <v>48.869444444444447</v>
      </c>
      <c r="DA190" s="1">
        <f t="shared" si="99"/>
        <v>49.37777777777778</v>
      </c>
      <c r="DB190" s="1">
        <f t="shared" si="99"/>
        <v>49.886111111111113</v>
      </c>
      <c r="DC190" s="1">
        <f t="shared" si="99"/>
        <v>49.886111111111113</v>
      </c>
    </row>
    <row r="191" spans="1:107" x14ac:dyDescent="0.25">
      <c r="A191">
        <f t="shared" si="74"/>
        <v>6</v>
      </c>
      <c r="B191" s="2">
        <f>yields_BRUTE!B191</f>
        <v>42279</v>
      </c>
      <c r="C191" s="1">
        <f t="shared" si="104"/>
        <v>-0.59722222222222221</v>
      </c>
      <c r="D191" s="1">
        <f t="shared" si="104"/>
        <v>-0.55833333333333335</v>
      </c>
      <c r="E191" s="1">
        <f t="shared" si="104"/>
        <v>-0.34166666666666667</v>
      </c>
      <c r="F191" s="1">
        <f t="shared" si="104"/>
        <v>-8.611111111111111E-2</v>
      </c>
      <c r="G191" s="1">
        <f t="shared" si="104"/>
        <v>-4.7222222222222221E-2</v>
      </c>
      <c r="H191" s="1">
        <f t="shared" si="104"/>
        <v>0.16666666666666666</v>
      </c>
      <c r="I191" s="1">
        <f t="shared" si="104"/>
        <v>0.16666666666666666</v>
      </c>
      <c r="J191" s="1">
        <f t="shared" si="104"/>
        <v>0.41944444444444445</v>
      </c>
      <c r="K191" s="1">
        <f t="shared" si="104"/>
        <v>0.45833333333333331</v>
      </c>
      <c r="L191" s="1">
        <f t="shared" si="104"/>
        <v>0.67500000000000004</v>
      </c>
      <c r="M191" s="1">
        <f t="shared" si="104"/>
        <v>0.93055555555555558</v>
      </c>
      <c r="N191" s="1">
        <f t="shared" si="104"/>
        <v>0.93055555555555558</v>
      </c>
      <c r="O191" s="1">
        <f t="shared" si="104"/>
        <v>0.96944444444444444</v>
      </c>
      <c r="P191" s="1">
        <f t="shared" si="104"/>
        <v>1.1833333333333333</v>
      </c>
      <c r="Q191" s="1">
        <f t="shared" si="104"/>
        <v>1.4722222222222223</v>
      </c>
      <c r="R191" s="1">
        <f t="shared" si="104"/>
        <v>1.6888888888888889</v>
      </c>
      <c r="S191" s="1">
        <f t="shared" si="100"/>
        <v>1.9833333333333334</v>
      </c>
      <c r="T191" s="1">
        <f t="shared" si="100"/>
        <v>2.1972222222222224</v>
      </c>
      <c r="U191" s="1">
        <f t="shared" si="100"/>
        <v>2.4861111111111112</v>
      </c>
      <c r="V191" s="1">
        <f t="shared" si="100"/>
        <v>2.7027777777777779</v>
      </c>
      <c r="W191" s="1">
        <f t="shared" si="100"/>
        <v>2.9972222222222222</v>
      </c>
      <c r="X191" s="1">
        <f t="shared" si="100"/>
        <v>3.2111111111111112</v>
      </c>
      <c r="Y191" s="1">
        <f t="shared" si="100"/>
        <v>3.5</v>
      </c>
      <c r="Z191" s="1">
        <f t="shared" si="100"/>
        <v>3.7166666666666668</v>
      </c>
      <c r="AA191" s="1">
        <f t="shared" si="100"/>
        <v>4.0111111111111111</v>
      </c>
      <c r="AB191" s="1">
        <f t="shared" si="100"/>
        <v>4.2249999999999996</v>
      </c>
      <c r="AC191" s="1">
        <f t="shared" si="100"/>
        <v>4.5166666666666666</v>
      </c>
      <c r="AD191" s="1">
        <f t="shared" si="100"/>
        <v>4.7333333333333334</v>
      </c>
      <c r="AE191" s="1">
        <f t="shared" si="100"/>
        <v>4.7333333333333334</v>
      </c>
      <c r="AF191" s="3">
        <f t="shared" si="100"/>
        <v>5.0277777777777777</v>
      </c>
      <c r="AG191" s="1">
        <f t="shared" si="96"/>
        <v>5.2416666666666663</v>
      </c>
      <c r="AH191" s="1">
        <f t="shared" si="96"/>
        <v>5.5305555555555559</v>
      </c>
      <c r="AI191" s="1">
        <f t="shared" si="96"/>
        <v>5.5305555555555559</v>
      </c>
      <c r="AJ191" s="1">
        <f t="shared" si="96"/>
        <v>5.7472222222222218</v>
      </c>
      <c r="AK191" s="1">
        <f t="shared" si="96"/>
        <v>5.7472222222222218</v>
      </c>
      <c r="AL191" s="1">
        <f t="shared" si="96"/>
        <v>6.2555555555555555</v>
      </c>
      <c r="AM191" s="1">
        <f t="shared" si="96"/>
        <v>6.7611111111111111</v>
      </c>
      <c r="AN191" s="1">
        <f t="shared" si="96"/>
        <v>6.7611111111111111</v>
      </c>
      <c r="AO191" s="1">
        <f t="shared" si="96"/>
        <v>7.2694444444444448</v>
      </c>
      <c r="AP191" s="1">
        <f t="shared" si="96"/>
        <v>7.7750000000000004</v>
      </c>
      <c r="AQ191" s="1">
        <f t="shared" si="96"/>
        <v>7.7750000000000004</v>
      </c>
      <c r="AR191" s="1">
        <f t="shared" si="96"/>
        <v>8.2833333333333332</v>
      </c>
      <c r="AS191" s="1">
        <f t="shared" si="96"/>
        <v>8.7916666666666661</v>
      </c>
      <c r="AT191" s="1">
        <f t="shared" si="96"/>
        <v>9.3000000000000007</v>
      </c>
      <c r="AU191" s="1">
        <f t="shared" si="96"/>
        <v>9.8055555555555554</v>
      </c>
      <c r="AV191" s="1">
        <f t="shared" si="96"/>
        <v>9.8055555555555554</v>
      </c>
      <c r="AW191" s="1">
        <f t="shared" si="101"/>
        <v>14.372222222222222</v>
      </c>
      <c r="AX191" s="1">
        <f t="shared" si="97"/>
        <v>14.877777777777778</v>
      </c>
      <c r="AY191" s="1">
        <f t="shared" si="97"/>
        <v>15.386111111111111</v>
      </c>
      <c r="AZ191" s="1">
        <f t="shared" si="97"/>
        <v>15.891666666666667</v>
      </c>
      <c r="BA191" s="1">
        <f t="shared" si="97"/>
        <v>16.399999999999999</v>
      </c>
      <c r="BB191" s="1">
        <f t="shared" si="97"/>
        <v>16.908333333333335</v>
      </c>
      <c r="BC191" s="1">
        <f t="shared" si="97"/>
        <v>17.416666666666668</v>
      </c>
      <c r="BD191" s="1">
        <f t="shared" si="97"/>
        <v>17.922222222222221</v>
      </c>
      <c r="BE191" s="1">
        <f t="shared" si="97"/>
        <v>17.922222222222221</v>
      </c>
      <c r="BF191" s="1">
        <f t="shared" si="97"/>
        <v>26.547222222222221</v>
      </c>
      <c r="BG191" s="1">
        <f t="shared" si="97"/>
        <v>27.052777777777777</v>
      </c>
      <c r="BH191" s="1">
        <f t="shared" si="97"/>
        <v>27.56111111111111</v>
      </c>
      <c r="BI191" s="1">
        <f t="shared" si="97"/>
        <v>28.066666666666666</v>
      </c>
      <c r="BJ191" s="1">
        <f t="shared" si="97"/>
        <v>28.574999999999999</v>
      </c>
      <c r="BK191" s="1">
        <f t="shared" si="97"/>
        <v>29.083333333333332</v>
      </c>
      <c r="BL191" s="1">
        <f t="shared" si="97"/>
        <v>29.591666666666665</v>
      </c>
      <c r="BM191" s="1">
        <f t="shared" si="97"/>
        <v>30.097222222222221</v>
      </c>
      <c r="BN191" s="1">
        <f t="shared" si="102"/>
        <v>30.605555555555554</v>
      </c>
      <c r="BO191" s="1">
        <f t="shared" si="98"/>
        <v>30.605555555555554</v>
      </c>
      <c r="BP191" s="1">
        <f t="shared" si="98"/>
        <v>31.111111111111111</v>
      </c>
      <c r="BQ191" s="1">
        <f t="shared" si="98"/>
        <v>31.619444444444444</v>
      </c>
      <c r="BR191" s="1">
        <f t="shared" si="98"/>
        <v>32.125</v>
      </c>
      <c r="BS191" s="1">
        <f t="shared" si="98"/>
        <v>32.633333333333333</v>
      </c>
      <c r="BT191" s="1">
        <f t="shared" si="98"/>
        <v>33.141666666666666</v>
      </c>
      <c r="BU191" s="1">
        <f t="shared" si="98"/>
        <v>33.65</v>
      </c>
      <c r="BV191" s="1">
        <f t="shared" si="98"/>
        <v>33.65</v>
      </c>
      <c r="BW191" s="1">
        <f t="shared" si="98"/>
        <v>34.155555555555559</v>
      </c>
      <c r="BX191" s="1">
        <f t="shared" si="98"/>
        <v>34.663888888888891</v>
      </c>
      <c r="BY191" s="1">
        <f t="shared" si="98"/>
        <v>35.169444444444444</v>
      </c>
      <c r="BZ191" s="1">
        <f t="shared" si="98"/>
        <v>35.677777777777777</v>
      </c>
      <c r="CA191" s="1">
        <f t="shared" si="98"/>
        <v>36.18333333333333</v>
      </c>
      <c r="CB191" s="1">
        <f t="shared" si="98"/>
        <v>36.69166666666667</v>
      </c>
      <c r="CC191" s="1">
        <f t="shared" si="98"/>
        <v>37.200000000000003</v>
      </c>
      <c r="CD191" s="1">
        <f t="shared" si="98"/>
        <v>37.708333333333336</v>
      </c>
      <c r="CE191" s="1">
        <f t="shared" si="103"/>
        <v>38.213888888888889</v>
      </c>
      <c r="CF191" s="1">
        <f t="shared" si="103"/>
        <v>38.722222222222221</v>
      </c>
      <c r="CG191" s="1">
        <f t="shared" si="103"/>
        <v>39.227777777777774</v>
      </c>
      <c r="CH191" s="1">
        <f t="shared" si="103"/>
        <v>39.736111111111114</v>
      </c>
      <c r="CI191" s="1">
        <f t="shared" si="103"/>
        <v>40.241666666666667</v>
      </c>
      <c r="CJ191" s="1">
        <f t="shared" si="103"/>
        <v>40.75</v>
      </c>
      <c r="CK191" s="1">
        <f t="shared" si="103"/>
        <v>41.258333333333333</v>
      </c>
      <c r="CL191" s="1">
        <f t="shared" si="103"/>
        <v>41.766666666666666</v>
      </c>
      <c r="CM191" s="1">
        <f t="shared" si="103"/>
        <v>42.272222222222226</v>
      </c>
      <c r="CN191" s="1">
        <f t="shared" si="103"/>
        <v>42.780555555555559</v>
      </c>
      <c r="CO191" s="1">
        <f t="shared" si="103"/>
        <v>43.286111111111111</v>
      </c>
      <c r="CP191" s="1">
        <f t="shared" si="103"/>
        <v>43.794444444444444</v>
      </c>
      <c r="CQ191" s="1">
        <f t="shared" si="103"/>
        <v>44.3</v>
      </c>
      <c r="CR191" s="1">
        <f t="shared" si="103"/>
        <v>44.80833333333333</v>
      </c>
      <c r="CS191" s="1">
        <f t="shared" si="99"/>
        <v>45.31666666666667</v>
      </c>
      <c r="CT191" s="1">
        <f t="shared" si="99"/>
        <v>45.825000000000003</v>
      </c>
      <c r="CU191" s="1">
        <f t="shared" si="99"/>
        <v>46.330555555555556</v>
      </c>
      <c r="CV191" s="1">
        <f t="shared" si="99"/>
        <v>46.838888888888889</v>
      </c>
      <c r="CW191" s="1">
        <f t="shared" si="99"/>
        <v>47.344444444444441</v>
      </c>
      <c r="CX191" s="1">
        <f t="shared" si="99"/>
        <v>47.852777777777774</v>
      </c>
      <c r="CY191" s="1">
        <f t="shared" si="99"/>
        <v>48.358333333333334</v>
      </c>
      <c r="CZ191" s="1">
        <f t="shared" si="99"/>
        <v>48.866666666666667</v>
      </c>
      <c r="DA191" s="1">
        <f t="shared" si="99"/>
        <v>49.375</v>
      </c>
      <c r="DB191" s="1">
        <f t="shared" si="99"/>
        <v>49.883333333333333</v>
      </c>
      <c r="DC191" s="1">
        <f t="shared" si="99"/>
        <v>49.883333333333333</v>
      </c>
    </row>
    <row r="192" spans="1:107" x14ac:dyDescent="0.25">
      <c r="A192">
        <f t="shared" si="74"/>
        <v>2</v>
      </c>
      <c r="B192" s="2">
        <f>yields_BRUTE!B192</f>
        <v>42282</v>
      </c>
      <c r="C192" s="1">
        <f t="shared" si="104"/>
        <v>-0.60555555555555551</v>
      </c>
      <c r="D192" s="1">
        <f t="shared" si="104"/>
        <v>-0.56666666666666665</v>
      </c>
      <c r="E192" s="1">
        <f t="shared" si="104"/>
        <v>-0.35</v>
      </c>
      <c r="F192" s="1">
        <f t="shared" si="104"/>
        <v>-9.4444444444444442E-2</v>
      </c>
      <c r="G192" s="1">
        <f t="shared" si="104"/>
        <v>-5.5555555555555552E-2</v>
      </c>
      <c r="H192" s="1">
        <f t="shared" si="104"/>
        <v>0.15833333333333333</v>
      </c>
      <c r="I192" s="1">
        <f t="shared" si="104"/>
        <v>0.15833333333333333</v>
      </c>
      <c r="J192" s="1">
        <f t="shared" si="104"/>
        <v>0.41111111111111109</v>
      </c>
      <c r="K192" s="1">
        <f t="shared" si="104"/>
        <v>0.45</v>
      </c>
      <c r="L192" s="1">
        <f t="shared" si="104"/>
        <v>0.66666666666666663</v>
      </c>
      <c r="M192" s="1">
        <f t="shared" si="104"/>
        <v>0.92222222222222228</v>
      </c>
      <c r="N192" s="1">
        <f t="shared" si="104"/>
        <v>0.92222222222222228</v>
      </c>
      <c r="O192" s="1">
        <f t="shared" si="104"/>
        <v>0.96111111111111114</v>
      </c>
      <c r="P192" s="1">
        <f t="shared" si="104"/>
        <v>1.175</v>
      </c>
      <c r="Q192" s="1">
        <f t="shared" si="104"/>
        <v>1.4638888888888888</v>
      </c>
      <c r="R192" s="1">
        <f t="shared" si="104"/>
        <v>1.6805555555555556</v>
      </c>
      <c r="S192" s="1">
        <f t="shared" si="100"/>
        <v>1.9750000000000001</v>
      </c>
      <c r="T192" s="1">
        <f t="shared" si="100"/>
        <v>2.1888888888888891</v>
      </c>
      <c r="U192" s="1">
        <f t="shared" si="100"/>
        <v>2.4777777777777779</v>
      </c>
      <c r="V192" s="1">
        <f t="shared" si="100"/>
        <v>2.6944444444444446</v>
      </c>
      <c r="W192" s="1">
        <f t="shared" si="100"/>
        <v>2.9888888888888889</v>
      </c>
      <c r="X192" s="1">
        <f t="shared" si="100"/>
        <v>3.2027777777777779</v>
      </c>
      <c r="Y192" s="1">
        <f t="shared" si="100"/>
        <v>3.4916666666666667</v>
      </c>
      <c r="Z192" s="1">
        <f t="shared" si="100"/>
        <v>3.7083333333333335</v>
      </c>
      <c r="AA192" s="1">
        <f t="shared" si="100"/>
        <v>4.0027777777777782</v>
      </c>
      <c r="AB192" s="1">
        <f t="shared" si="100"/>
        <v>4.2166666666666668</v>
      </c>
      <c r="AC192" s="1">
        <f t="shared" si="100"/>
        <v>4.5083333333333337</v>
      </c>
      <c r="AD192" s="1">
        <f t="shared" si="100"/>
        <v>4.7249999999999996</v>
      </c>
      <c r="AE192" s="1">
        <f t="shared" si="100"/>
        <v>4.7249999999999996</v>
      </c>
      <c r="AF192" s="3">
        <f t="shared" si="100"/>
        <v>5.0194444444444448</v>
      </c>
      <c r="AG192" s="1">
        <f t="shared" si="96"/>
        <v>5.2333333333333334</v>
      </c>
      <c r="AH192" s="1">
        <f t="shared" si="96"/>
        <v>5.5222222222222221</v>
      </c>
      <c r="AI192" s="1">
        <f t="shared" si="96"/>
        <v>5.5222222222222221</v>
      </c>
      <c r="AJ192" s="1">
        <f t="shared" si="96"/>
        <v>5.7388888888888889</v>
      </c>
      <c r="AK192" s="1">
        <f t="shared" si="96"/>
        <v>5.7388888888888889</v>
      </c>
      <c r="AL192" s="1">
        <f t="shared" si="96"/>
        <v>6.2472222222222218</v>
      </c>
      <c r="AM192" s="1">
        <f t="shared" si="96"/>
        <v>6.7527777777777782</v>
      </c>
      <c r="AN192" s="1">
        <f t="shared" si="96"/>
        <v>6.7527777777777782</v>
      </c>
      <c r="AO192" s="1">
        <f t="shared" si="96"/>
        <v>7.2611111111111111</v>
      </c>
      <c r="AP192" s="1">
        <f t="shared" si="96"/>
        <v>7.7666666666666666</v>
      </c>
      <c r="AQ192" s="1">
        <f t="shared" si="96"/>
        <v>7.7666666666666666</v>
      </c>
      <c r="AR192" s="1">
        <f t="shared" si="96"/>
        <v>8.2750000000000004</v>
      </c>
      <c r="AS192" s="1">
        <f t="shared" si="96"/>
        <v>8.7833333333333332</v>
      </c>
      <c r="AT192" s="1">
        <f t="shared" si="96"/>
        <v>9.2916666666666661</v>
      </c>
      <c r="AU192" s="1">
        <f t="shared" si="96"/>
        <v>9.7972222222222225</v>
      </c>
      <c r="AV192" s="1">
        <f t="shared" si="96"/>
        <v>9.7972222222222225</v>
      </c>
      <c r="AW192" s="1">
        <f t="shared" si="101"/>
        <v>14.363888888888889</v>
      </c>
      <c r="AX192" s="1">
        <f t="shared" si="97"/>
        <v>14.869444444444444</v>
      </c>
      <c r="AY192" s="1">
        <f t="shared" si="97"/>
        <v>15.377777777777778</v>
      </c>
      <c r="AZ192" s="1">
        <f t="shared" si="97"/>
        <v>15.883333333333333</v>
      </c>
      <c r="BA192" s="1">
        <f t="shared" si="97"/>
        <v>16.391666666666666</v>
      </c>
      <c r="BB192" s="1">
        <f t="shared" si="97"/>
        <v>16.899999999999999</v>
      </c>
      <c r="BC192" s="1">
        <f t="shared" si="97"/>
        <v>17.408333333333335</v>
      </c>
      <c r="BD192" s="1">
        <f t="shared" si="97"/>
        <v>17.913888888888888</v>
      </c>
      <c r="BE192" s="1">
        <f t="shared" si="97"/>
        <v>17.913888888888888</v>
      </c>
      <c r="BF192" s="1">
        <f t="shared" si="97"/>
        <v>26.538888888888888</v>
      </c>
      <c r="BG192" s="1">
        <f t="shared" si="97"/>
        <v>27.044444444444444</v>
      </c>
      <c r="BH192" s="1">
        <f t="shared" si="97"/>
        <v>27.552777777777777</v>
      </c>
      <c r="BI192" s="1">
        <f t="shared" si="97"/>
        <v>28.058333333333334</v>
      </c>
      <c r="BJ192" s="1">
        <f t="shared" si="97"/>
        <v>28.566666666666666</v>
      </c>
      <c r="BK192" s="1">
        <f t="shared" si="97"/>
        <v>29.074999999999999</v>
      </c>
      <c r="BL192" s="1">
        <f t="shared" si="97"/>
        <v>29.583333333333332</v>
      </c>
      <c r="BM192" s="1">
        <f t="shared" si="97"/>
        <v>30.088888888888889</v>
      </c>
      <c r="BN192" s="1">
        <f t="shared" si="102"/>
        <v>30.597222222222221</v>
      </c>
      <c r="BO192" s="1">
        <f t="shared" si="98"/>
        <v>30.597222222222221</v>
      </c>
      <c r="BP192" s="1">
        <f t="shared" si="98"/>
        <v>31.102777777777778</v>
      </c>
      <c r="BQ192" s="1">
        <f t="shared" si="98"/>
        <v>31.611111111111111</v>
      </c>
      <c r="BR192" s="1">
        <f t="shared" si="98"/>
        <v>32.116666666666667</v>
      </c>
      <c r="BS192" s="1">
        <f t="shared" si="98"/>
        <v>32.625</v>
      </c>
      <c r="BT192" s="1">
        <f t="shared" si="98"/>
        <v>33.133333333333333</v>
      </c>
      <c r="BU192" s="1">
        <f t="shared" si="98"/>
        <v>33.641666666666666</v>
      </c>
      <c r="BV192" s="1">
        <f t="shared" si="98"/>
        <v>33.641666666666666</v>
      </c>
      <c r="BW192" s="1">
        <f t="shared" si="98"/>
        <v>34.147222222222226</v>
      </c>
      <c r="BX192" s="1">
        <f t="shared" si="98"/>
        <v>34.655555555555559</v>
      </c>
      <c r="BY192" s="1">
        <f t="shared" si="98"/>
        <v>35.161111111111111</v>
      </c>
      <c r="BZ192" s="1">
        <f t="shared" si="98"/>
        <v>35.669444444444444</v>
      </c>
      <c r="CA192" s="1">
        <f t="shared" si="98"/>
        <v>36.174999999999997</v>
      </c>
      <c r="CB192" s="1">
        <f t="shared" si="98"/>
        <v>36.68333333333333</v>
      </c>
      <c r="CC192" s="1">
        <f t="shared" si="98"/>
        <v>37.19166666666667</v>
      </c>
      <c r="CD192" s="1">
        <f t="shared" si="98"/>
        <v>37.700000000000003</v>
      </c>
      <c r="CE192" s="1">
        <f t="shared" si="103"/>
        <v>38.205555555555556</v>
      </c>
      <c r="CF192" s="1">
        <f t="shared" si="103"/>
        <v>38.713888888888889</v>
      </c>
      <c r="CG192" s="1">
        <f t="shared" si="103"/>
        <v>39.219444444444441</v>
      </c>
      <c r="CH192" s="1">
        <f t="shared" si="103"/>
        <v>39.727777777777774</v>
      </c>
      <c r="CI192" s="1">
        <f t="shared" si="103"/>
        <v>40.233333333333334</v>
      </c>
      <c r="CJ192" s="1">
        <f t="shared" si="103"/>
        <v>40.741666666666667</v>
      </c>
      <c r="CK192" s="1">
        <f t="shared" si="103"/>
        <v>41.25</v>
      </c>
      <c r="CL192" s="1">
        <f t="shared" si="103"/>
        <v>41.758333333333333</v>
      </c>
      <c r="CM192" s="1">
        <f t="shared" si="103"/>
        <v>42.263888888888886</v>
      </c>
      <c r="CN192" s="1">
        <f t="shared" si="103"/>
        <v>42.772222222222226</v>
      </c>
      <c r="CO192" s="1">
        <f t="shared" si="103"/>
        <v>43.277777777777779</v>
      </c>
      <c r="CP192" s="1">
        <f t="shared" si="103"/>
        <v>43.786111111111111</v>
      </c>
      <c r="CQ192" s="1">
        <f t="shared" si="103"/>
        <v>44.291666666666664</v>
      </c>
      <c r="CR192" s="1">
        <f t="shared" si="103"/>
        <v>44.8</v>
      </c>
      <c r="CS192" s="1">
        <f t="shared" si="99"/>
        <v>45.30833333333333</v>
      </c>
      <c r="CT192" s="1">
        <f t="shared" si="99"/>
        <v>45.81666666666667</v>
      </c>
      <c r="CU192" s="1">
        <f t="shared" si="99"/>
        <v>46.322222222222223</v>
      </c>
      <c r="CV192" s="1">
        <f t="shared" si="99"/>
        <v>46.830555555555556</v>
      </c>
      <c r="CW192" s="1">
        <f t="shared" si="99"/>
        <v>47.336111111111109</v>
      </c>
      <c r="CX192" s="1">
        <f t="shared" si="99"/>
        <v>47.844444444444441</v>
      </c>
      <c r="CY192" s="1">
        <f t="shared" si="99"/>
        <v>48.35</v>
      </c>
      <c r="CZ192" s="1">
        <f t="shared" si="99"/>
        <v>48.858333333333334</v>
      </c>
      <c r="DA192" s="1">
        <f t="shared" si="99"/>
        <v>49.366666666666667</v>
      </c>
      <c r="DB192" s="1">
        <f t="shared" si="99"/>
        <v>49.875</v>
      </c>
      <c r="DC192" s="1">
        <f t="shared" si="99"/>
        <v>49.875</v>
      </c>
    </row>
    <row r="193" spans="1:107" x14ac:dyDescent="0.25">
      <c r="A193">
        <f t="shared" si="74"/>
        <v>3</v>
      </c>
      <c r="B193" s="2">
        <f>yields_BRUTE!B193</f>
        <v>42283</v>
      </c>
      <c r="C193" s="1">
        <f t="shared" si="104"/>
        <v>-0.60833333333333328</v>
      </c>
      <c r="D193" s="1">
        <f t="shared" si="104"/>
        <v>-0.56944444444444442</v>
      </c>
      <c r="E193" s="1">
        <f t="shared" si="104"/>
        <v>-0.3527777777777778</v>
      </c>
      <c r="F193" s="1">
        <f t="shared" si="104"/>
        <v>-9.7222222222222224E-2</v>
      </c>
      <c r="G193" s="1">
        <f t="shared" si="104"/>
        <v>-5.8333333333333334E-2</v>
      </c>
      <c r="H193" s="1">
        <f t="shared" si="104"/>
        <v>0.15555555555555556</v>
      </c>
      <c r="I193" s="1">
        <f t="shared" si="104"/>
        <v>0.15555555555555556</v>
      </c>
      <c r="J193" s="1">
        <f t="shared" si="104"/>
        <v>0.40833333333333333</v>
      </c>
      <c r="K193" s="1">
        <f t="shared" si="104"/>
        <v>0.44722222222222224</v>
      </c>
      <c r="L193" s="1">
        <f t="shared" si="104"/>
        <v>0.66388888888888886</v>
      </c>
      <c r="M193" s="1">
        <f t="shared" si="104"/>
        <v>0.9194444444444444</v>
      </c>
      <c r="N193" s="1">
        <f t="shared" si="104"/>
        <v>0.9194444444444444</v>
      </c>
      <c r="O193" s="1">
        <f t="shared" si="104"/>
        <v>0.95833333333333337</v>
      </c>
      <c r="P193" s="1">
        <f t="shared" si="104"/>
        <v>1.1722222222222223</v>
      </c>
      <c r="Q193" s="1">
        <f t="shared" si="104"/>
        <v>1.461111111111111</v>
      </c>
      <c r="R193" s="1">
        <f t="shared" si="104"/>
        <v>1.6777777777777778</v>
      </c>
      <c r="S193" s="1">
        <f t="shared" si="100"/>
        <v>1.9722222222222223</v>
      </c>
      <c r="T193" s="1">
        <f t="shared" si="100"/>
        <v>2.1861111111111109</v>
      </c>
      <c r="U193" s="1">
        <f t="shared" si="100"/>
        <v>2.4750000000000001</v>
      </c>
      <c r="V193" s="1">
        <f t="shared" si="100"/>
        <v>2.6916666666666669</v>
      </c>
      <c r="W193" s="1">
        <f t="shared" si="100"/>
        <v>2.9861111111111112</v>
      </c>
      <c r="X193" s="1">
        <f t="shared" si="100"/>
        <v>3.2</v>
      </c>
      <c r="Y193" s="1">
        <f t="shared" si="100"/>
        <v>3.4888888888888889</v>
      </c>
      <c r="Z193" s="1">
        <f t="shared" si="100"/>
        <v>3.7055555555555557</v>
      </c>
      <c r="AA193" s="1">
        <f t="shared" si="100"/>
        <v>4</v>
      </c>
      <c r="AB193" s="1">
        <f t="shared" si="100"/>
        <v>4.2138888888888886</v>
      </c>
      <c r="AC193" s="1">
        <f t="shared" si="100"/>
        <v>4.5055555555555555</v>
      </c>
      <c r="AD193" s="1">
        <f t="shared" si="100"/>
        <v>4.7222222222222223</v>
      </c>
      <c r="AE193" s="1">
        <f t="shared" si="100"/>
        <v>4.7222222222222223</v>
      </c>
      <c r="AF193" s="3">
        <f t="shared" si="100"/>
        <v>5.0166666666666666</v>
      </c>
      <c r="AG193" s="1">
        <f t="shared" si="100"/>
        <v>5.2305555555555552</v>
      </c>
      <c r="AH193" s="1">
        <f t="shared" si="100"/>
        <v>5.5194444444444448</v>
      </c>
      <c r="AI193" s="1">
        <f t="shared" ref="AI193:AX208" si="105">(AI$1-$B193)/360</f>
        <v>5.5194444444444448</v>
      </c>
      <c r="AJ193" s="1">
        <f t="shared" si="105"/>
        <v>5.7361111111111107</v>
      </c>
      <c r="AK193" s="1">
        <f t="shared" si="105"/>
        <v>5.7361111111111107</v>
      </c>
      <c r="AL193" s="1">
        <f t="shared" si="105"/>
        <v>6.2444444444444445</v>
      </c>
      <c r="AM193" s="1">
        <f t="shared" si="105"/>
        <v>6.75</v>
      </c>
      <c r="AN193" s="1">
        <f t="shared" si="105"/>
        <v>6.75</v>
      </c>
      <c r="AO193" s="1">
        <f t="shared" si="105"/>
        <v>7.2583333333333337</v>
      </c>
      <c r="AP193" s="1">
        <f t="shared" si="105"/>
        <v>7.7638888888888893</v>
      </c>
      <c r="AQ193" s="1">
        <f t="shared" si="105"/>
        <v>7.7638888888888893</v>
      </c>
      <c r="AR193" s="1">
        <f t="shared" si="105"/>
        <v>8.2722222222222221</v>
      </c>
      <c r="AS193" s="1">
        <f t="shared" si="105"/>
        <v>8.780555555555555</v>
      </c>
      <c r="AT193" s="1">
        <f t="shared" si="105"/>
        <v>9.2888888888888896</v>
      </c>
      <c r="AU193" s="1">
        <f t="shared" si="105"/>
        <v>9.7944444444444443</v>
      </c>
      <c r="AV193" s="1">
        <f t="shared" si="105"/>
        <v>9.7944444444444443</v>
      </c>
      <c r="AW193" s="1">
        <f t="shared" si="101"/>
        <v>14.361111111111111</v>
      </c>
      <c r="AX193" s="1">
        <f t="shared" si="101"/>
        <v>14.866666666666667</v>
      </c>
      <c r="AY193" s="1">
        <f t="shared" si="101"/>
        <v>15.375</v>
      </c>
      <c r="AZ193" s="1">
        <f t="shared" si="101"/>
        <v>15.880555555555556</v>
      </c>
      <c r="BA193" s="1">
        <f t="shared" si="101"/>
        <v>16.388888888888889</v>
      </c>
      <c r="BB193" s="1">
        <f t="shared" si="101"/>
        <v>16.897222222222222</v>
      </c>
      <c r="BC193" s="1">
        <f t="shared" si="101"/>
        <v>17.405555555555555</v>
      </c>
      <c r="BD193" s="1">
        <f t="shared" si="101"/>
        <v>17.911111111111111</v>
      </c>
      <c r="BE193" s="1">
        <f t="shared" si="101"/>
        <v>17.911111111111111</v>
      </c>
      <c r="BF193" s="1">
        <f t="shared" si="101"/>
        <v>26.536111111111111</v>
      </c>
      <c r="BG193" s="1">
        <f t="shared" si="101"/>
        <v>27.041666666666668</v>
      </c>
      <c r="BH193" s="1">
        <f t="shared" si="101"/>
        <v>27.55</v>
      </c>
      <c r="BI193" s="1">
        <f t="shared" si="101"/>
        <v>28.055555555555557</v>
      </c>
      <c r="BJ193" s="1">
        <f t="shared" si="101"/>
        <v>28.56388888888889</v>
      </c>
      <c r="BK193" s="1">
        <f t="shared" si="101"/>
        <v>29.072222222222223</v>
      </c>
      <c r="BL193" s="1">
        <f t="shared" si="101"/>
        <v>29.580555555555556</v>
      </c>
      <c r="BM193" s="1">
        <f t="shared" ref="BM193:CB208" si="106">(BM$1-$B193)/360</f>
        <v>30.086111111111112</v>
      </c>
      <c r="BN193" s="1">
        <f t="shared" si="102"/>
        <v>30.594444444444445</v>
      </c>
      <c r="BO193" s="1">
        <f t="shared" si="102"/>
        <v>30.594444444444445</v>
      </c>
      <c r="BP193" s="1">
        <f t="shared" si="102"/>
        <v>31.1</v>
      </c>
      <c r="BQ193" s="1">
        <f t="shared" si="102"/>
        <v>31.608333333333334</v>
      </c>
      <c r="BR193" s="1">
        <f t="shared" si="102"/>
        <v>32.113888888888887</v>
      </c>
      <c r="BS193" s="1">
        <f t="shared" si="102"/>
        <v>32.62222222222222</v>
      </c>
      <c r="BT193" s="1">
        <f t="shared" si="102"/>
        <v>33.130555555555553</v>
      </c>
      <c r="BU193" s="1">
        <f t="shared" si="102"/>
        <v>33.638888888888886</v>
      </c>
      <c r="BV193" s="1">
        <f t="shared" si="102"/>
        <v>33.638888888888886</v>
      </c>
      <c r="BW193" s="1">
        <f t="shared" si="102"/>
        <v>34.144444444444446</v>
      </c>
      <c r="BX193" s="1">
        <f t="shared" si="102"/>
        <v>34.652777777777779</v>
      </c>
      <c r="BY193" s="1">
        <f t="shared" si="102"/>
        <v>35.158333333333331</v>
      </c>
      <c r="BZ193" s="1">
        <f t="shared" si="102"/>
        <v>35.666666666666664</v>
      </c>
      <c r="CA193" s="1">
        <f t="shared" si="102"/>
        <v>36.172222222222224</v>
      </c>
      <c r="CB193" s="1">
        <f t="shared" si="102"/>
        <v>36.680555555555557</v>
      </c>
      <c r="CC193" s="1">
        <f t="shared" si="102"/>
        <v>37.18888888888889</v>
      </c>
      <c r="CD193" s="1">
        <f t="shared" ref="CD193:CS208" si="107">(CD$1-$B193)/360</f>
        <v>37.697222222222223</v>
      </c>
      <c r="CE193" s="1">
        <f t="shared" si="103"/>
        <v>38.202777777777776</v>
      </c>
      <c r="CF193" s="1">
        <f t="shared" si="103"/>
        <v>38.711111111111109</v>
      </c>
      <c r="CG193" s="1">
        <f t="shared" si="103"/>
        <v>39.216666666666669</v>
      </c>
      <c r="CH193" s="1">
        <f t="shared" si="103"/>
        <v>39.725000000000001</v>
      </c>
      <c r="CI193" s="1">
        <f t="shared" si="103"/>
        <v>40.230555555555554</v>
      </c>
      <c r="CJ193" s="1">
        <f t="shared" si="103"/>
        <v>40.738888888888887</v>
      </c>
      <c r="CK193" s="1">
        <f t="shared" si="103"/>
        <v>41.24722222222222</v>
      </c>
      <c r="CL193" s="1">
        <f t="shared" si="103"/>
        <v>41.755555555555553</v>
      </c>
      <c r="CM193" s="1">
        <f t="shared" si="103"/>
        <v>42.261111111111113</v>
      </c>
      <c r="CN193" s="1">
        <f t="shared" si="103"/>
        <v>42.769444444444446</v>
      </c>
      <c r="CO193" s="1">
        <f t="shared" si="103"/>
        <v>43.274999999999999</v>
      </c>
      <c r="CP193" s="1">
        <f t="shared" si="103"/>
        <v>43.783333333333331</v>
      </c>
      <c r="CQ193" s="1">
        <f t="shared" si="103"/>
        <v>44.288888888888891</v>
      </c>
      <c r="CR193" s="1">
        <f t="shared" si="103"/>
        <v>44.797222222222224</v>
      </c>
      <c r="CS193" s="1">
        <f t="shared" si="103"/>
        <v>45.305555555555557</v>
      </c>
      <c r="CT193" s="1">
        <f t="shared" si="103"/>
        <v>45.81388888888889</v>
      </c>
      <c r="CU193" s="1">
        <f t="shared" ref="CU193:DC208" si="108">(CU$1-$B193)/360</f>
        <v>46.319444444444443</v>
      </c>
      <c r="CV193" s="1">
        <f t="shared" si="108"/>
        <v>46.827777777777776</v>
      </c>
      <c r="CW193" s="1">
        <f t="shared" si="108"/>
        <v>47.333333333333336</v>
      </c>
      <c r="CX193" s="1">
        <f t="shared" si="108"/>
        <v>47.841666666666669</v>
      </c>
      <c r="CY193" s="1">
        <f t="shared" si="108"/>
        <v>48.347222222222221</v>
      </c>
      <c r="CZ193" s="1">
        <f t="shared" si="108"/>
        <v>48.855555555555554</v>
      </c>
      <c r="DA193" s="1">
        <f t="shared" si="108"/>
        <v>49.363888888888887</v>
      </c>
      <c r="DB193" s="1">
        <f t="shared" si="108"/>
        <v>49.87222222222222</v>
      </c>
      <c r="DC193" s="1">
        <f t="shared" si="108"/>
        <v>49.87222222222222</v>
      </c>
    </row>
    <row r="194" spans="1:107" x14ac:dyDescent="0.25">
      <c r="A194">
        <f t="shared" si="74"/>
        <v>4</v>
      </c>
      <c r="B194" s="2">
        <f>yields_BRUTE!B194</f>
        <v>42284</v>
      </c>
      <c r="C194" s="1">
        <f t="shared" si="104"/>
        <v>-0.61111111111111116</v>
      </c>
      <c r="D194" s="1">
        <f t="shared" si="104"/>
        <v>-0.57222222222222219</v>
      </c>
      <c r="E194" s="1">
        <f t="shared" si="104"/>
        <v>-0.35555555555555557</v>
      </c>
      <c r="F194" s="1">
        <f t="shared" si="104"/>
        <v>-0.1</v>
      </c>
      <c r="G194" s="1">
        <f t="shared" si="104"/>
        <v>-6.1111111111111109E-2</v>
      </c>
      <c r="H194" s="1">
        <f t="shared" si="104"/>
        <v>0.15277777777777779</v>
      </c>
      <c r="I194" s="1">
        <f t="shared" si="104"/>
        <v>0.15277777777777779</v>
      </c>
      <c r="J194" s="1">
        <f t="shared" si="104"/>
        <v>0.40555555555555556</v>
      </c>
      <c r="K194" s="1">
        <f t="shared" si="104"/>
        <v>0.44444444444444442</v>
      </c>
      <c r="L194" s="1">
        <f t="shared" si="104"/>
        <v>0.66111111111111109</v>
      </c>
      <c r="M194" s="1">
        <f t="shared" si="104"/>
        <v>0.91666666666666663</v>
      </c>
      <c r="N194" s="1">
        <f t="shared" si="104"/>
        <v>0.91666666666666663</v>
      </c>
      <c r="O194" s="1">
        <f t="shared" si="104"/>
        <v>0.9555555555555556</v>
      </c>
      <c r="P194" s="1">
        <f t="shared" si="104"/>
        <v>1.1694444444444445</v>
      </c>
      <c r="Q194" s="1">
        <f t="shared" si="104"/>
        <v>1.4583333333333333</v>
      </c>
      <c r="R194" s="1">
        <f t="shared" ref="R194:AG209" si="109">(R$1-$B194)/360</f>
        <v>1.675</v>
      </c>
      <c r="S194" s="1">
        <f t="shared" si="109"/>
        <v>1.9694444444444446</v>
      </c>
      <c r="T194" s="1">
        <f t="shared" si="109"/>
        <v>2.1833333333333331</v>
      </c>
      <c r="U194" s="1">
        <f t="shared" si="109"/>
        <v>2.4722222222222223</v>
      </c>
      <c r="V194" s="1">
        <f t="shared" si="109"/>
        <v>2.6888888888888891</v>
      </c>
      <c r="W194" s="1">
        <f t="shared" si="109"/>
        <v>2.9833333333333334</v>
      </c>
      <c r="X194" s="1">
        <f t="shared" si="109"/>
        <v>3.1972222222222224</v>
      </c>
      <c r="Y194" s="1">
        <f t="shared" si="109"/>
        <v>3.4861111111111112</v>
      </c>
      <c r="Z194" s="1">
        <f t="shared" si="109"/>
        <v>3.7027777777777779</v>
      </c>
      <c r="AA194" s="1">
        <f t="shared" si="109"/>
        <v>3.9972222222222222</v>
      </c>
      <c r="AB194" s="1">
        <f t="shared" si="109"/>
        <v>4.2111111111111112</v>
      </c>
      <c r="AC194" s="1">
        <f t="shared" si="109"/>
        <v>4.5027777777777782</v>
      </c>
      <c r="AD194" s="1">
        <f t="shared" si="109"/>
        <v>4.7194444444444441</v>
      </c>
      <c r="AE194" s="1">
        <f t="shared" si="109"/>
        <v>4.7194444444444441</v>
      </c>
      <c r="AF194" s="3">
        <f t="shared" si="109"/>
        <v>5.0138888888888893</v>
      </c>
      <c r="AG194" s="1">
        <f t="shared" si="109"/>
        <v>5.2277777777777779</v>
      </c>
      <c r="AH194" s="1">
        <f t="shared" ref="AH194:AW209" si="110">(AH$1-$B194)/360</f>
        <v>5.5166666666666666</v>
      </c>
      <c r="AI194" s="1">
        <f t="shared" si="105"/>
        <v>5.5166666666666666</v>
      </c>
      <c r="AJ194" s="1">
        <f t="shared" si="105"/>
        <v>5.7333333333333334</v>
      </c>
      <c r="AK194" s="1">
        <f t="shared" si="105"/>
        <v>5.7333333333333334</v>
      </c>
      <c r="AL194" s="1">
        <f t="shared" si="105"/>
        <v>6.2416666666666663</v>
      </c>
      <c r="AM194" s="1">
        <f t="shared" si="105"/>
        <v>6.7472222222222218</v>
      </c>
      <c r="AN194" s="1">
        <f t="shared" si="105"/>
        <v>6.7472222222222218</v>
      </c>
      <c r="AO194" s="1">
        <f t="shared" si="105"/>
        <v>7.2555555555555555</v>
      </c>
      <c r="AP194" s="1">
        <f t="shared" si="105"/>
        <v>7.7611111111111111</v>
      </c>
      <c r="AQ194" s="1">
        <f t="shared" si="105"/>
        <v>7.7611111111111111</v>
      </c>
      <c r="AR194" s="1">
        <f t="shared" si="105"/>
        <v>8.2694444444444439</v>
      </c>
      <c r="AS194" s="1">
        <f t="shared" si="105"/>
        <v>8.7777777777777786</v>
      </c>
      <c r="AT194" s="1">
        <f t="shared" si="105"/>
        <v>9.2861111111111114</v>
      </c>
      <c r="AU194" s="1">
        <f t="shared" si="105"/>
        <v>9.7916666666666661</v>
      </c>
      <c r="AV194" s="1">
        <f t="shared" si="105"/>
        <v>9.7916666666666661</v>
      </c>
      <c r="AW194" s="1">
        <f t="shared" si="105"/>
        <v>14.358333333333333</v>
      </c>
      <c r="AX194" s="1">
        <f t="shared" si="105"/>
        <v>14.863888888888889</v>
      </c>
      <c r="AY194" s="1">
        <f t="shared" ref="AY194:BN209" si="111">(AY$1-$B194)/360</f>
        <v>15.372222222222222</v>
      </c>
      <c r="AZ194" s="1">
        <f t="shared" si="111"/>
        <v>15.877777777777778</v>
      </c>
      <c r="BA194" s="1">
        <f t="shared" si="111"/>
        <v>16.386111111111113</v>
      </c>
      <c r="BB194" s="1">
        <f t="shared" si="111"/>
        <v>16.894444444444446</v>
      </c>
      <c r="BC194" s="1">
        <f t="shared" si="111"/>
        <v>17.402777777777779</v>
      </c>
      <c r="BD194" s="1">
        <f t="shared" si="111"/>
        <v>17.908333333333335</v>
      </c>
      <c r="BE194" s="1">
        <f t="shared" si="111"/>
        <v>17.908333333333335</v>
      </c>
      <c r="BF194" s="1">
        <f t="shared" si="111"/>
        <v>26.533333333333335</v>
      </c>
      <c r="BG194" s="1">
        <f t="shared" si="111"/>
        <v>27.038888888888888</v>
      </c>
      <c r="BH194" s="1">
        <f t="shared" si="111"/>
        <v>27.547222222222221</v>
      </c>
      <c r="BI194" s="1">
        <f t="shared" si="111"/>
        <v>28.052777777777777</v>
      </c>
      <c r="BJ194" s="1">
        <f t="shared" si="111"/>
        <v>28.56111111111111</v>
      </c>
      <c r="BK194" s="1">
        <f t="shared" si="111"/>
        <v>29.069444444444443</v>
      </c>
      <c r="BL194" s="1">
        <f t="shared" si="111"/>
        <v>29.577777777777779</v>
      </c>
      <c r="BM194" s="1">
        <f t="shared" si="106"/>
        <v>30.083333333333332</v>
      </c>
      <c r="BN194" s="1">
        <f t="shared" si="106"/>
        <v>30.591666666666665</v>
      </c>
      <c r="BO194" s="1">
        <f t="shared" si="106"/>
        <v>30.591666666666665</v>
      </c>
      <c r="BP194" s="1">
        <f t="shared" si="106"/>
        <v>31.097222222222221</v>
      </c>
      <c r="BQ194" s="1">
        <f t="shared" si="106"/>
        <v>31.605555555555554</v>
      </c>
      <c r="BR194" s="1">
        <f t="shared" si="106"/>
        <v>32.111111111111114</v>
      </c>
      <c r="BS194" s="1">
        <f t="shared" si="106"/>
        <v>32.619444444444447</v>
      </c>
      <c r="BT194" s="1">
        <f t="shared" si="106"/>
        <v>33.12777777777778</v>
      </c>
      <c r="BU194" s="1">
        <f t="shared" si="106"/>
        <v>33.636111111111113</v>
      </c>
      <c r="BV194" s="1">
        <f t="shared" si="106"/>
        <v>33.636111111111113</v>
      </c>
      <c r="BW194" s="1">
        <f t="shared" si="106"/>
        <v>34.141666666666666</v>
      </c>
      <c r="BX194" s="1">
        <f t="shared" si="106"/>
        <v>34.65</v>
      </c>
      <c r="BY194" s="1">
        <f t="shared" si="106"/>
        <v>35.155555555555559</v>
      </c>
      <c r="BZ194" s="1">
        <f t="shared" si="106"/>
        <v>35.663888888888891</v>
      </c>
      <c r="CA194" s="1">
        <f t="shared" si="106"/>
        <v>36.169444444444444</v>
      </c>
      <c r="CB194" s="1">
        <f t="shared" si="106"/>
        <v>36.677777777777777</v>
      </c>
      <c r="CC194" s="1">
        <f t="shared" ref="CC194:CR209" si="112">(CC$1-$B194)/360</f>
        <v>37.18611111111111</v>
      </c>
      <c r="CD194" s="1">
        <f t="shared" si="107"/>
        <v>37.694444444444443</v>
      </c>
      <c r="CE194" s="1">
        <f t="shared" si="107"/>
        <v>38.200000000000003</v>
      </c>
      <c r="CF194" s="1">
        <f t="shared" si="107"/>
        <v>38.708333333333336</v>
      </c>
      <c r="CG194" s="1">
        <f t="shared" si="107"/>
        <v>39.213888888888889</v>
      </c>
      <c r="CH194" s="1">
        <f t="shared" si="107"/>
        <v>39.722222222222221</v>
      </c>
      <c r="CI194" s="1">
        <f t="shared" si="107"/>
        <v>40.227777777777774</v>
      </c>
      <c r="CJ194" s="1">
        <f t="shared" si="107"/>
        <v>40.736111111111114</v>
      </c>
      <c r="CK194" s="1">
        <f t="shared" si="107"/>
        <v>41.244444444444447</v>
      </c>
      <c r="CL194" s="1">
        <f t="shared" si="107"/>
        <v>41.75277777777778</v>
      </c>
      <c r="CM194" s="1">
        <f t="shared" si="107"/>
        <v>42.258333333333333</v>
      </c>
      <c r="CN194" s="1">
        <f t="shared" si="107"/>
        <v>42.766666666666666</v>
      </c>
      <c r="CO194" s="1">
        <f t="shared" si="107"/>
        <v>43.272222222222226</v>
      </c>
      <c r="CP194" s="1">
        <f t="shared" si="107"/>
        <v>43.780555555555559</v>
      </c>
      <c r="CQ194" s="1">
        <f t="shared" si="107"/>
        <v>44.286111111111111</v>
      </c>
      <c r="CR194" s="1">
        <f t="shared" si="107"/>
        <v>44.794444444444444</v>
      </c>
      <c r="CS194" s="1">
        <f t="shared" si="107"/>
        <v>45.302777777777777</v>
      </c>
      <c r="CT194" s="1">
        <f t="shared" ref="CT194:DC209" si="113">(CT$1-$B194)/360</f>
        <v>45.81111111111111</v>
      </c>
      <c r="CU194" s="1">
        <f t="shared" si="108"/>
        <v>46.31666666666667</v>
      </c>
      <c r="CV194" s="1">
        <f t="shared" si="108"/>
        <v>46.825000000000003</v>
      </c>
      <c r="CW194" s="1">
        <f t="shared" si="108"/>
        <v>47.330555555555556</v>
      </c>
      <c r="CX194" s="1">
        <f t="shared" si="108"/>
        <v>47.838888888888889</v>
      </c>
      <c r="CY194" s="1">
        <f t="shared" si="108"/>
        <v>48.344444444444441</v>
      </c>
      <c r="CZ194" s="1">
        <f t="shared" si="108"/>
        <v>48.852777777777774</v>
      </c>
      <c r="DA194" s="1">
        <f t="shared" si="108"/>
        <v>49.361111111111114</v>
      </c>
      <c r="DB194" s="1">
        <f t="shared" si="108"/>
        <v>49.869444444444447</v>
      </c>
      <c r="DC194" s="1">
        <f t="shared" si="108"/>
        <v>49.869444444444447</v>
      </c>
    </row>
    <row r="195" spans="1:107" x14ac:dyDescent="0.25">
      <c r="A195">
        <f t="shared" ref="A195:A251" si="114">WEEKDAY(B195)</f>
        <v>5</v>
      </c>
      <c r="B195" s="2">
        <f>yields_BRUTE!B195</f>
        <v>42285</v>
      </c>
      <c r="C195" s="1">
        <f t="shared" ref="C195:R210" si="115">(C$1-$B195)/360</f>
        <v>-0.61388888888888893</v>
      </c>
      <c r="D195" s="1">
        <f t="shared" si="115"/>
        <v>-0.57499999999999996</v>
      </c>
      <c r="E195" s="1">
        <f t="shared" si="115"/>
        <v>-0.35833333333333334</v>
      </c>
      <c r="F195" s="1">
        <f t="shared" si="115"/>
        <v>-0.10277777777777777</v>
      </c>
      <c r="G195" s="1">
        <f t="shared" si="115"/>
        <v>-6.3888888888888884E-2</v>
      </c>
      <c r="H195" s="1">
        <f t="shared" si="115"/>
        <v>0.15</v>
      </c>
      <c r="I195" s="1">
        <f t="shared" si="115"/>
        <v>0.15</v>
      </c>
      <c r="J195" s="1">
        <f t="shared" si="115"/>
        <v>0.40277777777777779</v>
      </c>
      <c r="K195" s="1">
        <f t="shared" si="115"/>
        <v>0.44166666666666665</v>
      </c>
      <c r="L195" s="1">
        <f t="shared" si="115"/>
        <v>0.65833333333333333</v>
      </c>
      <c r="M195" s="1">
        <f t="shared" si="115"/>
        <v>0.91388888888888886</v>
      </c>
      <c r="N195" s="1">
        <f t="shared" si="115"/>
        <v>0.91388888888888886</v>
      </c>
      <c r="O195" s="1">
        <f t="shared" si="115"/>
        <v>0.95277777777777772</v>
      </c>
      <c r="P195" s="1">
        <f t="shared" si="115"/>
        <v>1.1666666666666667</v>
      </c>
      <c r="Q195" s="1">
        <f t="shared" si="115"/>
        <v>1.4555555555555555</v>
      </c>
      <c r="R195" s="1">
        <f t="shared" si="109"/>
        <v>1.6722222222222223</v>
      </c>
      <c r="S195" s="1">
        <f t="shared" si="109"/>
        <v>1.9666666666666666</v>
      </c>
      <c r="T195" s="1">
        <f t="shared" si="109"/>
        <v>2.1805555555555554</v>
      </c>
      <c r="U195" s="1">
        <f t="shared" si="109"/>
        <v>2.4694444444444446</v>
      </c>
      <c r="V195" s="1">
        <f t="shared" si="109"/>
        <v>2.6861111111111109</v>
      </c>
      <c r="W195" s="1">
        <f t="shared" si="109"/>
        <v>2.9805555555555556</v>
      </c>
      <c r="X195" s="1">
        <f t="shared" si="109"/>
        <v>3.1944444444444446</v>
      </c>
      <c r="Y195" s="1">
        <f t="shared" si="109"/>
        <v>3.4833333333333334</v>
      </c>
      <c r="Z195" s="1">
        <f t="shared" si="109"/>
        <v>3.7</v>
      </c>
      <c r="AA195" s="1">
        <f t="shared" si="109"/>
        <v>3.9944444444444445</v>
      </c>
      <c r="AB195" s="1">
        <f t="shared" si="109"/>
        <v>4.208333333333333</v>
      </c>
      <c r="AC195" s="1">
        <f t="shared" si="109"/>
        <v>4.5</v>
      </c>
      <c r="AD195" s="1">
        <f t="shared" si="109"/>
        <v>4.7166666666666668</v>
      </c>
      <c r="AE195" s="1">
        <f t="shared" si="109"/>
        <v>4.7166666666666668</v>
      </c>
      <c r="AF195" s="3">
        <f t="shared" si="109"/>
        <v>5.0111111111111111</v>
      </c>
      <c r="AG195" s="1">
        <f t="shared" si="109"/>
        <v>5.2249999999999996</v>
      </c>
      <c r="AH195" s="1">
        <f t="shared" si="110"/>
        <v>5.5138888888888893</v>
      </c>
      <c r="AI195" s="1">
        <f t="shared" si="105"/>
        <v>5.5138888888888893</v>
      </c>
      <c r="AJ195" s="1">
        <f t="shared" si="105"/>
        <v>5.7305555555555552</v>
      </c>
      <c r="AK195" s="1">
        <f t="shared" si="105"/>
        <v>5.7305555555555552</v>
      </c>
      <c r="AL195" s="1">
        <f t="shared" si="105"/>
        <v>6.2388888888888889</v>
      </c>
      <c r="AM195" s="1">
        <f t="shared" si="105"/>
        <v>6.7444444444444445</v>
      </c>
      <c r="AN195" s="1">
        <f t="shared" si="105"/>
        <v>6.7444444444444445</v>
      </c>
      <c r="AO195" s="1">
        <f t="shared" si="105"/>
        <v>7.2527777777777782</v>
      </c>
      <c r="AP195" s="1">
        <f t="shared" si="105"/>
        <v>7.7583333333333337</v>
      </c>
      <c r="AQ195" s="1">
        <f t="shared" si="105"/>
        <v>7.7583333333333337</v>
      </c>
      <c r="AR195" s="1">
        <f t="shared" si="105"/>
        <v>8.2666666666666675</v>
      </c>
      <c r="AS195" s="1">
        <f t="shared" si="105"/>
        <v>8.7750000000000004</v>
      </c>
      <c r="AT195" s="1">
        <f t="shared" si="105"/>
        <v>9.2833333333333332</v>
      </c>
      <c r="AU195" s="1">
        <f t="shared" si="105"/>
        <v>9.7888888888888896</v>
      </c>
      <c r="AV195" s="1">
        <f t="shared" si="105"/>
        <v>9.7888888888888896</v>
      </c>
      <c r="AW195" s="1">
        <f t="shared" si="105"/>
        <v>14.355555555555556</v>
      </c>
      <c r="AX195" s="1">
        <f t="shared" si="105"/>
        <v>14.861111111111111</v>
      </c>
      <c r="AY195" s="1">
        <f t="shared" si="111"/>
        <v>15.369444444444444</v>
      </c>
      <c r="AZ195" s="1">
        <f t="shared" si="111"/>
        <v>15.875</v>
      </c>
      <c r="BA195" s="1">
        <f t="shared" si="111"/>
        <v>16.383333333333333</v>
      </c>
      <c r="BB195" s="1">
        <f t="shared" si="111"/>
        <v>16.891666666666666</v>
      </c>
      <c r="BC195" s="1">
        <f t="shared" si="111"/>
        <v>17.399999999999999</v>
      </c>
      <c r="BD195" s="1">
        <f t="shared" si="111"/>
        <v>17.905555555555555</v>
      </c>
      <c r="BE195" s="1">
        <f t="shared" si="111"/>
        <v>17.905555555555555</v>
      </c>
      <c r="BF195" s="1">
        <f t="shared" si="111"/>
        <v>26.530555555555555</v>
      </c>
      <c r="BG195" s="1">
        <f t="shared" si="111"/>
        <v>27.036111111111111</v>
      </c>
      <c r="BH195" s="1">
        <f t="shared" si="111"/>
        <v>27.544444444444444</v>
      </c>
      <c r="BI195" s="1">
        <f t="shared" si="111"/>
        <v>28.05</v>
      </c>
      <c r="BJ195" s="1">
        <f t="shared" si="111"/>
        <v>28.558333333333334</v>
      </c>
      <c r="BK195" s="1">
        <f t="shared" si="111"/>
        <v>29.066666666666666</v>
      </c>
      <c r="BL195" s="1">
        <f t="shared" si="111"/>
        <v>29.574999999999999</v>
      </c>
      <c r="BM195" s="1">
        <f t="shared" si="106"/>
        <v>30.080555555555556</v>
      </c>
      <c r="BN195" s="1">
        <f t="shared" si="106"/>
        <v>30.588888888888889</v>
      </c>
      <c r="BO195" s="1">
        <f t="shared" si="106"/>
        <v>30.588888888888889</v>
      </c>
      <c r="BP195" s="1">
        <f t="shared" si="106"/>
        <v>31.094444444444445</v>
      </c>
      <c r="BQ195" s="1">
        <f t="shared" si="106"/>
        <v>31.602777777777778</v>
      </c>
      <c r="BR195" s="1">
        <f t="shared" si="106"/>
        <v>32.108333333333334</v>
      </c>
      <c r="BS195" s="1">
        <f t="shared" si="106"/>
        <v>32.616666666666667</v>
      </c>
      <c r="BT195" s="1">
        <f t="shared" si="106"/>
        <v>33.125</v>
      </c>
      <c r="BU195" s="1">
        <f t="shared" si="106"/>
        <v>33.633333333333333</v>
      </c>
      <c r="BV195" s="1">
        <f t="shared" si="106"/>
        <v>33.633333333333333</v>
      </c>
      <c r="BW195" s="1">
        <f t="shared" si="106"/>
        <v>34.138888888888886</v>
      </c>
      <c r="BX195" s="1">
        <f t="shared" si="106"/>
        <v>34.647222222222226</v>
      </c>
      <c r="BY195" s="1">
        <f t="shared" si="106"/>
        <v>35.152777777777779</v>
      </c>
      <c r="BZ195" s="1">
        <f t="shared" si="106"/>
        <v>35.661111111111111</v>
      </c>
      <c r="CA195" s="1">
        <f t="shared" si="106"/>
        <v>36.166666666666664</v>
      </c>
      <c r="CB195" s="1">
        <f t="shared" si="106"/>
        <v>36.674999999999997</v>
      </c>
      <c r="CC195" s="1">
        <f t="shared" si="112"/>
        <v>37.18333333333333</v>
      </c>
      <c r="CD195" s="1">
        <f t="shared" si="107"/>
        <v>37.69166666666667</v>
      </c>
      <c r="CE195" s="1">
        <f t="shared" si="107"/>
        <v>38.197222222222223</v>
      </c>
      <c r="CF195" s="1">
        <f t="shared" si="107"/>
        <v>38.705555555555556</v>
      </c>
      <c r="CG195" s="1">
        <f t="shared" si="107"/>
        <v>39.211111111111109</v>
      </c>
      <c r="CH195" s="1">
        <f t="shared" si="107"/>
        <v>39.719444444444441</v>
      </c>
      <c r="CI195" s="1">
        <f t="shared" si="107"/>
        <v>40.225000000000001</v>
      </c>
      <c r="CJ195" s="1">
        <f t="shared" si="107"/>
        <v>40.733333333333334</v>
      </c>
      <c r="CK195" s="1">
        <f t="shared" si="107"/>
        <v>41.241666666666667</v>
      </c>
      <c r="CL195" s="1">
        <f t="shared" si="107"/>
        <v>41.75</v>
      </c>
      <c r="CM195" s="1">
        <f t="shared" si="107"/>
        <v>42.255555555555553</v>
      </c>
      <c r="CN195" s="1">
        <f t="shared" si="107"/>
        <v>42.763888888888886</v>
      </c>
      <c r="CO195" s="1">
        <f t="shared" si="107"/>
        <v>43.269444444444446</v>
      </c>
      <c r="CP195" s="1">
        <f t="shared" si="107"/>
        <v>43.777777777777779</v>
      </c>
      <c r="CQ195" s="1">
        <f t="shared" si="107"/>
        <v>44.283333333333331</v>
      </c>
      <c r="CR195" s="1">
        <f t="shared" si="107"/>
        <v>44.791666666666664</v>
      </c>
      <c r="CS195" s="1">
        <f t="shared" si="107"/>
        <v>45.3</v>
      </c>
      <c r="CT195" s="1">
        <f t="shared" si="113"/>
        <v>45.80833333333333</v>
      </c>
      <c r="CU195" s="1">
        <f t="shared" si="108"/>
        <v>46.31388888888889</v>
      </c>
      <c r="CV195" s="1">
        <f t="shared" si="108"/>
        <v>46.822222222222223</v>
      </c>
      <c r="CW195" s="1">
        <f t="shared" si="108"/>
        <v>47.327777777777776</v>
      </c>
      <c r="CX195" s="1">
        <f t="shared" si="108"/>
        <v>47.836111111111109</v>
      </c>
      <c r="CY195" s="1">
        <f t="shared" si="108"/>
        <v>48.341666666666669</v>
      </c>
      <c r="CZ195" s="1">
        <f t="shared" si="108"/>
        <v>48.85</v>
      </c>
      <c r="DA195" s="1">
        <f t="shared" si="108"/>
        <v>49.358333333333334</v>
      </c>
      <c r="DB195" s="1">
        <f t="shared" si="108"/>
        <v>49.866666666666667</v>
      </c>
      <c r="DC195" s="1">
        <f t="shared" si="108"/>
        <v>49.866666666666667</v>
      </c>
    </row>
    <row r="196" spans="1:107" x14ac:dyDescent="0.25">
      <c r="A196">
        <f t="shared" si="114"/>
        <v>6</v>
      </c>
      <c r="B196" s="2">
        <f>yields_BRUTE!B196</f>
        <v>42286</v>
      </c>
      <c r="C196" s="1">
        <f t="shared" si="115"/>
        <v>-0.6166666666666667</v>
      </c>
      <c r="D196" s="1">
        <f t="shared" si="115"/>
        <v>-0.57777777777777772</v>
      </c>
      <c r="E196" s="1">
        <f t="shared" si="115"/>
        <v>-0.3611111111111111</v>
      </c>
      <c r="F196" s="1">
        <f t="shared" si="115"/>
        <v>-0.10555555555555556</v>
      </c>
      <c r="G196" s="1">
        <f t="shared" si="115"/>
        <v>-6.6666666666666666E-2</v>
      </c>
      <c r="H196" s="1">
        <f t="shared" si="115"/>
        <v>0.14722222222222223</v>
      </c>
      <c r="I196" s="1">
        <f t="shared" si="115"/>
        <v>0.14722222222222223</v>
      </c>
      <c r="J196" s="1">
        <f t="shared" si="115"/>
        <v>0.4</v>
      </c>
      <c r="K196" s="1">
        <f t="shared" si="115"/>
        <v>0.43888888888888888</v>
      </c>
      <c r="L196" s="1">
        <f t="shared" si="115"/>
        <v>0.65555555555555556</v>
      </c>
      <c r="M196" s="1">
        <f t="shared" si="115"/>
        <v>0.91111111111111109</v>
      </c>
      <c r="N196" s="1">
        <f t="shared" si="115"/>
        <v>0.91111111111111109</v>
      </c>
      <c r="O196" s="1">
        <f t="shared" si="115"/>
        <v>0.95</v>
      </c>
      <c r="P196" s="1">
        <f t="shared" si="115"/>
        <v>1.163888888888889</v>
      </c>
      <c r="Q196" s="1">
        <f t="shared" si="115"/>
        <v>1.4527777777777777</v>
      </c>
      <c r="R196" s="1">
        <f t="shared" si="109"/>
        <v>1.6694444444444445</v>
      </c>
      <c r="S196" s="1">
        <f t="shared" si="109"/>
        <v>1.9638888888888888</v>
      </c>
      <c r="T196" s="1">
        <f t="shared" si="109"/>
        <v>2.1777777777777776</v>
      </c>
      <c r="U196" s="1">
        <f t="shared" si="109"/>
        <v>2.4666666666666668</v>
      </c>
      <c r="V196" s="1">
        <f t="shared" si="109"/>
        <v>2.6833333333333331</v>
      </c>
      <c r="W196" s="1">
        <f t="shared" si="109"/>
        <v>2.9777777777777779</v>
      </c>
      <c r="X196" s="1">
        <f t="shared" si="109"/>
        <v>3.1916666666666669</v>
      </c>
      <c r="Y196" s="1">
        <f t="shared" si="109"/>
        <v>3.4805555555555556</v>
      </c>
      <c r="Z196" s="1">
        <f t="shared" si="109"/>
        <v>3.6972222222222224</v>
      </c>
      <c r="AA196" s="1">
        <f t="shared" si="109"/>
        <v>3.9916666666666667</v>
      </c>
      <c r="AB196" s="1">
        <f t="shared" si="109"/>
        <v>4.2055555555555557</v>
      </c>
      <c r="AC196" s="1">
        <f t="shared" si="109"/>
        <v>4.4972222222222218</v>
      </c>
      <c r="AD196" s="1">
        <f t="shared" si="109"/>
        <v>4.7138888888888886</v>
      </c>
      <c r="AE196" s="1">
        <f t="shared" si="109"/>
        <v>4.7138888888888886</v>
      </c>
      <c r="AF196" s="3">
        <f t="shared" si="109"/>
        <v>5.0083333333333337</v>
      </c>
      <c r="AG196" s="1">
        <f t="shared" si="109"/>
        <v>5.2222222222222223</v>
      </c>
      <c r="AH196" s="1">
        <f t="shared" si="110"/>
        <v>5.5111111111111111</v>
      </c>
      <c r="AI196" s="1">
        <f t="shared" si="105"/>
        <v>5.5111111111111111</v>
      </c>
      <c r="AJ196" s="1">
        <f t="shared" si="105"/>
        <v>5.7277777777777779</v>
      </c>
      <c r="AK196" s="1">
        <f t="shared" si="105"/>
        <v>5.7277777777777779</v>
      </c>
      <c r="AL196" s="1">
        <f t="shared" si="105"/>
        <v>6.2361111111111107</v>
      </c>
      <c r="AM196" s="1">
        <f t="shared" si="105"/>
        <v>6.7416666666666663</v>
      </c>
      <c r="AN196" s="1">
        <f t="shared" si="105"/>
        <v>6.7416666666666663</v>
      </c>
      <c r="AO196" s="1">
        <f t="shared" si="105"/>
        <v>7.25</v>
      </c>
      <c r="AP196" s="1">
        <f t="shared" si="105"/>
        <v>7.7555555555555555</v>
      </c>
      <c r="AQ196" s="1">
        <f t="shared" si="105"/>
        <v>7.7555555555555555</v>
      </c>
      <c r="AR196" s="1">
        <f t="shared" si="105"/>
        <v>8.2638888888888893</v>
      </c>
      <c r="AS196" s="1">
        <f t="shared" si="105"/>
        <v>8.7722222222222221</v>
      </c>
      <c r="AT196" s="1">
        <f t="shared" si="105"/>
        <v>9.280555555555555</v>
      </c>
      <c r="AU196" s="1">
        <f t="shared" si="105"/>
        <v>9.7861111111111114</v>
      </c>
      <c r="AV196" s="1">
        <f t="shared" si="105"/>
        <v>9.7861111111111114</v>
      </c>
      <c r="AW196" s="1">
        <f t="shared" si="105"/>
        <v>14.352777777777778</v>
      </c>
      <c r="AX196" s="1">
        <f t="shared" si="105"/>
        <v>14.858333333333333</v>
      </c>
      <c r="AY196" s="1">
        <f t="shared" si="111"/>
        <v>15.366666666666667</v>
      </c>
      <c r="AZ196" s="1">
        <f t="shared" si="111"/>
        <v>15.872222222222222</v>
      </c>
      <c r="BA196" s="1">
        <f t="shared" si="111"/>
        <v>16.380555555555556</v>
      </c>
      <c r="BB196" s="1">
        <f t="shared" si="111"/>
        <v>16.888888888888889</v>
      </c>
      <c r="BC196" s="1">
        <f t="shared" si="111"/>
        <v>17.397222222222222</v>
      </c>
      <c r="BD196" s="1">
        <f t="shared" si="111"/>
        <v>17.902777777777779</v>
      </c>
      <c r="BE196" s="1">
        <f t="shared" si="111"/>
        <v>17.902777777777779</v>
      </c>
      <c r="BF196" s="1">
        <f t="shared" si="111"/>
        <v>26.527777777777779</v>
      </c>
      <c r="BG196" s="1">
        <f t="shared" si="111"/>
        <v>27.033333333333335</v>
      </c>
      <c r="BH196" s="1">
        <f t="shared" si="111"/>
        <v>27.541666666666668</v>
      </c>
      <c r="BI196" s="1">
        <f t="shared" si="111"/>
        <v>28.047222222222221</v>
      </c>
      <c r="BJ196" s="1">
        <f t="shared" si="111"/>
        <v>28.555555555555557</v>
      </c>
      <c r="BK196" s="1">
        <f t="shared" si="111"/>
        <v>29.06388888888889</v>
      </c>
      <c r="BL196" s="1">
        <f t="shared" si="111"/>
        <v>29.572222222222223</v>
      </c>
      <c r="BM196" s="1">
        <f t="shared" si="106"/>
        <v>30.077777777777779</v>
      </c>
      <c r="BN196" s="1">
        <f t="shared" si="106"/>
        <v>30.586111111111112</v>
      </c>
      <c r="BO196" s="1">
        <f t="shared" si="106"/>
        <v>30.586111111111112</v>
      </c>
      <c r="BP196" s="1">
        <f t="shared" si="106"/>
        <v>31.091666666666665</v>
      </c>
      <c r="BQ196" s="1">
        <f t="shared" si="106"/>
        <v>31.6</v>
      </c>
      <c r="BR196" s="1">
        <f t="shared" si="106"/>
        <v>32.105555555555554</v>
      </c>
      <c r="BS196" s="1">
        <f t="shared" si="106"/>
        <v>32.613888888888887</v>
      </c>
      <c r="BT196" s="1">
        <f t="shared" si="106"/>
        <v>33.12222222222222</v>
      </c>
      <c r="BU196" s="1">
        <f t="shared" si="106"/>
        <v>33.630555555555553</v>
      </c>
      <c r="BV196" s="1">
        <f t="shared" si="106"/>
        <v>33.630555555555553</v>
      </c>
      <c r="BW196" s="1">
        <f t="shared" si="106"/>
        <v>34.136111111111113</v>
      </c>
      <c r="BX196" s="1">
        <f t="shared" si="106"/>
        <v>34.644444444444446</v>
      </c>
      <c r="BY196" s="1">
        <f t="shared" si="106"/>
        <v>35.15</v>
      </c>
      <c r="BZ196" s="1">
        <f t="shared" si="106"/>
        <v>35.658333333333331</v>
      </c>
      <c r="CA196" s="1">
        <f t="shared" si="106"/>
        <v>36.163888888888891</v>
      </c>
      <c r="CB196" s="1">
        <f t="shared" si="106"/>
        <v>36.672222222222224</v>
      </c>
      <c r="CC196" s="1">
        <f t="shared" si="112"/>
        <v>37.180555555555557</v>
      </c>
      <c r="CD196" s="1">
        <f t="shared" si="107"/>
        <v>37.68888888888889</v>
      </c>
      <c r="CE196" s="1">
        <f t="shared" si="107"/>
        <v>38.194444444444443</v>
      </c>
      <c r="CF196" s="1">
        <f t="shared" si="107"/>
        <v>38.702777777777776</v>
      </c>
      <c r="CG196" s="1">
        <f t="shared" si="107"/>
        <v>39.208333333333336</v>
      </c>
      <c r="CH196" s="1">
        <f t="shared" si="107"/>
        <v>39.716666666666669</v>
      </c>
      <c r="CI196" s="1">
        <f t="shared" si="107"/>
        <v>40.222222222222221</v>
      </c>
      <c r="CJ196" s="1">
        <f t="shared" si="107"/>
        <v>40.730555555555554</v>
      </c>
      <c r="CK196" s="1">
        <f t="shared" si="107"/>
        <v>41.238888888888887</v>
      </c>
      <c r="CL196" s="1">
        <f t="shared" si="107"/>
        <v>41.74722222222222</v>
      </c>
      <c r="CM196" s="1">
        <f t="shared" si="107"/>
        <v>42.25277777777778</v>
      </c>
      <c r="CN196" s="1">
        <f t="shared" si="107"/>
        <v>42.761111111111113</v>
      </c>
      <c r="CO196" s="1">
        <f t="shared" si="107"/>
        <v>43.266666666666666</v>
      </c>
      <c r="CP196" s="1">
        <f t="shared" si="107"/>
        <v>43.774999999999999</v>
      </c>
      <c r="CQ196" s="1">
        <f t="shared" si="107"/>
        <v>44.280555555555559</v>
      </c>
      <c r="CR196" s="1">
        <f t="shared" si="107"/>
        <v>44.788888888888891</v>
      </c>
      <c r="CS196" s="1">
        <f t="shared" si="107"/>
        <v>45.297222222222224</v>
      </c>
      <c r="CT196" s="1">
        <f t="shared" si="113"/>
        <v>45.805555555555557</v>
      </c>
      <c r="CU196" s="1">
        <f t="shared" si="108"/>
        <v>46.31111111111111</v>
      </c>
      <c r="CV196" s="1">
        <f t="shared" si="108"/>
        <v>46.819444444444443</v>
      </c>
      <c r="CW196" s="1">
        <f t="shared" si="108"/>
        <v>47.325000000000003</v>
      </c>
      <c r="CX196" s="1">
        <f t="shared" si="108"/>
        <v>47.833333333333336</v>
      </c>
      <c r="CY196" s="1">
        <f t="shared" si="108"/>
        <v>48.338888888888889</v>
      </c>
      <c r="CZ196" s="1">
        <f t="shared" si="108"/>
        <v>48.847222222222221</v>
      </c>
      <c r="DA196" s="1">
        <f t="shared" si="108"/>
        <v>49.355555555555554</v>
      </c>
      <c r="DB196" s="1">
        <f t="shared" si="108"/>
        <v>49.863888888888887</v>
      </c>
      <c r="DC196" s="1">
        <f t="shared" si="108"/>
        <v>49.863888888888887</v>
      </c>
    </row>
    <row r="197" spans="1:107" x14ac:dyDescent="0.25">
      <c r="A197">
        <f t="shared" si="114"/>
        <v>3</v>
      </c>
      <c r="B197" s="2">
        <f>yields_BRUTE!B197</f>
        <v>42290</v>
      </c>
      <c r="C197" s="1">
        <f t="shared" si="115"/>
        <v>-0.62777777777777777</v>
      </c>
      <c r="D197" s="1">
        <f t="shared" si="115"/>
        <v>-0.58888888888888891</v>
      </c>
      <c r="E197" s="1">
        <f t="shared" si="115"/>
        <v>-0.37222222222222223</v>
      </c>
      <c r="F197" s="1">
        <f t="shared" si="115"/>
        <v>-0.11666666666666667</v>
      </c>
      <c r="G197" s="1">
        <f t="shared" si="115"/>
        <v>-7.7777777777777779E-2</v>
      </c>
      <c r="H197" s="1">
        <f t="shared" si="115"/>
        <v>0.1361111111111111</v>
      </c>
      <c r="I197" s="1">
        <f t="shared" si="115"/>
        <v>0.1361111111111111</v>
      </c>
      <c r="J197" s="1">
        <f t="shared" si="115"/>
        <v>0.3888888888888889</v>
      </c>
      <c r="K197" s="1">
        <f t="shared" si="115"/>
        <v>0.42777777777777776</v>
      </c>
      <c r="L197" s="1">
        <f t="shared" si="115"/>
        <v>0.64444444444444449</v>
      </c>
      <c r="M197" s="1">
        <f t="shared" si="115"/>
        <v>0.9</v>
      </c>
      <c r="N197" s="1">
        <f t="shared" si="115"/>
        <v>0.9</v>
      </c>
      <c r="O197" s="1">
        <f t="shared" si="115"/>
        <v>0.93888888888888888</v>
      </c>
      <c r="P197" s="1">
        <f t="shared" si="115"/>
        <v>1.1527777777777777</v>
      </c>
      <c r="Q197" s="1">
        <f t="shared" si="115"/>
        <v>1.4416666666666667</v>
      </c>
      <c r="R197" s="1">
        <f t="shared" si="109"/>
        <v>1.6583333333333334</v>
      </c>
      <c r="S197" s="1">
        <f t="shared" si="109"/>
        <v>1.9527777777777777</v>
      </c>
      <c r="T197" s="1">
        <f t="shared" si="109"/>
        <v>2.1666666666666665</v>
      </c>
      <c r="U197" s="1">
        <f t="shared" si="109"/>
        <v>2.4555555555555557</v>
      </c>
      <c r="V197" s="1">
        <f t="shared" si="109"/>
        <v>2.6722222222222221</v>
      </c>
      <c r="W197" s="1">
        <f t="shared" si="109"/>
        <v>2.9666666666666668</v>
      </c>
      <c r="X197" s="1">
        <f t="shared" si="109"/>
        <v>3.1805555555555554</v>
      </c>
      <c r="Y197" s="1">
        <f t="shared" si="109"/>
        <v>3.4694444444444446</v>
      </c>
      <c r="Z197" s="1">
        <f t="shared" si="109"/>
        <v>3.6861111111111109</v>
      </c>
      <c r="AA197" s="1">
        <f t="shared" si="109"/>
        <v>3.9805555555555556</v>
      </c>
      <c r="AB197" s="1">
        <f t="shared" si="109"/>
        <v>4.1944444444444446</v>
      </c>
      <c r="AC197" s="1">
        <f t="shared" si="109"/>
        <v>4.4861111111111107</v>
      </c>
      <c r="AD197" s="1">
        <f t="shared" si="109"/>
        <v>4.7027777777777775</v>
      </c>
      <c r="AE197" s="1">
        <f t="shared" si="109"/>
        <v>4.7027777777777775</v>
      </c>
      <c r="AF197" s="3">
        <f t="shared" si="109"/>
        <v>4.9972222222222218</v>
      </c>
      <c r="AG197" s="1">
        <f t="shared" si="109"/>
        <v>5.2111111111111112</v>
      </c>
      <c r="AH197" s="1">
        <f t="shared" si="110"/>
        <v>5.5</v>
      </c>
      <c r="AI197" s="1">
        <f t="shared" si="105"/>
        <v>5.5</v>
      </c>
      <c r="AJ197" s="1">
        <f t="shared" si="105"/>
        <v>5.7166666666666668</v>
      </c>
      <c r="AK197" s="1">
        <f t="shared" si="105"/>
        <v>5.7166666666666668</v>
      </c>
      <c r="AL197" s="1">
        <f t="shared" si="105"/>
        <v>6.2249999999999996</v>
      </c>
      <c r="AM197" s="1">
        <f t="shared" si="105"/>
        <v>6.7305555555555552</v>
      </c>
      <c r="AN197" s="1">
        <f t="shared" si="105"/>
        <v>6.7305555555555552</v>
      </c>
      <c r="AO197" s="1">
        <f t="shared" si="105"/>
        <v>7.2388888888888889</v>
      </c>
      <c r="AP197" s="1">
        <f t="shared" si="105"/>
        <v>7.7444444444444445</v>
      </c>
      <c r="AQ197" s="1">
        <f t="shared" si="105"/>
        <v>7.7444444444444445</v>
      </c>
      <c r="AR197" s="1">
        <f t="shared" si="105"/>
        <v>8.2527777777777782</v>
      </c>
      <c r="AS197" s="1">
        <f t="shared" si="105"/>
        <v>8.7611111111111111</v>
      </c>
      <c r="AT197" s="1">
        <f t="shared" si="105"/>
        <v>9.2694444444444439</v>
      </c>
      <c r="AU197" s="1">
        <f t="shared" si="105"/>
        <v>9.7750000000000004</v>
      </c>
      <c r="AV197" s="1">
        <f t="shared" si="105"/>
        <v>9.7750000000000004</v>
      </c>
      <c r="AW197" s="1">
        <f t="shared" si="105"/>
        <v>14.341666666666667</v>
      </c>
      <c r="AX197" s="1">
        <f t="shared" si="105"/>
        <v>14.847222222222221</v>
      </c>
      <c r="AY197" s="1">
        <f t="shared" si="111"/>
        <v>15.355555555555556</v>
      </c>
      <c r="AZ197" s="1">
        <f t="shared" si="111"/>
        <v>15.861111111111111</v>
      </c>
      <c r="BA197" s="1">
        <f t="shared" si="111"/>
        <v>16.369444444444444</v>
      </c>
      <c r="BB197" s="1">
        <f t="shared" si="111"/>
        <v>16.877777777777776</v>
      </c>
      <c r="BC197" s="1">
        <f t="shared" si="111"/>
        <v>17.386111111111113</v>
      </c>
      <c r="BD197" s="1">
        <f t="shared" si="111"/>
        <v>17.891666666666666</v>
      </c>
      <c r="BE197" s="1">
        <f t="shared" si="111"/>
        <v>17.891666666666666</v>
      </c>
      <c r="BF197" s="1">
        <f t="shared" si="111"/>
        <v>26.516666666666666</v>
      </c>
      <c r="BG197" s="1">
        <f t="shared" si="111"/>
        <v>27.022222222222222</v>
      </c>
      <c r="BH197" s="1">
        <f t="shared" si="111"/>
        <v>27.530555555555555</v>
      </c>
      <c r="BI197" s="1">
        <f t="shared" si="111"/>
        <v>28.036111111111111</v>
      </c>
      <c r="BJ197" s="1">
        <f t="shared" si="111"/>
        <v>28.544444444444444</v>
      </c>
      <c r="BK197" s="1">
        <f t="shared" si="111"/>
        <v>29.052777777777777</v>
      </c>
      <c r="BL197" s="1">
        <f t="shared" si="111"/>
        <v>29.56111111111111</v>
      </c>
      <c r="BM197" s="1">
        <f t="shared" si="106"/>
        <v>30.066666666666666</v>
      </c>
      <c r="BN197" s="1">
        <f t="shared" si="106"/>
        <v>30.574999999999999</v>
      </c>
      <c r="BO197" s="1">
        <f t="shared" si="106"/>
        <v>30.574999999999999</v>
      </c>
      <c r="BP197" s="1">
        <f t="shared" si="106"/>
        <v>31.080555555555556</v>
      </c>
      <c r="BQ197" s="1">
        <f t="shared" si="106"/>
        <v>31.588888888888889</v>
      </c>
      <c r="BR197" s="1">
        <f t="shared" si="106"/>
        <v>32.094444444444441</v>
      </c>
      <c r="BS197" s="1">
        <f t="shared" si="106"/>
        <v>32.602777777777774</v>
      </c>
      <c r="BT197" s="1">
        <f t="shared" si="106"/>
        <v>33.111111111111114</v>
      </c>
      <c r="BU197" s="1">
        <f t="shared" si="106"/>
        <v>33.619444444444447</v>
      </c>
      <c r="BV197" s="1">
        <f t="shared" si="106"/>
        <v>33.619444444444447</v>
      </c>
      <c r="BW197" s="1">
        <f t="shared" si="106"/>
        <v>34.125</v>
      </c>
      <c r="BX197" s="1">
        <f t="shared" si="106"/>
        <v>34.633333333333333</v>
      </c>
      <c r="BY197" s="1">
        <f t="shared" si="106"/>
        <v>35.138888888888886</v>
      </c>
      <c r="BZ197" s="1">
        <f t="shared" si="106"/>
        <v>35.647222222222226</v>
      </c>
      <c r="CA197" s="1">
        <f t="shared" si="106"/>
        <v>36.152777777777779</v>
      </c>
      <c r="CB197" s="1">
        <f t="shared" si="106"/>
        <v>36.661111111111111</v>
      </c>
      <c r="CC197" s="1">
        <f t="shared" si="112"/>
        <v>37.169444444444444</v>
      </c>
      <c r="CD197" s="1">
        <f t="shared" si="107"/>
        <v>37.677777777777777</v>
      </c>
      <c r="CE197" s="1">
        <f t="shared" si="107"/>
        <v>38.18333333333333</v>
      </c>
      <c r="CF197" s="1">
        <f t="shared" si="107"/>
        <v>38.69166666666667</v>
      </c>
      <c r="CG197" s="1">
        <f t="shared" si="107"/>
        <v>39.197222222222223</v>
      </c>
      <c r="CH197" s="1">
        <f t="shared" si="107"/>
        <v>39.705555555555556</v>
      </c>
      <c r="CI197" s="1">
        <f t="shared" si="107"/>
        <v>40.211111111111109</v>
      </c>
      <c r="CJ197" s="1">
        <f t="shared" si="107"/>
        <v>40.719444444444441</v>
      </c>
      <c r="CK197" s="1">
        <f t="shared" si="107"/>
        <v>41.227777777777774</v>
      </c>
      <c r="CL197" s="1">
        <f t="shared" si="107"/>
        <v>41.736111111111114</v>
      </c>
      <c r="CM197" s="1">
        <f t="shared" si="107"/>
        <v>42.241666666666667</v>
      </c>
      <c r="CN197" s="1">
        <f t="shared" si="107"/>
        <v>42.75</v>
      </c>
      <c r="CO197" s="1">
        <f t="shared" si="107"/>
        <v>43.255555555555553</v>
      </c>
      <c r="CP197" s="1">
        <f t="shared" si="107"/>
        <v>43.763888888888886</v>
      </c>
      <c r="CQ197" s="1">
        <f t="shared" si="107"/>
        <v>44.269444444444446</v>
      </c>
      <c r="CR197" s="1">
        <f t="shared" si="107"/>
        <v>44.777777777777779</v>
      </c>
      <c r="CS197" s="1">
        <f t="shared" si="107"/>
        <v>45.286111111111111</v>
      </c>
      <c r="CT197" s="1">
        <f t="shared" si="113"/>
        <v>45.794444444444444</v>
      </c>
      <c r="CU197" s="1">
        <f t="shared" si="108"/>
        <v>46.3</v>
      </c>
      <c r="CV197" s="1">
        <f t="shared" si="108"/>
        <v>46.80833333333333</v>
      </c>
      <c r="CW197" s="1">
        <f t="shared" si="108"/>
        <v>47.31388888888889</v>
      </c>
      <c r="CX197" s="1">
        <f t="shared" si="108"/>
        <v>47.822222222222223</v>
      </c>
      <c r="CY197" s="1">
        <f t="shared" si="108"/>
        <v>48.327777777777776</v>
      </c>
      <c r="CZ197" s="1">
        <f t="shared" si="108"/>
        <v>48.836111111111109</v>
      </c>
      <c r="DA197" s="1">
        <f t="shared" si="108"/>
        <v>49.344444444444441</v>
      </c>
      <c r="DB197" s="1">
        <f t="shared" si="108"/>
        <v>49.852777777777774</v>
      </c>
      <c r="DC197" s="1">
        <f t="shared" si="108"/>
        <v>49.852777777777774</v>
      </c>
    </row>
    <row r="198" spans="1:107" x14ac:dyDescent="0.25">
      <c r="A198">
        <f t="shared" si="114"/>
        <v>4</v>
      </c>
      <c r="B198" s="2">
        <f>yields_BRUTE!B198</f>
        <v>42291</v>
      </c>
      <c r="C198" s="1">
        <f t="shared" si="115"/>
        <v>-0.63055555555555554</v>
      </c>
      <c r="D198" s="1">
        <f t="shared" si="115"/>
        <v>-0.59166666666666667</v>
      </c>
      <c r="E198" s="1">
        <f t="shared" si="115"/>
        <v>-0.375</v>
      </c>
      <c r="F198" s="1">
        <f t="shared" si="115"/>
        <v>-0.11944444444444445</v>
      </c>
      <c r="G198" s="1">
        <f t="shared" si="115"/>
        <v>-8.0555555555555561E-2</v>
      </c>
      <c r="H198" s="1">
        <f t="shared" si="115"/>
        <v>0.13333333333333333</v>
      </c>
      <c r="I198" s="1">
        <f t="shared" si="115"/>
        <v>0.13333333333333333</v>
      </c>
      <c r="J198" s="1">
        <f t="shared" si="115"/>
        <v>0.38611111111111113</v>
      </c>
      <c r="K198" s="1">
        <f t="shared" si="115"/>
        <v>0.42499999999999999</v>
      </c>
      <c r="L198" s="1">
        <f t="shared" si="115"/>
        <v>0.64166666666666672</v>
      </c>
      <c r="M198" s="1">
        <f t="shared" si="115"/>
        <v>0.89722222222222225</v>
      </c>
      <c r="N198" s="1">
        <f t="shared" si="115"/>
        <v>0.89722222222222225</v>
      </c>
      <c r="O198" s="1">
        <f t="shared" si="115"/>
        <v>0.93611111111111112</v>
      </c>
      <c r="P198" s="1">
        <f t="shared" si="115"/>
        <v>1.1499999999999999</v>
      </c>
      <c r="Q198" s="1">
        <f t="shared" si="115"/>
        <v>1.4388888888888889</v>
      </c>
      <c r="R198" s="1">
        <f t="shared" si="109"/>
        <v>1.6555555555555554</v>
      </c>
      <c r="S198" s="1">
        <f t="shared" si="109"/>
        <v>1.95</v>
      </c>
      <c r="T198" s="1">
        <f t="shared" si="109"/>
        <v>2.1638888888888888</v>
      </c>
      <c r="U198" s="1">
        <f t="shared" si="109"/>
        <v>2.4527777777777779</v>
      </c>
      <c r="V198" s="1">
        <f t="shared" si="109"/>
        <v>2.6694444444444443</v>
      </c>
      <c r="W198" s="1">
        <f t="shared" si="109"/>
        <v>2.963888888888889</v>
      </c>
      <c r="X198" s="1">
        <f t="shared" si="109"/>
        <v>3.1777777777777776</v>
      </c>
      <c r="Y198" s="1">
        <f t="shared" si="109"/>
        <v>3.4666666666666668</v>
      </c>
      <c r="Z198" s="1">
        <f t="shared" si="109"/>
        <v>3.6833333333333331</v>
      </c>
      <c r="AA198" s="1">
        <f t="shared" si="109"/>
        <v>3.9777777777777779</v>
      </c>
      <c r="AB198" s="1">
        <f t="shared" si="109"/>
        <v>4.1916666666666664</v>
      </c>
      <c r="AC198" s="1">
        <f t="shared" si="109"/>
        <v>4.4833333333333334</v>
      </c>
      <c r="AD198" s="1">
        <f t="shared" si="109"/>
        <v>4.7</v>
      </c>
      <c r="AE198" s="1">
        <f t="shared" si="109"/>
        <v>4.7</v>
      </c>
      <c r="AF198" s="3">
        <f t="shared" si="109"/>
        <v>4.9944444444444445</v>
      </c>
      <c r="AG198" s="1">
        <f t="shared" si="109"/>
        <v>5.208333333333333</v>
      </c>
      <c r="AH198" s="1">
        <f t="shared" si="110"/>
        <v>5.4972222222222218</v>
      </c>
      <c r="AI198" s="1">
        <f t="shared" si="105"/>
        <v>5.4972222222222218</v>
      </c>
      <c r="AJ198" s="1">
        <f t="shared" si="105"/>
        <v>5.7138888888888886</v>
      </c>
      <c r="AK198" s="1">
        <f t="shared" si="105"/>
        <v>5.7138888888888886</v>
      </c>
      <c r="AL198" s="1">
        <f t="shared" si="105"/>
        <v>6.2222222222222223</v>
      </c>
      <c r="AM198" s="1">
        <f t="shared" si="105"/>
        <v>6.7277777777777779</v>
      </c>
      <c r="AN198" s="1">
        <f t="shared" si="105"/>
        <v>6.7277777777777779</v>
      </c>
      <c r="AO198" s="1">
        <f t="shared" si="105"/>
        <v>7.2361111111111107</v>
      </c>
      <c r="AP198" s="1">
        <f t="shared" si="105"/>
        <v>7.7416666666666663</v>
      </c>
      <c r="AQ198" s="1">
        <f t="shared" si="105"/>
        <v>7.7416666666666663</v>
      </c>
      <c r="AR198" s="1">
        <f t="shared" si="105"/>
        <v>8.25</v>
      </c>
      <c r="AS198" s="1">
        <f t="shared" si="105"/>
        <v>8.7583333333333329</v>
      </c>
      <c r="AT198" s="1">
        <f t="shared" si="105"/>
        <v>9.2666666666666675</v>
      </c>
      <c r="AU198" s="1">
        <f t="shared" si="105"/>
        <v>9.7722222222222221</v>
      </c>
      <c r="AV198" s="1">
        <f t="shared" si="105"/>
        <v>9.7722222222222221</v>
      </c>
      <c r="AW198" s="1">
        <f t="shared" si="105"/>
        <v>14.338888888888889</v>
      </c>
      <c r="AX198" s="1">
        <f t="shared" si="105"/>
        <v>14.844444444444445</v>
      </c>
      <c r="AY198" s="1">
        <f t="shared" si="111"/>
        <v>15.352777777777778</v>
      </c>
      <c r="AZ198" s="1">
        <f t="shared" si="111"/>
        <v>15.858333333333333</v>
      </c>
      <c r="BA198" s="1">
        <f t="shared" si="111"/>
        <v>16.366666666666667</v>
      </c>
      <c r="BB198" s="1">
        <f t="shared" si="111"/>
        <v>16.875</v>
      </c>
      <c r="BC198" s="1">
        <f t="shared" si="111"/>
        <v>17.383333333333333</v>
      </c>
      <c r="BD198" s="1">
        <f t="shared" si="111"/>
        <v>17.888888888888889</v>
      </c>
      <c r="BE198" s="1">
        <f t="shared" si="111"/>
        <v>17.888888888888889</v>
      </c>
      <c r="BF198" s="1">
        <f t="shared" si="111"/>
        <v>26.513888888888889</v>
      </c>
      <c r="BG198" s="1">
        <f t="shared" si="111"/>
        <v>27.019444444444446</v>
      </c>
      <c r="BH198" s="1">
        <f t="shared" si="111"/>
        <v>27.527777777777779</v>
      </c>
      <c r="BI198" s="1">
        <f t="shared" si="111"/>
        <v>28.033333333333335</v>
      </c>
      <c r="BJ198" s="1">
        <f t="shared" si="111"/>
        <v>28.541666666666668</v>
      </c>
      <c r="BK198" s="1">
        <f t="shared" si="111"/>
        <v>29.05</v>
      </c>
      <c r="BL198" s="1">
        <f t="shared" si="111"/>
        <v>29.558333333333334</v>
      </c>
      <c r="BM198" s="1">
        <f t="shared" si="106"/>
        <v>30.06388888888889</v>
      </c>
      <c r="BN198" s="1">
        <f t="shared" si="106"/>
        <v>30.572222222222223</v>
      </c>
      <c r="BO198" s="1">
        <f t="shared" si="106"/>
        <v>30.572222222222223</v>
      </c>
      <c r="BP198" s="1">
        <f t="shared" si="106"/>
        <v>31.077777777777779</v>
      </c>
      <c r="BQ198" s="1">
        <f t="shared" si="106"/>
        <v>31.586111111111112</v>
      </c>
      <c r="BR198" s="1">
        <f t="shared" si="106"/>
        <v>32.091666666666669</v>
      </c>
      <c r="BS198" s="1">
        <f t="shared" si="106"/>
        <v>32.6</v>
      </c>
      <c r="BT198" s="1">
        <f t="shared" si="106"/>
        <v>33.108333333333334</v>
      </c>
      <c r="BU198" s="1">
        <f t="shared" si="106"/>
        <v>33.616666666666667</v>
      </c>
      <c r="BV198" s="1">
        <f t="shared" si="106"/>
        <v>33.616666666666667</v>
      </c>
      <c r="BW198" s="1">
        <f t="shared" si="106"/>
        <v>34.12222222222222</v>
      </c>
      <c r="BX198" s="1">
        <f t="shared" si="106"/>
        <v>34.630555555555553</v>
      </c>
      <c r="BY198" s="1">
        <f t="shared" si="106"/>
        <v>35.136111111111113</v>
      </c>
      <c r="BZ198" s="1">
        <f t="shared" si="106"/>
        <v>35.644444444444446</v>
      </c>
      <c r="CA198" s="1">
        <f t="shared" si="106"/>
        <v>36.15</v>
      </c>
      <c r="CB198" s="1">
        <f t="shared" si="106"/>
        <v>36.658333333333331</v>
      </c>
      <c r="CC198" s="1">
        <f t="shared" si="112"/>
        <v>37.166666666666664</v>
      </c>
      <c r="CD198" s="1">
        <f t="shared" si="107"/>
        <v>37.674999999999997</v>
      </c>
      <c r="CE198" s="1">
        <f t="shared" si="107"/>
        <v>38.180555555555557</v>
      </c>
      <c r="CF198" s="1">
        <f t="shared" si="107"/>
        <v>38.68888888888889</v>
      </c>
      <c r="CG198" s="1">
        <f t="shared" si="107"/>
        <v>39.194444444444443</v>
      </c>
      <c r="CH198" s="1">
        <f t="shared" si="107"/>
        <v>39.702777777777776</v>
      </c>
      <c r="CI198" s="1">
        <f t="shared" si="107"/>
        <v>40.208333333333336</v>
      </c>
      <c r="CJ198" s="1">
        <f t="shared" si="107"/>
        <v>40.716666666666669</v>
      </c>
      <c r="CK198" s="1">
        <f t="shared" si="107"/>
        <v>41.225000000000001</v>
      </c>
      <c r="CL198" s="1">
        <f t="shared" si="107"/>
        <v>41.733333333333334</v>
      </c>
      <c r="CM198" s="1">
        <f t="shared" si="107"/>
        <v>42.238888888888887</v>
      </c>
      <c r="CN198" s="1">
        <f t="shared" si="107"/>
        <v>42.74722222222222</v>
      </c>
      <c r="CO198" s="1">
        <f t="shared" si="107"/>
        <v>43.25277777777778</v>
      </c>
      <c r="CP198" s="1">
        <f t="shared" si="107"/>
        <v>43.761111111111113</v>
      </c>
      <c r="CQ198" s="1">
        <f t="shared" si="107"/>
        <v>44.266666666666666</v>
      </c>
      <c r="CR198" s="1">
        <f t="shared" si="107"/>
        <v>44.774999999999999</v>
      </c>
      <c r="CS198" s="1">
        <f t="shared" si="107"/>
        <v>45.283333333333331</v>
      </c>
      <c r="CT198" s="1">
        <f t="shared" si="113"/>
        <v>45.791666666666664</v>
      </c>
      <c r="CU198" s="1">
        <f t="shared" si="108"/>
        <v>46.297222222222224</v>
      </c>
      <c r="CV198" s="1">
        <f t="shared" si="108"/>
        <v>46.805555555555557</v>
      </c>
      <c r="CW198" s="1">
        <f t="shared" si="108"/>
        <v>47.31111111111111</v>
      </c>
      <c r="CX198" s="1">
        <f t="shared" si="108"/>
        <v>47.819444444444443</v>
      </c>
      <c r="CY198" s="1">
        <f t="shared" si="108"/>
        <v>48.325000000000003</v>
      </c>
      <c r="CZ198" s="1">
        <f t="shared" si="108"/>
        <v>48.833333333333336</v>
      </c>
      <c r="DA198" s="1">
        <f t="shared" si="108"/>
        <v>49.341666666666669</v>
      </c>
      <c r="DB198" s="1">
        <f t="shared" si="108"/>
        <v>49.85</v>
      </c>
      <c r="DC198" s="1">
        <f t="shared" si="108"/>
        <v>49.85</v>
      </c>
    </row>
    <row r="199" spans="1:107" x14ac:dyDescent="0.25">
      <c r="A199">
        <f t="shared" si="114"/>
        <v>5</v>
      </c>
      <c r="B199" s="2">
        <f>yields_BRUTE!B199</f>
        <v>42292</v>
      </c>
      <c r="C199" s="1">
        <f t="shared" si="115"/>
        <v>-0.6333333333333333</v>
      </c>
      <c r="D199" s="1">
        <f t="shared" si="115"/>
        <v>-0.59444444444444444</v>
      </c>
      <c r="E199" s="1">
        <f t="shared" si="115"/>
        <v>-0.37777777777777777</v>
      </c>
      <c r="F199" s="1">
        <f t="shared" si="115"/>
        <v>-0.12222222222222222</v>
      </c>
      <c r="G199" s="1">
        <f t="shared" si="115"/>
        <v>-8.3333333333333329E-2</v>
      </c>
      <c r="H199" s="1">
        <f t="shared" si="115"/>
        <v>0.13055555555555556</v>
      </c>
      <c r="I199" s="1">
        <f t="shared" si="115"/>
        <v>0.13055555555555556</v>
      </c>
      <c r="J199" s="1">
        <f t="shared" si="115"/>
        <v>0.38333333333333336</v>
      </c>
      <c r="K199" s="1">
        <f t="shared" si="115"/>
        <v>0.42222222222222222</v>
      </c>
      <c r="L199" s="1">
        <f t="shared" si="115"/>
        <v>0.63888888888888884</v>
      </c>
      <c r="M199" s="1">
        <f t="shared" si="115"/>
        <v>0.89444444444444449</v>
      </c>
      <c r="N199" s="1">
        <f t="shared" si="115"/>
        <v>0.89444444444444449</v>
      </c>
      <c r="O199" s="1">
        <f t="shared" si="115"/>
        <v>0.93333333333333335</v>
      </c>
      <c r="P199" s="1">
        <f t="shared" si="115"/>
        <v>1.1472222222222221</v>
      </c>
      <c r="Q199" s="1">
        <f t="shared" si="115"/>
        <v>1.4361111111111111</v>
      </c>
      <c r="R199" s="1">
        <f t="shared" si="109"/>
        <v>1.6527777777777777</v>
      </c>
      <c r="S199" s="1">
        <f t="shared" si="109"/>
        <v>1.9472222222222222</v>
      </c>
      <c r="T199" s="1">
        <f t="shared" si="109"/>
        <v>2.161111111111111</v>
      </c>
      <c r="U199" s="1">
        <f t="shared" si="109"/>
        <v>2.4500000000000002</v>
      </c>
      <c r="V199" s="1">
        <f t="shared" si="109"/>
        <v>2.6666666666666665</v>
      </c>
      <c r="W199" s="1">
        <f t="shared" si="109"/>
        <v>2.9611111111111112</v>
      </c>
      <c r="X199" s="1">
        <f t="shared" si="109"/>
        <v>3.1749999999999998</v>
      </c>
      <c r="Y199" s="1">
        <f t="shared" si="109"/>
        <v>3.463888888888889</v>
      </c>
      <c r="Z199" s="1">
        <f t="shared" si="109"/>
        <v>3.6805555555555554</v>
      </c>
      <c r="AA199" s="1">
        <f t="shared" si="109"/>
        <v>3.9750000000000001</v>
      </c>
      <c r="AB199" s="1">
        <f t="shared" si="109"/>
        <v>4.1888888888888891</v>
      </c>
      <c r="AC199" s="1">
        <f t="shared" si="109"/>
        <v>4.4805555555555552</v>
      </c>
      <c r="AD199" s="1">
        <f t="shared" si="109"/>
        <v>4.697222222222222</v>
      </c>
      <c r="AE199" s="1">
        <f t="shared" si="109"/>
        <v>4.697222222222222</v>
      </c>
      <c r="AF199" s="3">
        <f t="shared" si="109"/>
        <v>4.9916666666666663</v>
      </c>
      <c r="AG199" s="1">
        <f t="shared" si="109"/>
        <v>5.2055555555555557</v>
      </c>
      <c r="AH199" s="1">
        <f t="shared" si="110"/>
        <v>5.4944444444444445</v>
      </c>
      <c r="AI199" s="1">
        <f t="shared" si="105"/>
        <v>5.4944444444444445</v>
      </c>
      <c r="AJ199" s="1">
        <f t="shared" si="105"/>
        <v>5.7111111111111112</v>
      </c>
      <c r="AK199" s="1">
        <f t="shared" si="105"/>
        <v>5.7111111111111112</v>
      </c>
      <c r="AL199" s="1">
        <f t="shared" si="105"/>
        <v>6.2194444444444441</v>
      </c>
      <c r="AM199" s="1">
        <f t="shared" si="105"/>
        <v>6.7249999999999996</v>
      </c>
      <c r="AN199" s="1">
        <f t="shared" si="105"/>
        <v>6.7249999999999996</v>
      </c>
      <c r="AO199" s="1">
        <f t="shared" si="105"/>
        <v>7.2333333333333334</v>
      </c>
      <c r="AP199" s="1">
        <f t="shared" si="105"/>
        <v>7.7388888888888889</v>
      </c>
      <c r="AQ199" s="1">
        <f t="shared" si="105"/>
        <v>7.7388888888888889</v>
      </c>
      <c r="AR199" s="1">
        <f t="shared" si="105"/>
        <v>8.2472222222222218</v>
      </c>
      <c r="AS199" s="1">
        <f t="shared" si="105"/>
        <v>8.7555555555555564</v>
      </c>
      <c r="AT199" s="1">
        <f t="shared" si="105"/>
        <v>9.2638888888888893</v>
      </c>
      <c r="AU199" s="1">
        <f t="shared" si="105"/>
        <v>9.7694444444444439</v>
      </c>
      <c r="AV199" s="1">
        <f t="shared" si="105"/>
        <v>9.7694444444444439</v>
      </c>
      <c r="AW199" s="1">
        <f t="shared" si="105"/>
        <v>14.33611111111111</v>
      </c>
      <c r="AX199" s="1">
        <f t="shared" si="105"/>
        <v>14.841666666666667</v>
      </c>
      <c r="AY199" s="1">
        <f t="shared" si="111"/>
        <v>15.35</v>
      </c>
      <c r="AZ199" s="1">
        <f t="shared" si="111"/>
        <v>15.855555555555556</v>
      </c>
      <c r="BA199" s="1">
        <f t="shared" si="111"/>
        <v>16.363888888888887</v>
      </c>
      <c r="BB199" s="1">
        <f t="shared" si="111"/>
        <v>16.872222222222224</v>
      </c>
      <c r="BC199" s="1">
        <f t="shared" si="111"/>
        <v>17.380555555555556</v>
      </c>
      <c r="BD199" s="1">
        <f t="shared" si="111"/>
        <v>17.886111111111113</v>
      </c>
      <c r="BE199" s="1">
        <f t="shared" si="111"/>
        <v>17.886111111111113</v>
      </c>
      <c r="BF199" s="1">
        <f t="shared" si="111"/>
        <v>26.511111111111113</v>
      </c>
      <c r="BG199" s="1">
        <f t="shared" si="111"/>
        <v>27.016666666666666</v>
      </c>
      <c r="BH199" s="1">
        <f t="shared" si="111"/>
        <v>27.524999999999999</v>
      </c>
      <c r="BI199" s="1">
        <f t="shared" si="111"/>
        <v>28.030555555555555</v>
      </c>
      <c r="BJ199" s="1">
        <f t="shared" si="111"/>
        <v>28.538888888888888</v>
      </c>
      <c r="BK199" s="1">
        <f t="shared" si="111"/>
        <v>29.047222222222221</v>
      </c>
      <c r="BL199" s="1">
        <f t="shared" si="111"/>
        <v>29.555555555555557</v>
      </c>
      <c r="BM199" s="1">
        <f t="shared" si="106"/>
        <v>30.06111111111111</v>
      </c>
      <c r="BN199" s="1">
        <f t="shared" si="106"/>
        <v>30.569444444444443</v>
      </c>
      <c r="BO199" s="1">
        <f t="shared" si="106"/>
        <v>30.569444444444443</v>
      </c>
      <c r="BP199" s="1">
        <f t="shared" si="106"/>
        <v>31.074999999999999</v>
      </c>
      <c r="BQ199" s="1">
        <f t="shared" si="106"/>
        <v>31.583333333333332</v>
      </c>
      <c r="BR199" s="1">
        <f t="shared" si="106"/>
        <v>32.088888888888889</v>
      </c>
      <c r="BS199" s="1">
        <f t="shared" si="106"/>
        <v>32.597222222222221</v>
      </c>
      <c r="BT199" s="1">
        <f t="shared" si="106"/>
        <v>33.105555555555554</v>
      </c>
      <c r="BU199" s="1">
        <f t="shared" si="106"/>
        <v>33.613888888888887</v>
      </c>
      <c r="BV199" s="1">
        <f t="shared" si="106"/>
        <v>33.613888888888887</v>
      </c>
      <c r="BW199" s="1">
        <f t="shared" si="106"/>
        <v>34.119444444444447</v>
      </c>
      <c r="BX199" s="1">
        <f t="shared" si="106"/>
        <v>34.62777777777778</v>
      </c>
      <c r="BY199" s="1">
        <f t="shared" si="106"/>
        <v>35.133333333333333</v>
      </c>
      <c r="BZ199" s="1">
        <f t="shared" si="106"/>
        <v>35.641666666666666</v>
      </c>
      <c r="CA199" s="1">
        <f t="shared" si="106"/>
        <v>36.147222222222226</v>
      </c>
      <c r="CB199" s="1">
        <f t="shared" si="106"/>
        <v>36.655555555555559</v>
      </c>
      <c r="CC199" s="1">
        <f t="shared" si="112"/>
        <v>37.163888888888891</v>
      </c>
      <c r="CD199" s="1">
        <f t="shared" si="107"/>
        <v>37.672222222222224</v>
      </c>
      <c r="CE199" s="1">
        <f t="shared" si="107"/>
        <v>38.177777777777777</v>
      </c>
      <c r="CF199" s="1">
        <f t="shared" si="107"/>
        <v>38.68611111111111</v>
      </c>
      <c r="CG199" s="1">
        <f t="shared" si="107"/>
        <v>39.19166666666667</v>
      </c>
      <c r="CH199" s="1">
        <f t="shared" si="107"/>
        <v>39.700000000000003</v>
      </c>
      <c r="CI199" s="1">
        <f t="shared" si="107"/>
        <v>40.205555555555556</v>
      </c>
      <c r="CJ199" s="1">
        <f t="shared" si="107"/>
        <v>40.713888888888889</v>
      </c>
      <c r="CK199" s="1">
        <f t="shared" si="107"/>
        <v>41.222222222222221</v>
      </c>
      <c r="CL199" s="1">
        <f t="shared" si="107"/>
        <v>41.730555555555554</v>
      </c>
      <c r="CM199" s="1">
        <f t="shared" si="107"/>
        <v>42.236111111111114</v>
      </c>
      <c r="CN199" s="1">
        <f t="shared" si="107"/>
        <v>42.744444444444447</v>
      </c>
      <c r="CO199" s="1">
        <f t="shared" si="107"/>
        <v>43.25</v>
      </c>
      <c r="CP199" s="1">
        <f t="shared" si="107"/>
        <v>43.758333333333333</v>
      </c>
      <c r="CQ199" s="1">
        <f t="shared" si="107"/>
        <v>44.263888888888886</v>
      </c>
      <c r="CR199" s="1">
        <f t="shared" si="107"/>
        <v>44.772222222222226</v>
      </c>
      <c r="CS199" s="1">
        <f t="shared" si="107"/>
        <v>45.280555555555559</v>
      </c>
      <c r="CT199" s="1">
        <f t="shared" si="113"/>
        <v>45.788888888888891</v>
      </c>
      <c r="CU199" s="1">
        <f t="shared" si="108"/>
        <v>46.294444444444444</v>
      </c>
      <c r="CV199" s="1">
        <f t="shared" si="108"/>
        <v>46.802777777777777</v>
      </c>
      <c r="CW199" s="1">
        <f t="shared" si="108"/>
        <v>47.30833333333333</v>
      </c>
      <c r="CX199" s="1">
        <f t="shared" si="108"/>
        <v>47.81666666666667</v>
      </c>
      <c r="CY199" s="1">
        <f t="shared" si="108"/>
        <v>48.322222222222223</v>
      </c>
      <c r="CZ199" s="1">
        <f t="shared" si="108"/>
        <v>48.830555555555556</v>
      </c>
      <c r="DA199" s="1">
        <f t="shared" si="108"/>
        <v>49.338888888888889</v>
      </c>
      <c r="DB199" s="1">
        <f t="shared" si="108"/>
        <v>49.847222222222221</v>
      </c>
      <c r="DC199" s="1">
        <f t="shared" si="108"/>
        <v>49.847222222222221</v>
      </c>
    </row>
    <row r="200" spans="1:107" x14ac:dyDescent="0.25">
      <c r="A200">
        <f t="shared" si="114"/>
        <v>6</v>
      </c>
      <c r="B200" s="2">
        <f>yields_BRUTE!B200</f>
        <v>42293</v>
      </c>
      <c r="C200" s="1">
        <f t="shared" si="115"/>
        <v>-0.63611111111111107</v>
      </c>
      <c r="D200" s="1">
        <f t="shared" si="115"/>
        <v>-0.59722222222222221</v>
      </c>
      <c r="E200" s="1">
        <f t="shared" si="115"/>
        <v>-0.38055555555555554</v>
      </c>
      <c r="F200" s="1">
        <f t="shared" si="115"/>
        <v>-0.125</v>
      </c>
      <c r="G200" s="1">
        <f t="shared" si="115"/>
        <v>-8.611111111111111E-2</v>
      </c>
      <c r="H200" s="1">
        <f t="shared" si="115"/>
        <v>0.12777777777777777</v>
      </c>
      <c r="I200" s="1">
        <f t="shared" si="115"/>
        <v>0.12777777777777777</v>
      </c>
      <c r="J200" s="1">
        <f t="shared" si="115"/>
        <v>0.38055555555555554</v>
      </c>
      <c r="K200" s="1">
        <f t="shared" si="115"/>
        <v>0.41944444444444445</v>
      </c>
      <c r="L200" s="1">
        <f t="shared" si="115"/>
        <v>0.63611111111111107</v>
      </c>
      <c r="M200" s="1">
        <f t="shared" si="115"/>
        <v>0.89166666666666672</v>
      </c>
      <c r="N200" s="1">
        <f t="shared" si="115"/>
        <v>0.89166666666666672</v>
      </c>
      <c r="O200" s="1">
        <f t="shared" si="115"/>
        <v>0.93055555555555558</v>
      </c>
      <c r="P200" s="1">
        <f t="shared" si="115"/>
        <v>1.1444444444444444</v>
      </c>
      <c r="Q200" s="1">
        <f t="shared" si="115"/>
        <v>1.4333333333333333</v>
      </c>
      <c r="R200" s="1">
        <f t="shared" si="109"/>
        <v>1.65</v>
      </c>
      <c r="S200" s="1">
        <f t="shared" si="109"/>
        <v>1.9444444444444444</v>
      </c>
      <c r="T200" s="1">
        <f t="shared" si="109"/>
        <v>2.1583333333333332</v>
      </c>
      <c r="U200" s="1">
        <f t="shared" si="109"/>
        <v>2.4472222222222224</v>
      </c>
      <c r="V200" s="1">
        <f t="shared" si="109"/>
        <v>2.6638888888888888</v>
      </c>
      <c r="W200" s="1">
        <f t="shared" si="109"/>
        <v>2.9583333333333335</v>
      </c>
      <c r="X200" s="1">
        <f t="shared" si="109"/>
        <v>3.1722222222222221</v>
      </c>
      <c r="Y200" s="1">
        <f t="shared" si="109"/>
        <v>3.4611111111111112</v>
      </c>
      <c r="Z200" s="1">
        <f t="shared" si="109"/>
        <v>3.6777777777777776</v>
      </c>
      <c r="AA200" s="1">
        <f t="shared" si="109"/>
        <v>3.9722222222222223</v>
      </c>
      <c r="AB200" s="1">
        <f t="shared" si="109"/>
        <v>4.1861111111111109</v>
      </c>
      <c r="AC200" s="1">
        <f t="shared" si="109"/>
        <v>4.4777777777777779</v>
      </c>
      <c r="AD200" s="1">
        <f t="shared" si="109"/>
        <v>4.6944444444444446</v>
      </c>
      <c r="AE200" s="1">
        <f t="shared" si="109"/>
        <v>4.6944444444444446</v>
      </c>
      <c r="AF200" s="3">
        <f t="shared" si="109"/>
        <v>4.9888888888888889</v>
      </c>
      <c r="AG200" s="1">
        <f t="shared" si="109"/>
        <v>5.2027777777777775</v>
      </c>
      <c r="AH200" s="1">
        <f t="shared" si="110"/>
        <v>5.4916666666666663</v>
      </c>
      <c r="AI200" s="1">
        <f t="shared" si="105"/>
        <v>5.4916666666666663</v>
      </c>
      <c r="AJ200" s="1">
        <f t="shared" si="105"/>
        <v>5.708333333333333</v>
      </c>
      <c r="AK200" s="1">
        <f t="shared" si="105"/>
        <v>5.708333333333333</v>
      </c>
      <c r="AL200" s="1">
        <f t="shared" si="105"/>
        <v>6.2166666666666668</v>
      </c>
      <c r="AM200" s="1">
        <f t="shared" si="105"/>
        <v>6.7222222222222223</v>
      </c>
      <c r="AN200" s="1">
        <f t="shared" si="105"/>
        <v>6.7222222222222223</v>
      </c>
      <c r="AO200" s="1">
        <f t="shared" si="105"/>
        <v>7.2305555555555552</v>
      </c>
      <c r="AP200" s="1">
        <f t="shared" si="105"/>
        <v>7.7361111111111107</v>
      </c>
      <c r="AQ200" s="1">
        <f t="shared" si="105"/>
        <v>7.7361111111111107</v>
      </c>
      <c r="AR200" s="1">
        <f t="shared" si="105"/>
        <v>8.2444444444444436</v>
      </c>
      <c r="AS200" s="1">
        <f t="shared" si="105"/>
        <v>8.7527777777777782</v>
      </c>
      <c r="AT200" s="1">
        <f t="shared" si="105"/>
        <v>9.2611111111111111</v>
      </c>
      <c r="AU200" s="1">
        <f t="shared" si="105"/>
        <v>9.7666666666666675</v>
      </c>
      <c r="AV200" s="1">
        <f t="shared" si="105"/>
        <v>9.7666666666666675</v>
      </c>
      <c r="AW200" s="1">
        <f t="shared" si="105"/>
        <v>14.333333333333334</v>
      </c>
      <c r="AX200" s="1">
        <f t="shared" si="105"/>
        <v>14.838888888888889</v>
      </c>
      <c r="AY200" s="1">
        <f t="shared" si="111"/>
        <v>15.347222222222221</v>
      </c>
      <c r="AZ200" s="1">
        <f t="shared" si="111"/>
        <v>15.852777777777778</v>
      </c>
      <c r="BA200" s="1">
        <f t="shared" si="111"/>
        <v>16.361111111111111</v>
      </c>
      <c r="BB200" s="1">
        <f t="shared" si="111"/>
        <v>16.869444444444444</v>
      </c>
      <c r="BC200" s="1">
        <f t="shared" si="111"/>
        <v>17.377777777777776</v>
      </c>
      <c r="BD200" s="1">
        <f t="shared" si="111"/>
        <v>17.883333333333333</v>
      </c>
      <c r="BE200" s="1">
        <f t="shared" si="111"/>
        <v>17.883333333333333</v>
      </c>
      <c r="BF200" s="1">
        <f t="shared" si="111"/>
        <v>26.508333333333333</v>
      </c>
      <c r="BG200" s="1">
        <f t="shared" si="111"/>
        <v>27.013888888888889</v>
      </c>
      <c r="BH200" s="1">
        <f t="shared" si="111"/>
        <v>27.522222222222222</v>
      </c>
      <c r="BI200" s="1">
        <f t="shared" si="111"/>
        <v>28.027777777777779</v>
      </c>
      <c r="BJ200" s="1">
        <f t="shared" si="111"/>
        <v>28.536111111111111</v>
      </c>
      <c r="BK200" s="1">
        <f t="shared" si="111"/>
        <v>29.044444444444444</v>
      </c>
      <c r="BL200" s="1">
        <f t="shared" si="111"/>
        <v>29.552777777777777</v>
      </c>
      <c r="BM200" s="1">
        <f t="shared" si="106"/>
        <v>30.058333333333334</v>
      </c>
      <c r="BN200" s="1">
        <f t="shared" si="106"/>
        <v>30.566666666666666</v>
      </c>
      <c r="BO200" s="1">
        <f t="shared" si="106"/>
        <v>30.566666666666666</v>
      </c>
      <c r="BP200" s="1">
        <f t="shared" si="106"/>
        <v>31.072222222222223</v>
      </c>
      <c r="BQ200" s="1">
        <f t="shared" si="106"/>
        <v>31.580555555555556</v>
      </c>
      <c r="BR200" s="1">
        <f t="shared" si="106"/>
        <v>32.086111111111109</v>
      </c>
      <c r="BS200" s="1">
        <f t="shared" si="106"/>
        <v>32.594444444444441</v>
      </c>
      <c r="BT200" s="1">
        <f t="shared" si="106"/>
        <v>33.102777777777774</v>
      </c>
      <c r="BU200" s="1">
        <f t="shared" si="106"/>
        <v>33.611111111111114</v>
      </c>
      <c r="BV200" s="1">
        <f t="shared" si="106"/>
        <v>33.611111111111114</v>
      </c>
      <c r="BW200" s="1">
        <f t="shared" si="106"/>
        <v>34.116666666666667</v>
      </c>
      <c r="BX200" s="1">
        <f t="shared" si="106"/>
        <v>34.625</v>
      </c>
      <c r="BY200" s="1">
        <f t="shared" si="106"/>
        <v>35.130555555555553</v>
      </c>
      <c r="BZ200" s="1">
        <f t="shared" si="106"/>
        <v>35.638888888888886</v>
      </c>
      <c r="CA200" s="1">
        <f t="shared" si="106"/>
        <v>36.144444444444446</v>
      </c>
      <c r="CB200" s="1">
        <f t="shared" si="106"/>
        <v>36.652777777777779</v>
      </c>
      <c r="CC200" s="1">
        <f t="shared" si="112"/>
        <v>37.161111111111111</v>
      </c>
      <c r="CD200" s="1">
        <f t="shared" si="107"/>
        <v>37.669444444444444</v>
      </c>
      <c r="CE200" s="1">
        <f t="shared" si="107"/>
        <v>38.174999999999997</v>
      </c>
      <c r="CF200" s="1">
        <f t="shared" si="107"/>
        <v>38.68333333333333</v>
      </c>
      <c r="CG200" s="1">
        <f t="shared" si="107"/>
        <v>39.18888888888889</v>
      </c>
      <c r="CH200" s="1">
        <f t="shared" si="107"/>
        <v>39.697222222222223</v>
      </c>
      <c r="CI200" s="1">
        <f t="shared" si="107"/>
        <v>40.202777777777776</v>
      </c>
      <c r="CJ200" s="1">
        <f t="shared" si="107"/>
        <v>40.711111111111109</v>
      </c>
      <c r="CK200" s="1">
        <f t="shared" si="107"/>
        <v>41.219444444444441</v>
      </c>
      <c r="CL200" s="1">
        <f t="shared" si="107"/>
        <v>41.727777777777774</v>
      </c>
      <c r="CM200" s="1">
        <f t="shared" si="107"/>
        <v>42.233333333333334</v>
      </c>
      <c r="CN200" s="1">
        <f t="shared" si="107"/>
        <v>42.741666666666667</v>
      </c>
      <c r="CO200" s="1">
        <f t="shared" si="107"/>
        <v>43.24722222222222</v>
      </c>
      <c r="CP200" s="1">
        <f t="shared" si="107"/>
        <v>43.755555555555553</v>
      </c>
      <c r="CQ200" s="1">
        <f t="shared" si="107"/>
        <v>44.261111111111113</v>
      </c>
      <c r="CR200" s="1">
        <f t="shared" si="107"/>
        <v>44.769444444444446</v>
      </c>
      <c r="CS200" s="1">
        <f t="shared" si="107"/>
        <v>45.277777777777779</v>
      </c>
      <c r="CT200" s="1">
        <f t="shared" si="113"/>
        <v>45.786111111111111</v>
      </c>
      <c r="CU200" s="1">
        <f t="shared" si="108"/>
        <v>46.291666666666664</v>
      </c>
      <c r="CV200" s="1">
        <f t="shared" si="108"/>
        <v>46.8</v>
      </c>
      <c r="CW200" s="1">
        <f t="shared" si="108"/>
        <v>47.305555555555557</v>
      </c>
      <c r="CX200" s="1">
        <f t="shared" si="108"/>
        <v>47.81388888888889</v>
      </c>
      <c r="CY200" s="1">
        <f t="shared" si="108"/>
        <v>48.319444444444443</v>
      </c>
      <c r="CZ200" s="1">
        <f t="shared" si="108"/>
        <v>48.827777777777776</v>
      </c>
      <c r="DA200" s="1">
        <f t="shared" si="108"/>
        <v>49.336111111111109</v>
      </c>
      <c r="DB200" s="1">
        <f t="shared" si="108"/>
        <v>49.844444444444441</v>
      </c>
      <c r="DC200" s="1">
        <f t="shared" si="108"/>
        <v>49.844444444444441</v>
      </c>
    </row>
    <row r="201" spans="1:107" x14ac:dyDescent="0.25">
      <c r="A201">
        <f t="shared" si="114"/>
        <v>2</v>
      </c>
      <c r="B201" s="2">
        <f>yields_BRUTE!B201</f>
        <v>42296</v>
      </c>
      <c r="C201" s="1">
        <f t="shared" si="115"/>
        <v>-0.64444444444444449</v>
      </c>
      <c r="D201" s="1">
        <f t="shared" si="115"/>
        <v>-0.60555555555555551</v>
      </c>
      <c r="E201" s="1">
        <f t="shared" si="115"/>
        <v>-0.3888888888888889</v>
      </c>
      <c r="F201" s="1">
        <f t="shared" si="115"/>
        <v>-0.13333333333333333</v>
      </c>
      <c r="G201" s="1">
        <f t="shared" si="115"/>
        <v>-9.4444444444444442E-2</v>
      </c>
      <c r="H201" s="1">
        <f t="shared" si="115"/>
        <v>0.11944444444444445</v>
      </c>
      <c r="I201" s="1">
        <f t="shared" si="115"/>
        <v>0.11944444444444445</v>
      </c>
      <c r="J201" s="1">
        <f t="shared" si="115"/>
        <v>0.37222222222222223</v>
      </c>
      <c r="K201" s="1">
        <f t="shared" si="115"/>
        <v>0.41111111111111109</v>
      </c>
      <c r="L201" s="1">
        <f t="shared" si="115"/>
        <v>0.62777777777777777</v>
      </c>
      <c r="M201" s="1">
        <f t="shared" si="115"/>
        <v>0.8833333333333333</v>
      </c>
      <c r="N201" s="1">
        <f t="shared" si="115"/>
        <v>0.8833333333333333</v>
      </c>
      <c r="O201" s="1">
        <f t="shared" si="115"/>
        <v>0.92222222222222228</v>
      </c>
      <c r="P201" s="1">
        <f t="shared" si="115"/>
        <v>1.1361111111111111</v>
      </c>
      <c r="Q201" s="1">
        <f t="shared" si="115"/>
        <v>1.425</v>
      </c>
      <c r="R201" s="1">
        <f t="shared" si="109"/>
        <v>1.6416666666666666</v>
      </c>
      <c r="S201" s="1">
        <f t="shared" si="109"/>
        <v>1.9361111111111111</v>
      </c>
      <c r="T201" s="1">
        <f t="shared" si="109"/>
        <v>2.15</v>
      </c>
      <c r="U201" s="1">
        <f t="shared" si="109"/>
        <v>2.4388888888888891</v>
      </c>
      <c r="V201" s="1">
        <f t="shared" si="109"/>
        <v>2.6555555555555554</v>
      </c>
      <c r="W201" s="1">
        <f t="shared" si="109"/>
        <v>2.95</v>
      </c>
      <c r="X201" s="1">
        <f t="shared" si="109"/>
        <v>3.1638888888888888</v>
      </c>
      <c r="Y201" s="1">
        <f t="shared" si="109"/>
        <v>3.4527777777777779</v>
      </c>
      <c r="Z201" s="1">
        <f t="shared" si="109"/>
        <v>3.6694444444444443</v>
      </c>
      <c r="AA201" s="1">
        <f t="shared" si="109"/>
        <v>3.963888888888889</v>
      </c>
      <c r="AB201" s="1">
        <f t="shared" si="109"/>
        <v>4.177777777777778</v>
      </c>
      <c r="AC201" s="1">
        <f t="shared" si="109"/>
        <v>4.4694444444444441</v>
      </c>
      <c r="AD201" s="1">
        <f t="shared" si="109"/>
        <v>4.6861111111111109</v>
      </c>
      <c r="AE201" s="1">
        <f t="shared" si="109"/>
        <v>4.6861111111111109</v>
      </c>
      <c r="AF201" s="3">
        <f t="shared" si="109"/>
        <v>4.9805555555555552</v>
      </c>
      <c r="AG201" s="1">
        <f t="shared" si="109"/>
        <v>5.1944444444444446</v>
      </c>
      <c r="AH201" s="1">
        <f t="shared" si="110"/>
        <v>5.4833333333333334</v>
      </c>
      <c r="AI201" s="1">
        <f t="shared" si="105"/>
        <v>5.4833333333333334</v>
      </c>
      <c r="AJ201" s="1">
        <f t="shared" si="105"/>
        <v>5.7</v>
      </c>
      <c r="AK201" s="1">
        <f t="shared" si="105"/>
        <v>5.7</v>
      </c>
      <c r="AL201" s="1">
        <f t="shared" si="105"/>
        <v>6.208333333333333</v>
      </c>
      <c r="AM201" s="1">
        <f t="shared" si="105"/>
        <v>6.7138888888888886</v>
      </c>
      <c r="AN201" s="1">
        <f t="shared" si="105"/>
        <v>6.7138888888888886</v>
      </c>
      <c r="AO201" s="1">
        <f t="shared" si="105"/>
        <v>7.2222222222222223</v>
      </c>
      <c r="AP201" s="1">
        <f t="shared" si="105"/>
        <v>7.7277777777777779</v>
      </c>
      <c r="AQ201" s="1">
        <f t="shared" si="105"/>
        <v>7.7277777777777779</v>
      </c>
      <c r="AR201" s="1">
        <f t="shared" si="105"/>
        <v>8.2361111111111107</v>
      </c>
      <c r="AS201" s="1">
        <f t="shared" si="105"/>
        <v>8.7444444444444436</v>
      </c>
      <c r="AT201" s="1">
        <f t="shared" si="105"/>
        <v>9.2527777777777782</v>
      </c>
      <c r="AU201" s="1">
        <f t="shared" si="105"/>
        <v>9.7583333333333329</v>
      </c>
      <c r="AV201" s="1">
        <f t="shared" si="105"/>
        <v>9.7583333333333329</v>
      </c>
      <c r="AW201" s="1">
        <f t="shared" si="105"/>
        <v>14.324999999999999</v>
      </c>
      <c r="AX201" s="1">
        <f t="shared" si="105"/>
        <v>14.830555555555556</v>
      </c>
      <c r="AY201" s="1">
        <f t="shared" si="111"/>
        <v>15.338888888888889</v>
      </c>
      <c r="AZ201" s="1">
        <f t="shared" si="111"/>
        <v>15.844444444444445</v>
      </c>
      <c r="BA201" s="1">
        <f t="shared" si="111"/>
        <v>16.352777777777778</v>
      </c>
      <c r="BB201" s="1">
        <f t="shared" si="111"/>
        <v>16.861111111111111</v>
      </c>
      <c r="BC201" s="1">
        <f t="shared" si="111"/>
        <v>17.369444444444444</v>
      </c>
      <c r="BD201" s="1">
        <f t="shared" si="111"/>
        <v>17.875</v>
      </c>
      <c r="BE201" s="1">
        <f t="shared" si="111"/>
        <v>17.875</v>
      </c>
      <c r="BF201" s="1">
        <f t="shared" si="111"/>
        <v>26.5</v>
      </c>
      <c r="BG201" s="1">
        <f t="shared" si="111"/>
        <v>27.005555555555556</v>
      </c>
      <c r="BH201" s="1">
        <f t="shared" si="111"/>
        <v>27.513888888888889</v>
      </c>
      <c r="BI201" s="1">
        <f t="shared" si="111"/>
        <v>28.019444444444446</v>
      </c>
      <c r="BJ201" s="1">
        <f t="shared" si="111"/>
        <v>28.527777777777779</v>
      </c>
      <c r="BK201" s="1">
        <f t="shared" si="111"/>
        <v>29.036111111111111</v>
      </c>
      <c r="BL201" s="1">
        <f t="shared" si="111"/>
        <v>29.544444444444444</v>
      </c>
      <c r="BM201" s="1">
        <f t="shared" si="106"/>
        <v>30.05</v>
      </c>
      <c r="BN201" s="1">
        <f t="shared" si="106"/>
        <v>30.558333333333334</v>
      </c>
      <c r="BO201" s="1">
        <f t="shared" si="106"/>
        <v>30.558333333333334</v>
      </c>
      <c r="BP201" s="1">
        <f t="shared" si="106"/>
        <v>31.06388888888889</v>
      </c>
      <c r="BQ201" s="1">
        <f t="shared" si="106"/>
        <v>31.572222222222223</v>
      </c>
      <c r="BR201" s="1">
        <f t="shared" si="106"/>
        <v>32.077777777777776</v>
      </c>
      <c r="BS201" s="1">
        <f t="shared" si="106"/>
        <v>32.586111111111109</v>
      </c>
      <c r="BT201" s="1">
        <f t="shared" si="106"/>
        <v>33.094444444444441</v>
      </c>
      <c r="BU201" s="1">
        <f t="shared" si="106"/>
        <v>33.602777777777774</v>
      </c>
      <c r="BV201" s="1">
        <f t="shared" si="106"/>
        <v>33.602777777777774</v>
      </c>
      <c r="BW201" s="1">
        <f t="shared" si="106"/>
        <v>34.108333333333334</v>
      </c>
      <c r="BX201" s="1">
        <f t="shared" si="106"/>
        <v>34.616666666666667</v>
      </c>
      <c r="BY201" s="1">
        <f t="shared" si="106"/>
        <v>35.12222222222222</v>
      </c>
      <c r="BZ201" s="1">
        <f t="shared" si="106"/>
        <v>35.630555555555553</v>
      </c>
      <c r="CA201" s="1">
        <f t="shared" si="106"/>
        <v>36.136111111111113</v>
      </c>
      <c r="CB201" s="1">
        <f t="shared" si="106"/>
        <v>36.644444444444446</v>
      </c>
      <c r="CC201" s="1">
        <f t="shared" si="112"/>
        <v>37.152777777777779</v>
      </c>
      <c r="CD201" s="1">
        <f t="shared" si="107"/>
        <v>37.661111111111111</v>
      </c>
      <c r="CE201" s="1">
        <f t="shared" si="107"/>
        <v>38.166666666666664</v>
      </c>
      <c r="CF201" s="1">
        <f t="shared" si="107"/>
        <v>38.674999999999997</v>
      </c>
      <c r="CG201" s="1">
        <f t="shared" si="107"/>
        <v>39.180555555555557</v>
      </c>
      <c r="CH201" s="1">
        <f t="shared" si="107"/>
        <v>39.68888888888889</v>
      </c>
      <c r="CI201" s="1">
        <f t="shared" si="107"/>
        <v>40.194444444444443</v>
      </c>
      <c r="CJ201" s="1">
        <f t="shared" si="107"/>
        <v>40.702777777777776</v>
      </c>
      <c r="CK201" s="1">
        <f t="shared" si="107"/>
        <v>41.211111111111109</v>
      </c>
      <c r="CL201" s="1">
        <f t="shared" si="107"/>
        <v>41.719444444444441</v>
      </c>
      <c r="CM201" s="1">
        <f t="shared" si="107"/>
        <v>42.225000000000001</v>
      </c>
      <c r="CN201" s="1">
        <f t="shared" si="107"/>
        <v>42.733333333333334</v>
      </c>
      <c r="CO201" s="1">
        <f t="shared" si="107"/>
        <v>43.238888888888887</v>
      </c>
      <c r="CP201" s="1">
        <f t="shared" si="107"/>
        <v>43.74722222222222</v>
      </c>
      <c r="CQ201" s="1">
        <f t="shared" si="107"/>
        <v>44.25277777777778</v>
      </c>
      <c r="CR201" s="1">
        <f t="shared" si="107"/>
        <v>44.761111111111113</v>
      </c>
      <c r="CS201" s="1">
        <f t="shared" si="107"/>
        <v>45.269444444444446</v>
      </c>
      <c r="CT201" s="1">
        <f t="shared" si="113"/>
        <v>45.777777777777779</v>
      </c>
      <c r="CU201" s="1">
        <f t="shared" si="108"/>
        <v>46.283333333333331</v>
      </c>
      <c r="CV201" s="1">
        <f t="shared" si="108"/>
        <v>46.791666666666664</v>
      </c>
      <c r="CW201" s="1">
        <f t="shared" si="108"/>
        <v>47.297222222222224</v>
      </c>
      <c r="CX201" s="1">
        <f t="shared" si="108"/>
        <v>47.805555555555557</v>
      </c>
      <c r="CY201" s="1">
        <f t="shared" si="108"/>
        <v>48.31111111111111</v>
      </c>
      <c r="CZ201" s="1">
        <f t="shared" si="108"/>
        <v>48.819444444444443</v>
      </c>
      <c r="DA201" s="1">
        <f t="shared" si="108"/>
        <v>49.327777777777776</v>
      </c>
      <c r="DB201" s="1">
        <f t="shared" si="108"/>
        <v>49.836111111111109</v>
      </c>
      <c r="DC201" s="1">
        <f t="shared" si="108"/>
        <v>49.836111111111109</v>
      </c>
    </row>
    <row r="202" spans="1:107" x14ac:dyDescent="0.25">
      <c r="A202">
        <f t="shared" si="114"/>
        <v>3</v>
      </c>
      <c r="B202" s="2">
        <f>yields_BRUTE!B202</f>
        <v>42297</v>
      </c>
      <c r="C202" s="1">
        <f t="shared" si="115"/>
        <v>-0.64722222222222225</v>
      </c>
      <c r="D202" s="1">
        <f t="shared" si="115"/>
        <v>-0.60833333333333328</v>
      </c>
      <c r="E202" s="1">
        <f t="shared" si="115"/>
        <v>-0.39166666666666666</v>
      </c>
      <c r="F202" s="1">
        <f t="shared" si="115"/>
        <v>-0.1361111111111111</v>
      </c>
      <c r="G202" s="1">
        <f t="shared" si="115"/>
        <v>-9.7222222222222224E-2</v>
      </c>
      <c r="H202" s="1">
        <f t="shared" si="115"/>
        <v>0.11666666666666667</v>
      </c>
      <c r="I202" s="1">
        <f t="shared" si="115"/>
        <v>0.11666666666666667</v>
      </c>
      <c r="J202" s="1">
        <f t="shared" si="115"/>
        <v>0.36944444444444446</v>
      </c>
      <c r="K202" s="1">
        <f t="shared" si="115"/>
        <v>0.40833333333333333</v>
      </c>
      <c r="L202" s="1">
        <f t="shared" si="115"/>
        <v>0.625</v>
      </c>
      <c r="M202" s="1">
        <f t="shared" si="115"/>
        <v>0.88055555555555554</v>
      </c>
      <c r="N202" s="1">
        <f t="shared" si="115"/>
        <v>0.88055555555555554</v>
      </c>
      <c r="O202" s="1">
        <f t="shared" si="115"/>
        <v>0.9194444444444444</v>
      </c>
      <c r="P202" s="1">
        <f t="shared" si="115"/>
        <v>1.1333333333333333</v>
      </c>
      <c r="Q202" s="1">
        <f t="shared" si="115"/>
        <v>1.4222222222222223</v>
      </c>
      <c r="R202" s="1">
        <f t="shared" si="109"/>
        <v>1.6388888888888888</v>
      </c>
      <c r="S202" s="1">
        <f t="shared" si="109"/>
        <v>1.9333333333333333</v>
      </c>
      <c r="T202" s="1">
        <f t="shared" si="109"/>
        <v>2.1472222222222221</v>
      </c>
      <c r="U202" s="1">
        <f t="shared" si="109"/>
        <v>2.4361111111111109</v>
      </c>
      <c r="V202" s="1">
        <f t="shared" si="109"/>
        <v>2.6527777777777777</v>
      </c>
      <c r="W202" s="1">
        <f t="shared" si="109"/>
        <v>2.9472222222222224</v>
      </c>
      <c r="X202" s="1">
        <f t="shared" si="109"/>
        <v>3.161111111111111</v>
      </c>
      <c r="Y202" s="1">
        <f t="shared" si="109"/>
        <v>3.45</v>
      </c>
      <c r="Z202" s="1">
        <f t="shared" si="109"/>
        <v>3.6666666666666665</v>
      </c>
      <c r="AA202" s="1">
        <f t="shared" si="109"/>
        <v>3.9611111111111112</v>
      </c>
      <c r="AB202" s="1">
        <f t="shared" si="109"/>
        <v>4.1749999999999998</v>
      </c>
      <c r="AC202" s="1">
        <f t="shared" si="109"/>
        <v>4.4666666666666668</v>
      </c>
      <c r="AD202" s="1">
        <f t="shared" si="109"/>
        <v>4.6833333333333336</v>
      </c>
      <c r="AE202" s="1">
        <f t="shared" si="109"/>
        <v>4.6833333333333336</v>
      </c>
      <c r="AF202" s="3">
        <f t="shared" si="109"/>
        <v>4.9777777777777779</v>
      </c>
      <c r="AG202" s="1">
        <f t="shared" si="109"/>
        <v>5.1916666666666664</v>
      </c>
      <c r="AH202" s="1">
        <f t="shared" si="110"/>
        <v>5.4805555555555552</v>
      </c>
      <c r="AI202" s="1">
        <f t="shared" si="105"/>
        <v>5.4805555555555552</v>
      </c>
      <c r="AJ202" s="1">
        <f t="shared" si="105"/>
        <v>5.697222222222222</v>
      </c>
      <c r="AK202" s="1">
        <f t="shared" si="105"/>
        <v>5.697222222222222</v>
      </c>
      <c r="AL202" s="1">
        <f t="shared" si="105"/>
        <v>6.2055555555555557</v>
      </c>
      <c r="AM202" s="1">
        <f t="shared" si="105"/>
        <v>6.7111111111111112</v>
      </c>
      <c r="AN202" s="1">
        <f t="shared" si="105"/>
        <v>6.7111111111111112</v>
      </c>
      <c r="AO202" s="1">
        <f t="shared" si="105"/>
        <v>7.2194444444444441</v>
      </c>
      <c r="AP202" s="1">
        <f t="shared" si="105"/>
        <v>7.7249999999999996</v>
      </c>
      <c r="AQ202" s="1">
        <f t="shared" si="105"/>
        <v>7.7249999999999996</v>
      </c>
      <c r="AR202" s="1">
        <f t="shared" si="105"/>
        <v>8.2333333333333325</v>
      </c>
      <c r="AS202" s="1">
        <f t="shared" si="105"/>
        <v>8.7416666666666671</v>
      </c>
      <c r="AT202" s="1">
        <f t="shared" si="105"/>
        <v>9.25</v>
      </c>
      <c r="AU202" s="1">
        <f t="shared" si="105"/>
        <v>9.7555555555555564</v>
      </c>
      <c r="AV202" s="1">
        <f t="shared" si="105"/>
        <v>9.7555555555555564</v>
      </c>
      <c r="AW202" s="1">
        <f t="shared" si="105"/>
        <v>14.322222222222223</v>
      </c>
      <c r="AX202" s="1">
        <f t="shared" si="105"/>
        <v>14.827777777777778</v>
      </c>
      <c r="AY202" s="1">
        <f t="shared" si="111"/>
        <v>15.33611111111111</v>
      </c>
      <c r="AZ202" s="1">
        <f t="shared" si="111"/>
        <v>15.841666666666667</v>
      </c>
      <c r="BA202" s="1">
        <f t="shared" si="111"/>
        <v>16.350000000000001</v>
      </c>
      <c r="BB202" s="1">
        <f t="shared" si="111"/>
        <v>16.858333333333334</v>
      </c>
      <c r="BC202" s="1">
        <f t="shared" si="111"/>
        <v>17.366666666666667</v>
      </c>
      <c r="BD202" s="1">
        <f t="shared" si="111"/>
        <v>17.872222222222224</v>
      </c>
      <c r="BE202" s="1">
        <f t="shared" si="111"/>
        <v>17.872222222222224</v>
      </c>
      <c r="BF202" s="1">
        <f t="shared" si="111"/>
        <v>26.497222222222224</v>
      </c>
      <c r="BG202" s="1">
        <f t="shared" si="111"/>
        <v>27.002777777777776</v>
      </c>
      <c r="BH202" s="1">
        <f t="shared" si="111"/>
        <v>27.511111111111113</v>
      </c>
      <c r="BI202" s="1">
        <f t="shared" si="111"/>
        <v>28.016666666666666</v>
      </c>
      <c r="BJ202" s="1">
        <f t="shared" si="111"/>
        <v>28.524999999999999</v>
      </c>
      <c r="BK202" s="1">
        <f t="shared" si="111"/>
        <v>29.033333333333335</v>
      </c>
      <c r="BL202" s="1">
        <f t="shared" si="111"/>
        <v>29.541666666666668</v>
      </c>
      <c r="BM202" s="1">
        <f t="shared" si="106"/>
        <v>30.047222222222221</v>
      </c>
      <c r="BN202" s="1">
        <f t="shared" si="106"/>
        <v>30.555555555555557</v>
      </c>
      <c r="BO202" s="1">
        <f t="shared" si="106"/>
        <v>30.555555555555557</v>
      </c>
      <c r="BP202" s="1">
        <f t="shared" si="106"/>
        <v>31.06111111111111</v>
      </c>
      <c r="BQ202" s="1">
        <f t="shared" si="106"/>
        <v>31.569444444444443</v>
      </c>
      <c r="BR202" s="1">
        <f t="shared" si="106"/>
        <v>32.075000000000003</v>
      </c>
      <c r="BS202" s="1">
        <f t="shared" si="106"/>
        <v>32.583333333333336</v>
      </c>
      <c r="BT202" s="1">
        <f t="shared" si="106"/>
        <v>33.091666666666669</v>
      </c>
      <c r="BU202" s="1">
        <f t="shared" si="106"/>
        <v>33.6</v>
      </c>
      <c r="BV202" s="1">
        <f t="shared" si="106"/>
        <v>33.6</v>
      </c>
      <c r="BW202" s="1">
        <f t="shared" si="106"/>
        <v>34.105555555555554</v>
      </c>
      <c r="BX202" s="1">
        <f t="shared" si="106"/>
        <v>34.613888888888887</v>
      </c>
      <c r="BY202" s="1">
        <f t="shared" si="106"/>
        <v>35.119444444444447</v>
      </c>
      <c r="BZ202" s="1">
        <f t="shared" si="106"/>
        <v>35.62777777777778</v>
      </c>
      <c r="CA202" s="1">
        <f t="shared" si="106"/>
        <v>36.133333333333333</v>
      </c>
      <c r="CB202" s="1">
        <f t="shared" si="106"/>
        <v>36.641666666666666</v>
      </c>
      <c r="CC202" s="1">
        <f t="shared" si="112"/>
        <v>37.15</v>
      </c>
      <c r="CD202" s="1">
        <f t="shared" si="107"/>
        <v>37.658333333333331</v>
      </c>
      <c r="CE202" s="1">
        <f t="shared" si="107"/>
        <v>38.163888888888891</v>
      </c>
      <c r="CF202" s="1">
        <f t="shared" si="107"/>
        <v>38.672222222222224</v>
      </c>
      <c r="CG202" s="1">
        <f t="shared" si="107"/>
        <v>39.177777777777777</v>
      </c>
      <c r="CH202" s="1">
        <f t="shared" si="107"/>
        <v>39.68611111111111</v>
      </c>
      <c r="CI202" s="1">
        <f t="shared" si="107"/>
        <v>40.19166666666667</v>
      </c>
      <c r="CJ202" s="1">
        <f t="shared" si="107"/>
        <v>40.700000000000003</v>
      </c>
      <c r="CK202" s="1">
        <f t="shared" si="107"/>
        <v>41.208333333333336</v>
      </c>
      <c r="CL202" s="1">
        <f t="shared" si="107"/>
        <v>41.716666666666669</v>
      </c>
      <c r="CM202" s="1">
        <f t="shared" si="107"/>
        <v>42.222222222222221</v>
      </c>
      <c r="CN202" s="1">
        <f t="shared" si="107"/>
        <v>42.730555555555554</v>
      </c>
      <c r="CO202" s="1">
        <f t="shared" si="107"/>
        <v>43.236111111111114</v>
      </c>
      <c r="CP202" s="1">
        <f t="shared" si="107"/>
        <v>43.744444444444447</v>
      </c>
      <c r="CQ202" s="1">
        <f t="shared" si="107"/>
        <v>44.25</v>
      </c>
      <c r="CR202" s="1">
        <f t="shared" si="107"/>
        <v>44.758333333333333</v>
      </c>
      <c r="CS202" s="1">
        <f t="shared" si="107"/>
        <v>45.266666666666666</v>
      </c>
      <c r="CT202" s="1">
        <f t="shared" si="113"/>
        <v>45.774999999999999</v>
      </c>
      <c r="CU202" s="1">
        <f t="shared" si="108"/>
        <v>46.280555555555559</v>
      </c>
      <c r="CV202" s="1">
        <f t="shared" si="108"/>
        <v>46.788888888888891</v>
      </c>
      <c r="CW202" s="1">
        <f t="shared" si="108"/>
        <v>47.294444444444444</v>
      </c>
      <c r="CX202" s="1">
        <f t="shared" si="108"/>
        <v>47.802777777777777</v>
      </c>
      <c r="CY202" s="1">
        <f t="shared" si="108"/>
        <v>48.30833333333333</v>
      </c>
      <c r="CZ202" s="1">
        <f t="shared" si="108"/>
        <v>48.81666666666667</v>
      </c>
      <c r="DA202" s="1">
        <f t="shared" si="108"/>
        <v>49.325000000000003</v>
      </c>
      <c r="DB202" s="1">
        <f t="shared" si="108"/>
        <v>49.833333333333336</v>
      </c>
      <c r="DC202" s="1">
        <f t="shared" si="108"/>
        <v>49.833333333333336</v>
      </c>
    </row>
    <row r="203" spans="1:107" x14ac:dyDescent="0.25">
      <c r="A203">
        <f t="shared" si="114"/>
        <v>4</v>
      </c>
      <c r="B203" s="2">
        <f>yields_BRUTE!B203</f>
        <v>42298</v>
      </c>
      <c r="C203" s="1">
        <f t="shared" si="115"/>
        <v>-0.65</v>
      </c>
      <c r="D203" s="1">
        <f t="shared" si="115"/>
        <v>-0.61111111111111116</v>
      </c>
      <c r="E203" s="1">
        <f t="shared" si="115"/>
        <v>-0.39444444444444443</v>
      </c>
      <c r="F203" s="1">
        <f t="shared" si="115"/>
        <v>-0.1388888888888889</v>
      </c>
      <c r="G203" s="1">
        <f t="shared" si="115"/>
        <v>-0.1</v>
      </c>
      <c r="H203" s="1">
        <f t="shared" si="115"/>
        <v>0.11388888888888889</v>
      </c>
      <c r="I203" s="1">
        <f t="shared" si="115"/>
        <v>0.11388888888888889</v>
      </c>
      <c r="J203" s="1">
        <f t="shared" si="115"/>
        <v>0.36666666666666664</v>
      </c>
      <c r="K203" s="1">
        <f t="shared" si="115"/>
        <v>0.40555555555555556</v>
      </c>
      <c r="L203" s="1">
        <f t="shared" si="115"/>
        <v>0.62222222222222223</v>
      </c>
      <c r="M203" s="1">
        <f t="shared" si="115"/>
        <v>0.87777777777777777</v>
      </c>
      <c r="N203" s="1">
        <f t="shared" si="115"/>
        <v>0.87777777777777777</v>
      </c>
      <c r="O203" s="1">
        <f t="shared" si="115"/>
        <v>0.91666666666666663</v>
      </c>
      <c r="P203" s="1">
        <f t="shared" si="115"/>
        <v>1.1305555555555555</v>
      </c>
      <c r="Q203" s="1">
        <f t="shared" si="115"/>
        <v>1.4194444444444445</v>
      </c>
      <c r="R203" s="1">
        <f t="shared" si="109"/>
        <v>1.6361111111111111</v>
      </c>
      <c r="S203" s="1">
        <f t="shared" si="109"/>
        <v>1.9305555555555556</v>
      </c>
      <c r="T203" s="1">
        <f t="shared" si="109"/>
        <v>2.1444444444444444</v>
      </c>
      <c r="U203" s="1">
        <f t="shared" si="109"/>
        <v>2.4333333333333331</v>
      </c>
      <c r="V203" s="1">
        <f t="shared" si="109"/>
        <v>2.65</v>
      </c>
      <c r="W203" s="1">
        <f t="shared" si="109"/>
        <v>2.9444444444444446</v>
      </c>
      <c r="X203" s="1">
        <f t="shared" si="109"/>
        <v>3.1583333333333332</v>
      </c>
      <c r="Y203" s="1">
        <f t="shared" si="109"/>
        <v>3.4472222222222224</v>
      </c>
      <c r="Z203" s="1">
        <f t="shared" si="109"/>
        <v>3.6638888888888888</v>
      </c>
      <c r="AA203" s="1">
        <f t="shared" si="109"/>
        <v>3.9583333333333335</v>
      </c>
      <c r="AB203" s="1">
        <f t="shared" si="109"/>
        <v>4.1722222222222225</v>
      </c>
      <c r="AC203" s="1">
        <f t="shared" si="109"/>
        <v>4.4638888888888886</v>
      </c>
      <c r="AD203" s="1">
        <f t="shared" si="109"/>
        <v>4.6805555555555554</v>
      </c>
      <c r="AE203" s="1">
        <f t="shared" si="109"/>
        <v>4.6805555555555554</v>
      </c>
      <c r="AF203" s="3">
        <f t="shared" si="109"/>
        <v>4.9749999999999996</v>
      </c>
      <c r="AG203" s="1">
        <f t="shared" si="109"/>
        <v>5.1888888888888891</v>
      </c>
      <c r="AH203" s="1">
        <f t="shared" si="110"/>
        <v>5.4777777777777779</v>
      </c>
      <c r="AI203" s="1">
        <f t="shared" si="105"/>
        <v>5.4777777777777779</v>
      </c>
      <c r="AJ203" s="1">
        <f t="shared" si="105"/>
        <v>5.6944444444444446</v>
      </c>
      <c r="AK203" s="1">
        <f t="shared" si="105"/>
        <v>5.6944444444444446</v>
      </c>
      <c r="AL203" s="1">
        <f t="shared" si="105"/>
        <v>6.2027777777777775</v>
      </c>
      <c r="AM203" s="1">
        <f t="shared" si="105"/>
        <v>6.708333333333333</v>
      </c>
      <c r="AN203" s="1">
        <f t="shared" si="105"/>
        <v>6.708333333333333</v>
      </c>
      <c r="AO203" s="1">
        <f t="shared" si="105"/>
        <v>7.2166666666666668</v>
      </c>
      <c r="AP203" s="1">
        <f t="shared" si="105"/>
        <v>7.7222222222222223</v>
      </c>
      <c r="AQ203" s="1">
        <f t="shared" si="105"/>
        <v>7.7222222222222223</v>
      </c>
      <c r="AR203" s="1">
        <f t="shared" si="105"/>
        <v>8.2305555555555561</v>
      </c>
      <c r="AS203" s="1">
        <f t="shared" si="105"/>
        <v>8.7388888888888889</v>
      </c>
      <c r="AT203" s="1">
        <f t="shared" si="105"/>
        <v>9.2472222222222218</v>
      </c>
      <c r="AU203" s="1">
        <f t="shared" si="105"/>
        <v>9.7527777777777782</v>
      </c>
      <c r="AV203" s="1">
        <f t="shared" si="105"/>
        <v>9.7527777777777782</v>
      </c>
      <c r="AW203" s="1">
        <f t="shared" si="105"/>
        <v>14.319444444444445</v>
      </c>
      <c r="AX203" s="1">
        <f t="shared" si="105"/>
        <v>14.824999999999999</v>
      </c>
      <c r="AY203" s="1">
        <f t="shared" si="111"/>
        <v>15.333333333333334</v>
      </c>
      <c r="AZ203" s="1">
        <f t="shared" si="111"/>
        <v>15.838888888888889</v>
      </c>
      <c r="BA203" s="1">
        <f t="shared" si="111"/>
        <v>16.347222222222221</v>
      </c>
      <c r="BB203" s="1">
        <f t="shared" si="111"/>
        <v>16.855555555555554</v>
      </c>
      <c r="BC203" s="1">
        <f t="shared" si="111"/>
        <v>17.363888888888887</v>
      </c>
      <c r="BD203" s="1">
        <f t="shared" si="111"/>
        <v>17.869444444444444</v>
      </c>
      <c r="BE203" s="1">
        <f t="shared" si="111"/>
        <v>17.869444444444444</v>
      </c>
      <c r="BF203" s="1">
        <f t="shared" si="111"/>
        <v>26.494444444444444</v>
      </c>
      <c r="BG203" s="1">
        <f t="shared" si="111"/>
        <v>27</v>
      </c>
      <c r="BH203" s="1">
        <f t="shared" si="111"/>
        <v>27.508333333333333</v>
      </c>
      <c r="BI203" s="1">
        <f t="shared" si="111"/>
        <v>28.013888888888889</v>
      </c>
      <c r="BJ203" s="1">
        <f t="shared" si="111"/>
        <v>28.522222222222222</v>
      </c>
      <c r="BK203" s="1">
        <f t="shared" si="111"/>
        <v>29.030555555555555</v>
      </c>
      <c r="BL203" s="1">
        <f t="shared" si="111"/>
        <v>29.538888888888888</v>
      </c>
      <c r="BM203" s="1">
        <f t="shared" si="106"/>
        <v>30.044444444444444</v>
      </c>
      <c r="BN203" s="1">
        <f t="shared" si="106"/>
        <v>30.552777777777777</v>
      </c>
      <c r="BO203" s="1">
        <f t="shared" si="106"/>
        <v>30.552777777777777</v>
      </c>
      <c r="BP203" s="1">
        <f t="shared" si="106"/>
        <v>31.058333333333334</v>
      </c>
      <c r="BQ203" s="1">
        <f t="shared" si="106"/>
        <v>31.566666666666666</v>
      </c>
      <c r="BR203" s="1">
        <f t="shared" si="106"/>
        <v>32.072222222222223</v>
      </c>
      <c r="BS203" s="1">
        <f t="shared" si="106"/>
        <v>32.580555555555556</v>
      </c>
      <c r="BT203" s="1">
        <f t="shared" si="106"/>
        <v>33.088888888888889</v>
      </c>
      <c r="BU203" s="1">
        <f t="shared" si="106"/>
        <v>33.597222222222221</v>
      </c>
      <c r="BV203" s="1">
        <f t="shared" si="106"/>
        <v>33.597222222222221</v>
      </c>
      <c r="BW203" s="1">
        <f t="shared" si="106"/>
        <v>34.102777777777774</v>
      </c>
      <c r="BX203" s="1">
        <f t="shared" si="106"/>
        <v>34.611111111111114</v>
      </c>
      <c r="BY203" s="1">
        <f t="shared" si="106"/>
        <v>35.116666666666667</v>
      </c>
      <c r="BZ203" s="1">
        <f t="shared" si="106"/>
        <v>35.625</v>
      </c>
      <c r="CA203" s="1">
        <f t="shared" si="106"/>
        <v>36.130555555555553</v>
      </c>
      <c r="CB203" s="1">
        <f t="shared" si="106"/>
        <v>36.638888888888886</v>
      </c>
      <c r="CC203" s="1">
        <f t="shared" si="112"/>
        <v>37.147222222222226</v>
      </c>
      <c r="CD203" s="1">
        <f t="shared" si="107"/>
        <v>37.655555555555559</v>
      </c>
      <c r="CE203" s="1">
        <f t="shared" si="107"/>
        <v>38.161111111111111</v>
      </c>
      <c r="CF203" s="1">
        <f t="shared" si="107"/>
        <v>38.669444444444444</v>
      </c>
      <c r="CG203" s="1">
        <f t="shared" si="107"/>
        <v>39.174999999999997</v>
      </c>
      <c r="CH203" s="1">
        <f t="shared" si="107"/>
        <v>39.68333333333333</v>
      </c>
      <c r="CI203" s="1">
        <f t="shared" si="107"/>
        <v>40.18888888888889</v>
      </c>
      <c r="CJ203" s="1">
        <f t="shared" si="107"/>
        <v>40.697222222222223</v>
      </c>
      <c r="CK203" s="1">
        <f t="shared" si="107"/>
        <v>41.205555555555556</v>
      </c>
      <c r="CL203" s="1">
        <f t="shared" si="107"/>
        <v>41.713888888888889</v>
      </c>
      <c r="CM203" s="1">
        <f t="shared" si="107"/>
        <v>42.219444444444441</v>
      </c>
      <c r="CN203" s="1">
        <f t="shared" si="107"/>
        <v>42.727777777777774</v>
      </c>
      <c r="CO203" s="1">
        <f t="shared" si="107"/>
        <v>43.233333333333334</v>
      </c>
      <c r="CP203" s="1">
        <f t="shared" si="107"/>
        <v>43.741666666666667</v>
      </c>
      <c r="CQ203" s="1">
        <f t="shared" si="107"/>
        <v>44.24722222222222</v>
      </c>
      <c r="CR203" s="1">
        <f t="shared" si="107"/>
        <v>44.755555555555553</v>
      </c>
      <c r="CS203" s="1">
        <f t="shared" si="107"/>
        <v>45.263888888888886</v>
      </c>
      <c r="CT203" s="1">
        <f t="shared" si="113"/>
        <v>45.772222222222226</v>
      </c>
      <c r="CU203" s="1">
        <f t="shared" si="108"/>
        <v>46.277777777777779</v>
      </c>
      <c r="CV203" s="1">
        <f t="shared" si="108"/>
        <v>46.786111111111111</v>
      </c>
      <c r="CW203" s="1">
        <f t="shared" si="108"/>
        <v>47.291666666666664</v>
      </c>
      <c r="CX203" s="1">
        <f t="shared" si="108"/>
        <v>47.8</v>
      </c>
      <c r="CY203" s="1">
        <f t="shared" si="108"/>
        <v>48.305555555555557</v>
      </c>
      <c r="CZ203" s="1">
        <f t="shared" si="108"/>
        <v>48.81388888888889</v>
      </c>
      <c r="DA203" s="1">
        <f t="shared" si="108"/>
        <v>49.322222222222223</v>
      </c>
      <c r="DB203" s="1">
        <f t="shared" si="108"/>
        <v>49.830555555555556</v>
      </c>
      <c r="DC203" s="1">
        <f t="shared" si="108"/>
        <v>49.830555555555556</v>
      </c>
    </row>
    <row r="204" spans="1:107" x14ac:dyDescent="0.25">
      <c r="A204">
        <f t="shared" si="114"/>
        <v>5</v>
      </c>
      <c r="B204" s="2">
        <f>yields_BRUTE!B204</f>
        <v>42299</v>
      </c>
      <c r="C204" s="1">
        <f t="shared" si="115"/>
        <v>-0.65277777777777779</v>
      </c>
      <c r="D204" s="1">
        <f t="shared" si="115"/>
        <v>-0.61388888888888893</v>
      </c>
      <c r="E204" s="1">
        <f t="shared" si="115"/>
        <v>-0.3972222222222222</v>
      </c>
      <c r="F204" s="1">
        <f t="shared" si="115"/>
        <v>-0.14166666666666666</v>
      </c>
      <c r="G204" s="1">
        <f t="shared" si="115"/>
        <v>-0.10277777777777777</v>
      </c>
      <c r="H204" s="1">
        <f t="shared" si="115"/>
        <v>0.1111111111111111</v>
      </c>
      <c r="I204" s="1">
        <f t="shared" si="115"/>
        <v>0.1111111111111111</v>
      </c>
      <c r="J204" s="1">
        <f t="shared" si="115"/>
        <v>0.36388888888888887</v>
      </c>
      <c r="K204" s="1">
        <f t="shared" si="115"/>
        <v>0.40277777777777779</v>
      </c>
      <c r="L204" s="1">
        <f t="shared" si="115"/>
        <v>0.61944444444444446</v>
      </c>
      <c r="M204" s="1">
        <f t="shared" si="115"/>
        <v>0.875</v>
      </c>
      <c r="N204" s="1">
        <f t="shared" si="115"/>
        <v>0.875</v>
      </c>
      <c r="O204" s="1">
        <f t="shared" si="115"/>
        <v>0.91388888888888886</v>
      </c>
      <c r="P204" s="1">
        <f t="shared" si="115"/>
        <v>1.1277777777777778</v>
      </c>
      <c r="Q204" s="1">
        <f t="shared" si="115"/>
        <v>1.4166666666666667</v>
      </c>
      <c r="R204" s="1">
        <f t="shared" si="109"/>
        <v>1.6333333333333333</v>
      </c>
      <c r="S204" s="1">
        <f t="shared" si="109"/>
        <v>1.9277777777777778</v>
      </c>
      <c r="T204" s="1">
        <f t="shared" si="109"/>
        <v>2.1416666666666666</v>
      </c>
      <c r="U204" s="1">
        <f t="shared" si="109"/>
        <v>2.4305555555555554</v>
      </c>
      <c r="V204" s="1">
        <f t="shared" si="109"/>
        <v>2.6472222222222221</v>
      </c>
      <c r="W204" s="1">
        <f t="shared" si="109"/>
        <v>2.9416666666666669</v>
      </c>
      <c r="X204" s="1">
        <f t="shared" si="109"/>
        <v>3.1555555555555554</v>
      </c>
      <c r="Y204" s="1">
        <f t="shared" si="109"/>
        <v>3.4444444444444446</v>
      </c>
      <c r="Z204" s="1">
        <f t="shared" si="109"/>
        <v>3.661111111111111</v>
      </c>
      <c r="AA204" s="1">
        <f t="shared" si="109"/>
        <v>3.9555555555555557</v>
      </c>
      <c r="AB204" s="1">
        <f t="shared" si="109"/>
        <v>4.1694444444444443</v>
      </c>
      <c r="AC204" s="1">
        <f t="shared" si="109"/>
        <v>4.4611111111111112</v>
      </c>
      <c r="AD204" s="1">
        <f t="shared" si="109"/>
        <v>4.677777777777778</v>
      </c>
      <c r="AE204" s="1">
        <f t="shared" si="109"/>
        <v>4.677777777777778</v>
      </c>
      <c r="AF204" s="3">
        <f t="shared" si="109"/>
        <v>4.9722222222222223</v>
      </c>
      <c r="AG204" s="1">
        <f t="shared" si="109"/>
        <v>5.1861111111111109</v>
      </c>
      <c r="AH204" s="1">
        <f t="shared" si="110"/>
        <v>5.4749999999999996</v>
      </c>
      <c r="AI204" s="1">
        <f t="shared" si="105"/>
        <v>5.4749999999999996</v>
      </c>
      <c r="AJ204" s="1">
        <f t="shared" si="105"/>
        <v>5.6916666666666664</v>
      </c>
      <c r="AK204" s="1">
        <f t="shared" si="105"/>
        <v>5.6916666666666664</v>
      </c>
      <c r="AL204" s="1">
        <f t="shared" si="105"/>
        <v>6.2</v>
      </c>
      <c r="AM204" s="1">
        <f t="shared" si="105"/>
        <v>6.7055555555555557</v>
      </c>
      <c r="AN204" s="1">
        <f t="shared" si="105"/>
        <v>6.7055555555555557</v>
      </c>
      <c r="AO204" s="1">
        <f t="shared" si="105"/>
        <v>7.2138888888888886</v>
      </c>
      <c r="AP204" s="1">
        <f t="shared" si="105"/>
        <v>7.7194444444444441</v>
      </c>
      <c r="AQ204" s="1">
        <f t="shared" si="105"/>
        <v>7.7194444444444441</v>
      </c>
      <c r="AR204" s="1">
        <f t="shared" si="105"/>
        <v>8.2277777777777779</v>
      </c>
      <c r="AS204" s="1">
        <f t="shared" si="105"/>
        <v>8.7361111111111107</v>
      </c>
      <c r="AT204" s="1">
        <f t="shared" si="105"/>
        <v>9.2444444444444436</v>
      </c>
      <c r="AU204" s="1">
        <f t="shared" si="105"/>
        <v>9.75</v>
      </c>
      <c r="AV204" s="1">
        <f t="shared" si="105"/>
        <v>9.75</v>
      </c>
      <c r="AW204" s="1">
        <f t="shared" si="105"/>
        <v>14.316666666666666</v>
      </c>
      <c r="AX204" s="1">
        <f t="shared" si="105"/>
        <v>14.822222222222223</v>
      </c>
      <c r="AY204" s="1">
        <f t="shared" si="111"/>
        <v>15.330555555555556</v>
      </c>
      <c r="AZ204" s="1">
        <f t="shared" si="111"/>
        <v>15.83611111111111</v>
      </c>
      <c r="BA204" s="1">
        <f t="shared" si="111"/>
        <v>16.344444444444445</v>
      </c>
      <c r="BB204" s="1">
        <f t="shared" si="111"/>
        <v>16.852777777777778</v>
      </c>
      <c r="BC204" s="1">
        <f t="shared" si="111"/>
        <v>17.361111111111111</v>
      </c>
      <c r="BD204" s="1">
        <f t="shared" si="111"/>
        <v>17.866666666666667</v>
      </c>
      <c r="BE204" s="1">
        <f t="shared" si="111"/>
        <v>17.866666666666667</v>
      </c>
      <c r="BF204" s="1">
        <f t="shared" si="111"/>
        <v>26.491666666666667</v>
      </c>
      <c r="BG204" s="1">
        <f t="shared" si="111"/>
        <v>26.997222222222224</v>
      </c>
      <c r="BH204" s="1">
        <f t="shared" si="111"/>
        <v>27.505555555555556</v>
      </c>
      <c r="BI204" s="1">
        <f t="shared" si="111"/>
        <v>28.011111111111113</v>
      </c>
      <c r="BJ204" s="1">
        <f t="shared" si="111"/>
        <v>28.519444444444446</v>
      </c>
      <c r="BK204" s="1">
        <f t="shared" si="111"/>
        <v>29.027777777777779</v>
      </c>
      <c r="BL204" s="1">
        <f t="shared" si="111"/>
        <v>29.536111111111111</v>
      </c>
      <c r="BM204" s="1">
        <f t="shared" si="106"/>
        <v>30.041666666666668</v>
      </c>
      <c r="BN204" s="1">
        <f t="shared" si="106"/>
        <v>30.55</v>
      </c>
      <c r="BO204" s="1">
        <f t="shared" si="106"/>
        <v>30.55</v>
      </c>
      <c r="BP204" s="1">
        <f t="shared" si="106"/>
        <v>31.055555555555557</v>
      </c>
      <c r="BQ204" s="1">
        <f t="shared" si="106"/>
        <v>31.56388888888889</v>
      </c>
      <c r="BR204" s="1">
        <f t="shared" si="106"/>
        <v>32.069444444444443</v>
      </c>
      <c r="BS204" s="1">
        <f t="shared" si="106"/>
        <v>32.577777777777776</v>
      </c>
      <c r="BT204" s="1">
        <f t="shared" si="106"/>
        <v>33.086111111111109</v>
      </c>
      <c r="BU204" s="1">
        <f t="shared" si="106"/>
        <v>33.594444444444441</v>
      </c>
      <c r="BV204" s="1">
        <f t="shared" si="106"/>
        <v>33.594444444444441</v>
      </c>
      <c r="BW204" s="1">
        <f t="shared" si="106"/>
        <v>34.1</v>
      </c>
      <c r="BX204" s="1">
        <f t="shared" si="106"/>
        <v>34.608333333333334</v>
      </c>
      <c r="BY204" s="1">
        <f t="shared" si="106"/>
        <v>35.113888888888887</v>
      </c>
      <c r="BZ204" s="1">
        <f t="shared" si="106"/>
        <v>35.62222222222222</v>
      </c>
      <c r="CA204" s="1">
        <f t="shared" si="106"/>
        <v>36.12777777777778</v>
      </c>
      <c r="CB204" s="1">
        <f t="shared" si="106"/>
        <v>36.636111111111113</v>
      </c>
      <c r="CC204" s="1">
        <f t="shared" si="112"/>
        <v>37.144444444444446</v>
      </c>
      <c r="CD204" s="1">
        <f t="shared" si="107"/>
        <v>37.652777777777779</v>
      </c>
      <c r="CE204" s="1">
        <f t="shared" si="107"/>
        <v>38.158333333333331</v>
      </c>
      <c r="CF204" s="1">
        <f t="shared" si="107"/>
        <v>38.666666666666664</v>
      </c>
      <c r="CG204" s="1">
        <f t="shared" si="107"/>
        <v>39.172222222222224</v>
      </c>
      <c r="CH204" s="1">
        <f t="shared" si="107"/>
        <v>39.680555555555557</v>
      </c>
      <c r="CI204" s="1">
        <f t="shared" si="107"/>
        <v>40.18611111111111</v>
      </c>
      <c r="CJ204" s="1">
        <f t="shared" si="107"/>
        <v>40.694444444444443</v>
      </c>
      <c r="CK204" s="1">
        <f t="shared" si="107"/>
        <v>41.202777777777776</v>
      </c>
      <c r="CL204" s="1">
        <f t="shared" si="107"/>
        <v>41.711111111111109</v>
      </c>
      <c r="CM204" s="1">
        <f t="shared" si="107"/>
        <v>42.216666666666669</v>
      </c>
      <c r="CN204" s="1">
        <f t="shared" si="107"/>
        <v>42.725000000000001</v>
      </c>
      <c r="CO204" s="1">
        <f t="shared" si="107"/>
        <v>43.230555555555554</v>
      </c>
      <c r="CP204" s="1">
        <f t="shared" si="107"/>
        <v>43.738888888888887</v>
      </c>
      <c r="CQ204" s="1">
        <f t="shared" si="107"/>
        <v>44.244444444444447</v>
      </c>
      <c r="CR204" s="1">
        <f t="shared" si="107"/>
        <v>44.75277777777778</v>
      </c>
      <c r="CS204" s="1">
        <f t="shared" si="107"/>
        <v>45.261111111111113</v>
      </c>
      <c r="CT204" s="1">
        <f t="shared" si="113"/>
        <v>45.769444444444446</v>
      </c>
      <c r="CU204" s="1">
        <f t="shared" si="108"/>
        <v>46.274999999999999</v>
      </c>
      <c r="CV204" s="1">
        <f t="shared" si="108"/>
        <v>46.783333333333331</v>
      </c>
      <c r="CW204" s="1">
        <f t="shared" si="108"/>
        <v>47.288888888888891</v>
      </c>
      <c r="CX204" s="1">
        <f t="shared" si="108"/>
        <v>47.797222222222224</v>
      </c>
      <c r="CY204" s="1">
        <f t="shared" si="108"/>
        <v>48.302777777777777</v>
      </c>
      <c r="CZ204" s="1">
        <f t="shared" si="108"/>
        <v>48.81111111111111</v>
      </c>
      <c r="DA204" s="1">
        <f t="shared" si="108"/>
        <v>49.319444444444443</v>
      </c>
      <c r="DB204" s="1">
        <f t="shared" si="108"/>
        <v>49.827777777777776</v>
      </c>
      <c r="DC204" s="1">
        <f t="shared" si="108"/>
        <v>49.827777777777776</v>
      </c>
    </row>
    <row r="205" spans="1:107" x14ac:dyDescent="0.25">
      <c r="A205">
        <f t="shared" si="114"/>
        <v>6</v>
      </c>
      <c r="B205" s="2">
        <f>yields_BRUTE!B205</f>
        <v>42300</v>
      </c>
      <c r="C205" s="1">
        <f t="shared" si="115"/>
        <v>-0.65555555555555556</v>
      </c>
      <c r="D205" s="1">
        <f t="shared" si="115"/>
        <v>-0.6166666666666667</v>
      </c>
      <c r="E205" s="1">
        <f t="shared" si="115"/>
        <v>-0.4</v>
      </c>
      <c r="F205" s="1">
        <f t="shared" si="115"/>
        <v>-0.14444444444444443</v>
      </c>
      <c r="G205" s="1">
        <f t="shared" si="115"/>
        <v>-0.10555555555555556</v>
      </c>
      <c r="H205" s="1">
        <f t="shared" si="115"/>
        <v>0.10833333333333334</v>
      </c>
      <c r="I205" s="1">
        <f t="shared" si="115"/>
        <v>0.10833333333333334</v>
      </c>
      <c r="J205" s="1">
        <f t="shared" si="115"/>
        <v>0.3611111111111111</v>
      </c>
      <c r="K205" s="1">
        <f t="shared" si="115"/>
        <v>0.4</v>
      </c>
      <c r="L205" s="1">
        <f t="shared" si="115"/>
        <v>0.6166666666666667</v>
      </c>
      <c r="M205" s="1">
        <f t="shared" si="115"/>
        <v>0.87222222222222223</v>
      </c>
      <c r="N205" s="1">
        <f t="shared" si="115"/>
        <v>0.87222222222222223</v>
      </c>
      <c r="O205" s="1">
        <f t="shared" si="115"/>
        <v>0.91111111111111109</v>
      </c>
      <c r="P205" s="1">
        <f t="shared" si="115"/>
        <v>1.125</v>
      </c>
      <c r="Q205" s="1">
        <f t="shared" si="115"/>
        <v>1.413888888888889</v>
      </c>
      <c r="R205" s="1">
        <f t="shared" si="109"/>
        <v>1.6305555555555555</v>
      </c>
      <c r="S205" s="1">
        <f t="shared" si="109"/>
        <v>1.925</v>
      </c>
      <c r="T205" s="1">
        <f t="shared" si="109"/>
        <v>2.1388888888888888</v>
      </c>
      <c r="U205" s="1">
        <f t="shared" si="109"/>
        <v>2.4277777777777776</v>
      </c>
      <c r="V205" s="1">
        <f t="shared" si="109"/>
        <v>2.6444444444444444</v>
      </c>
      <c r="W205" s="1">
        <f t="shared" si="109"/>
        <v>2.9388888888888891</v>
      </c>
      <c r="X205" s="1">
        <f t="shared" si="109"/>
        <v>3.1527777777777777</v>
      </c>
      <c r="Y205" s="1">
        <f t="shared" si="109"/>
        <v>3.4416666666666669</v>
      </c>
      <c r="Z205" s="1">
        <f t="shared" si="109"/>
        <v>3.6583333333333332</v>
      </c>
      <c r="AA205" s="1">
        <f t="shared" si="109"/>
        <v>3.9527777777777779</v>
      </c>
      <c r="AB205" s="1">
        <f t="shared" si="109"/>
        <v>4.166666666666667</v>
      </c>
      <c r="AC205" s="1">
        <f t="shared" si="109"/>
        <v>4.458333333333333</v>
      </c>
      <c r="AD205" s="1">
        <f t="shared" si="109"/>
        <v>4.6749999999999998</v>
      </c>
      <c r="AE205" s="1">
        <f t="shared" si="109"/>
        <v>4.6749999999999998</v>
      </c>
      <c r="AF205" s="3">
        <f t="shared" si="109"/>
        <v>4.9694444444444441</v>
      </c>
      <c r="AG205" s="1">
        <f t="shared" si="109"/>
        <v>5.1833333333333336</v>
      </c>
      <c r="AH205" s="1">
        <f t="shared" si="110"/>
        <v>5.4722222222222223</v>
      </c>
      <c r="AI205" s="1">
        <f t="shared" si="105"/>
        <v>5.4722222222222223</v>
      </c>
      <c r="AJ205" s="1">
        <f t="shared" si="105"/>
        <v>5.6888888888888891</v>
      </c>
      <c r="AK205" s="1">
        <f t="shared" si="105"/>
        <v>5.6888888888888891</v>
      </c>
      <c r="AL205" s="1">
        <f t="shared" si="105"/>
        <v>6.197222222222222</v>
      </c>
      <c r="AM205" s="1">
        <f t="shared" si="105"/>
        <v>6.7027777777777775</v>
      </c>
      <c r="AN205" s="1">
        <f t="shared" si="105"/>
        <v>6.7027777777777775</v>
      </c>
      <c r="AO205" s="1">
        <f t="shared" si="105"/>
        <v>7.2111111111111112</v>
      </c>
      <c r="AP205" s="1">
        <f t="shared" si="105"/>
        <v>7.7166666666666668</v>
      </c>
      <c r="AQ205" s="1">
        <f t="shared" si="105"/>
        <v>7.7166666666666668</v>
      </c>
      <c r="AR205" s="1">
        <f t="shared" si="105"/>
        <v>8.2249999999999996</v>
      </c>
      <c r="AS205" s="1">
        <f t="shared" si="105"/>
        <v>8.7333333333333325</v>
      </c>
      <c r="AT205" s="1">
        <f t="shared" si="105"/>
        <v>9.2416666666666671</v>
      </c>
      <c r="AU205" s="1">
        <f t="shared" si="105"/>
        <v>9.7472222222222218</v>
      </c>
      <c r="AV205" s="1">
        <f t="shared" si="105"/>
        <v>9.7472222222222218</v>
      </c>
      <c r="AW205" s="1">
        <f t="shared" si="105"/>
        <v>14.313888888888888</v>
      </c>
      <c r="AX205" s="1">
        <f t="shared" si="105"/>
        <v>14.819444444444445</v>
      </c>
      <c r="AY205" s="1">
        <f t="shared" si="111"/>
        <v>15.327777777777778</v>
      </c>
      <c r="AZ205" s="1">
        <f t="shared" si="111"/>
        <v>15.833333333333334</v>
      </c>
      <c r="BA205" s="1">
        <f t="shared" si="111"/>
        <v>16.341666666666665</v>
      </c>
      <c r="BB205" s="1">
        <f t="shared" si="111"/>
        <v>16.850000000000001</v>
      </c>
      <c r="BC205" s="1">
        <f t="shared" si="111"/>
        <v>17.358333333333334</v>
      </c>
      <c r="BD205" s="1">
        <f t="shared" si="111"/>
        <v>17.863888888888887</v>
      </c>
      <c r="BE205" s="1">
        <f t="shared" si="111"/>
        <v>17.863888888888887</v>
      </c>
      <c r="BF205" s="1">
        <f t="shared" si="111"/>
        <v>26.488888888888887</v>
      </c>
      <c r="BG205" s="1">
        <f t="shared" si="111"/>
        <v>26.994444444444444</v>
      </c>
      <c r="BH205" s="1">
        <f t="shared" si="111"/>
        <v>27.502777777777776</v>
      </c>
      <c r="BI205" s="1">
        <f t="shared" si="111"/>
        <v>28.008333333333333</v>
      </c>
      <c r="BJ205" s="1">
        <f t="shared" si="111"/>
        <v>28.516666666666666</v>
      </c>
      <c r="BK205" s="1">
        <f t="shared" si="111"/>
        <v>29.024999999999999</v>
      </c>
      <c r="BL205" s="1">
        <f t="shared" si="111"/>
        <v>29.533333333333335</v>
      </c>
      <c r="BM205" s="1">
        <f t="shared" si="106"/>
        <v>30.038888888888888</v>
      </c>
      <c r="BN205" s="1">
        <f t="shared" si="106"/>
        <v>30.547222222222221</v>
      </c>
      <c r="BO205" s="1">
        <f t="shared" si="106"/>
        <v>30.547222222222221</v>
      </c>
      <c r="BP205" s="1">
        <f t="shared" si="106"/>
        <v>31.052777777777777</v>
      </c>
      <c r="BQ205" s="1">
        <f t="shared" si="106"/>
        <v>31.56111111111111</v>
      </c>
      <c r="BR205" s="1">
        <f t="shared" si="106"/>
        <v>32.06666666666667</v>
      </c>
      <c r="BS205" s="1">
        <f t="shared" si="106"/>
        <v>32.575000000000003</v>
      </c>
      <c r="BT205" s="1">
        <f t="shared" si="106"/>
        <v>33.083333333333336</v>
      </c>
      <c r="BU205" s="1">
        <f t="shared" si="106"/>
        <v>33.591666666666669</v>
      </c>
      <c r="BV205" s="1">
        <f t="shared" si="106"/>
        <v>33.591666666666669</v>
      </c>
      <c r="BW205" s="1">
        <f t="shared" si="106"/>
        <v>34.097222222222221</v>
      </c>
      <c r="BX205" s="1">
        <f t="shared" si="106"/>
        <v>34.605555555555554</v>
      </c>
      <c r="BY205" s="1">
        <f t="shared" si="106"/>
        <v>35.111111111111114</v>
      </c>
      <c r="BZ205" s="1">
        <f t="shared" si="106"/>
        <v>35.619444444444447</v>
      </c>
      <c r="CA205" s="1">
        <f t="shared" si="106"/>
        <v>36.125</v>
      </c>
      <c r="CB205" s="1">
        <f t="shared" si="106"/>
        <v>36.633333333333333</v>
      </c>
      <c r="CC205" s="1">
        <f t="shared" si="112"/>
        <v>37.141666666666666</v>
      </c>
      <c r="CD205" s="1">
        <f t="shared" si="107"/>
        <v>37.65</v>
      </c>
      <c r="CE205" s="1">
        <f t="shared" si="107"/>
        <v>38.155555555555559</v>
      </c>
      <c r="CF205" s="1">
        <f t="shared" si="107"/>
        <v>38.663888888888891</v>
      </c>
      <c r="CG205" s="1">
        <f t="shared" si="107"/>
        <v>39.169444444444444</v>
      </c>
      <c r="CH205" s="1">
        <f t="shared" si="107"/>
        <v>39.677777777777777</v>
      </c>
      <c r="CI205" s="1">
        <f t="shared" si="107"/>
        <v>40.18333333333333</v>
      </c>
      <c r="CJ205" s="1">
        <f t="shared" si="107"/>
        <v>40.69166666666667</v>
      </c>
      <c r="CK205" s="1">
        <f t="shared" si="107"/>
        <v>41.2</v>
      </c>
      <c r="CL205" s="1">
        <f t="shared" si="107"/>
        <v>41.708333333333336</v>
      </c>
      <c r="CM205" s="1">
        <f t="shared" si="107"/>
        <v>42.213888888888889</v>
      </c>
      <c r="CN205" s="1">
        <f t="shared" si="107"/>
        <v>42.722222222222221</v>
      </c>
      <c r="CO205" s="1">
        <f t="shared" si="107"/>
        <v>43.227777777777774</v>
      </c>
      <c r="CP205" s="1">
        <f t="shared" si="107"/>
        <v>43.736111111111114</v>
      </c>
      <c r="CQ205" s="1">
        <f t="shared" si="107"/>
        <v>44.241666666666667</v>
      </c>
      <c r="CR205" s="1">
        <f t="shared" si="107"/>
        <v>44.75</v>
      </c>
      <c r="CS205" s="1">
        <f t="shared" si="107"/>
        <v>45.258333333333333</v>
      </c>
      <c r="CT205" s="1">
        <f t="shared" si="113"/>
        <v>45.766666666666666</v>
      </c>
      <c r="CU205" s="1">
        <f t="shared" si="108"/>
        <v>46.272222222222226</v>
      </c>
      <c r="CV205" s="1">
        <f t="shared" si="108"/>
        <v>46.780555555555559</v>
      </c>
      <c r="CW205" s="1">
        <f t="shared" si="108"/>
        <v>47.286111111111111</v>
      </c>
      <c r="CX205" s="1">
        <f t="shared" si="108"/>
        <v>47.794444444444444</v>
      </c>
      <c r="CY205" s="1">
        <f t="shared" si="108"/>
        <v>48.3</v>
      </c>
      <c r="CZ205" s="1">
        <f t="shared" si="108"/>
        <v>48.80833333333333</v>
      </c>
      <c r="DA205" s="1">
        <f t="shared" si="108"/>
        <v>49.31666666666667</v>
      </c>
      <c r="DB205" s="1">
        <f t="shared" si="108"/>
        <v>49.825000000000003</v>
      </c>
      <c r="DC205" s="1">
        <f t="shared" si="108"/>
        <v>49.825000000000003</v>
      </c>
    </row>
    <row r="206" spans="1:107" x14ac:dyDescent="0.25">
      <c r="A206">
        <f t="shared" si="114"/>
        <v>2</v>
      </c>
      <c r="B206" s="2">
        <f>yields_BRUTE!B206</f>
        <v>42303</v>
      </c>
      <c r="C206" s="1">
        <f t="shared" si="115"/>
        <v>-0.66388888888888886</v>
      </c>
      <c r="D206" s="1">
        <f t="shared" si="115"/>
        <v>-0.625</v>
      </c>
      <c r="E206" s="1">
        <f t="shared" si="115"/>
        <v>-0.40833333333333333</v>
      </c>
      <c r="F206" s="1">
        <f t="shared" si="115"/>
        <v>-0.15277777777777779</v>
      </c>
      <c r="G206" s="1">
        <f t="shared" si="115"/>
        <v>-0.11388888888888889</v>
      </c>
      <c r="H206" s="1">
        <f t="shared" si="115"/>
        <v>0.1</v>
      </c>
      <c r="I206" s="1">
        <f t="shared" si="115"/>
        <v>0.1</v>
      </c>
      <c r="J206" s="1">
        <f t="shared" si="115"/>
        <v>0.3527777777777778</v>
      </c>
      <c r="K206" s="1">
        <f t="shared" si="115"/>
        <v>0.39166666666666666</v>
      </c>
      <c r="L206" s="1">
        <f t="shared" si="115"/>
        <v>0.60833333333333328</v>
      </c>
      <c r="M206" s="1">
        <f t="shared" si="115"/>
        <v>0.86388888888888893</v>
      </c>
      <c r="N206" s="1">
        <f t="shared" si="115"/>
        <v>0.86388888888888893</v>
      </c>
      <c r="O206" s="1">
        <f t="shared" si="115"/>
        <v>0.90277777777777779</v>
      </c>
      <c r="P206" s="1">
        <f t="shared" si="115"/>
        <v>1.1166666666666667</v>
      </c>
      <c r="Q206" s="1">
        <f t="shared" si="115"/>
        <v>1.4055555555555554</v>
      </c>
      <c r="R206" s="1">
        <f t="shared" si="109"/>
        <v>1.6222222222222222</v>
      </c>
      <c r="S206" s="1">
        <f t="shared" si="109"/>
        <v>1.9166666666666667</v>
      </c>
      <c r="T206" s="1">
        <f t="shared" si="109"/>
        <v>2.1305555555555555</v>
      </c>
      <c r="U206" s="1">
        <f t="shared" si="109"/>
        <v>2.4194444444444443</v>
      </c>
      <c r="V206" s="1">
        <f t="shared" si="109"/>
        <v>2.6361111111111111</v>
      </c>
      <c r="W206" s="1">
        <f t="shared" si="109"/>
        <v>2.9305555555555554</v>
      </c>
      <c r="X206" s="1">
        <f t="shared" si="109"/>
        <v>3.1444444444444444</v>
      </c>
      <c r="Y206" s="1">
        <f t="shared" si="109"/>
        <v>3.4333333333333331</v>
      </c>
      <c r="Z206" s="1">
        <f t="shared" si="109"/>
        <v>3.65</v>
      </c>
      <c r="AA206" s="1">
        <f t="shared" si="109"/>
        <v>3.9444444444444446</v>
      </c>
      <c r="AB206" s="1">
        <f t="shared" si="109"/>
        <v>4.1583333333333332</v>
      </c>
      <c r="AC206" s="1">
        <f t="shared" si="109"/>
        <v>4.45</v>
      </c>
      <c r="AD206" s="1">
        <f t="shared" si="109"/>
        <v>4.666666666666667</v>
      </c>
      <c r="AE206" s="1">
        <f t="shared" si="109"/>
        <v>4.666666666666667</v>
      </c>
      <c r="AF206" s="3">
        <f t="shared" si="109"/>
        <v>4.9611111111111112</v>
      </c>
      <c r="AG206" s="1">
        <f t="shared" si="109"/>
        <v>5.1749999999999998</v>
      </c>
      <c r="AH206" s="1">
        <f t="shared" si="110"/>
        <v>5.4638888888888886</v>
      </c>
      <c r="AI206" s="1">
        <f t="shared" si="105"/>
        <v>5.4638888888888886</v>
      </c>
      <c r="AJ206" s="1">
        <f t="shared" si="105"/>
        <v>5.6805555555555554</v>
      </c>
      <c r="AK206" s="1">
        <f t="shared" si="105"/>
        <v>5.6805555555555554</v>
      </c>
      <c r="AL206" s="1">
        <f t="shared" si="105"/>
        <v>6.1888888888888891</v>
      </c>
      <c r="AM206" s="1">
        <f t="shared" si="105"/>
        <v>6.6944444444444446</v>
      </c>
      <c r="AN206" s="1">
        <f t="shared" si="105"/>
        <v>6.6944444444444446</v>
      </c>
      <c r="AO206" s="1">
        <f t="shared" si="105"/>
        <v>7.2027777777777775</v>
      </c>
      <c r="AP206" s="1">
        <f t="shared" si="105"/>
        <v>7.708333333333333</v>
      </c>
      <c r="AQ206" s="1">
        <f t="shared" si="105"/>
        <v>7.708333333333333</v>
      </c>
      <c r="AR206" s="1">
        <f t="shared" si="105"/>
        <v>8.2166666666666668</v>
      </c>
      <c r="AS206" s="1">
        <f t="shared" si="105"/>
        <v>8.7249999999999996</v>
      </c>
      <c r="AT206" s="1">
        <f t="shared" si="105"/>
        <v>9.2333333333333325</v>
      </c>
      <c r="AU206" s="1">
        <f t="shared" si="105"/>
        <v>9.7388888888888889</v>
      </c>
      <c r="AV206" s="1">
        <f t="shared" si="105"/>
        <v>9.7388888888888889</v>
      </c>
      <c r="AW206" s="1">
        <f t="shared" si="105"/>
        <v>14.305555555555555</v>
      </c>
      <c r="AX206" s="1">
        <f t="shared" si="105"/>
        <v>14.811111111111112</v>
      </c>
      <c r="AY206" s="1">
        <f t="shared" si="111"/>
        <v>15.319444444444445</v>
      </c>
      <c r="AZ206" s="1">
        <f t="shared" si="111"/>
        <v>15.824999999999999</v>
      </c>
      <c r="BA206" s="1">
        <f t="shared" si="111"/>
        <v>16.333333333333332</v>
      </c>
      <c r="BB206" s="1">
        <f t="shared" si="111"/>
        <v>16.841666666666665</v>
      </c>
      <c r="BC206" s="1">
        <f t="shared" si="111"/>
        <v>17.350000000000001</v>
      </c>
      <c r="BD206" s="1">
        <f t="shared" si="111"/>
        <v>17.855555555555554</v>
      </c>
      <c r="BE206" s="1">
        <f t="shared" si="111"/>
        <v>17.855555555555554</v>
      </c>
      <c r="BF206" s="1">
        <f t="shared" si="111"/>
        <v>26.480555555555554</v>
      </c>
      <c r="BG206" s="1">
        <f t="shared" si="111"/>
        <v>26.986111111111111</v>
      </c>
      <c r="BH206" s="1">
        <f t="shared" si="111"/>
        <v>27.494444444444444</v>
      </c>
      <c r="BI206" s="1">
        <f t="shared" si="111"/>
        <v>28</v>
      </c>
      <c r="BJ206" s="1">
        <f t="shared" si="111"/>
        <v>28.508333333333333</v>
      </c>
      <c r="BK206" s="1">
        <f t="shared" si="111"/>
        <v>29.016666666666666</v>
      </c>
      <c r="BL206" s="1">
        <f t="shared" si="111"/>
        <v>29.524999999999999</v>
      </c>
      <c r="BM206" s="1">
        <f t="shared" si="106"/>
        <v>30.030555555555555</v>
      </c>
      <c r="BN206" s="1">
        <f t="shared" si="106"/>
        <v>30.538888888888888</v>
      </c>
      <c r="BO206" s="1">
        <f t="shared" si="106"/>
        <v>30.538888888888888</v>
      </c>
      <c r="BP206" s="1">
        <f t="shared" si="106"/>
        <v>31.044444444444444</v>
      </c>
      <c r="BQ206" s="1">
        <f t="shared" si="106"/>
        <v>31.552777777777777</v>
      </c>
      <c r="BR206" s="1">
        <f t="shared" si="106"/>
        <v>32.05833333333333</v>
      </c>
      <c r="BS206" s="1">
        <f t="shared" si="106"/>
        <v>32.56666666666667</v>
      </c>
      <c r="BT206" s="1">
        <f t="shared" si="106"/>
        <v>33.075000000000003</v>
      </c>
      <c r="BU206" s="1">
        <f t="shared" si="106"/>
        <v>33.583333333333336</v>
      </c>
      <c r="BV206" s="1">
        <f t="shared" si="106"/>
        <v>33.583333333333336</v>
      </c>
      <c r="BW206" s="1">
        <f t="shared" si="106"/>
        <v>34.088888888888889</v>
      </c>
      <c r="BX206" s="1">
        <f t="shared" si="106"/>
        <v>34.597222222222221</v>
      </c>
      <c r="BY206" s="1">
        <f t="shared" si="106"/>
        <v>35.102777777777774</v>
      </c>
      <c r="BZ206" s="1">
        <f t="shared" si="106"/>
        <v>35.611111111111114</v>
      </c>
      <c r="CA206" s="1">
        <f t="shared" si="106"/>
        <v>36.116666666666667</v>
      </c>
      <c r="CB206" s="1">
        <f t="shared" si="106"/>
        <v>36.625</v>
      </c>
      <c r="CC206" s="1">
        <f t="shared" si="112"/>
        <v>37.133333333333333</v>
      </c>
      <c r="CD206" s="1">
        <f t="shared" si="107"/>
        <v>37.641666666666666</v>
      </c>
      <c r="CE206" s="1">
        <f t="shared" si="107"/>
        <v>38.147222222222226</v>
      </c>
      <c r="CF206" s="1">
        <f t="shared" si="107"/>
        <v>38.655555555555559</v>
      </c>
      <c r="CG206" s="1">
        <f t="shared" si="107"/>
        <v>39.161111111111111</v>
      </c>
      <c r="CH206" s="1">
        <f t="shared" si="107"/>
        <v>39.669444444444444</v>
      </c>
      <c r="CI206" s="1">
        <f t="shared" si="107"/>
        <v>40.174999999999997</v>
      </c>
      <c r="CJ206" s="1">
        <f t="shared" si="107"/>
        <v>40.68333333333333</v>
      </c>
      <c r="CK206" s="1">
        <f t="shared" si="107"/>
        <v>41.19166666666667</v>
      </c>
      <c r="CL206" s="1">
        <f t="shared" si="107"/>
        <v>41.7</v>
      </c>
      <c r="CM206" s="1">
        <f t="shared" si="107"/>
        <v>42.205555555555556</v>
      </c>
      <c r="CN206" s="1">
        <f t="shared" si="107"/>
        <v>42.713888888888889</v>
      </c>
      <c r="CO206" s="1">
        <f t="shared" si="107"/>
        <v>43.219444444444441</v>
      </c>
      <c r="CP206" s="1">
        <f t="shared" si="107"/>
        <v>43.727777777777774</v>
      </c>
      <c r="CQ206" s="1">
        <f t="shared" si="107"/>
        <v>44.233333333333334</v>
      </c>
      <c r="CR206" s="1">
        <f t="shared" si="107"/>
        <v>44.741666666666667</v>
      </c>
      <c r="CS206" s="1">
        <f t="shared" si="107"/>
        <v>45.25</v>
      </c>
      <c r="CT206" s="1">
        <f t="shared" si="113"/>
        <v>45.758333333333333</v>
      </c>
      <c r="CU206" s="1">
        <f t="shared" si="108"/>
        <v>46.263888888888886</v>
      </c>
      <c r="CV206" s="1">
        <f t="shared" si="108"/>
        <v>46.772222222222226</v>
      </c>
      <c r="CW206" s="1">
        <f t="shared" si="108"/>
        <v>47.277777777777779</v>
      </c>
      <c r="CX206" s="1">
        <f t="shared" si="108"/>
        <v>47.786111111111111</v>
      </c>
      <c r="CY206" s="1">
        <f t="shared" si="108"/>
        <v>48.291666666666664</v>
      </c>
      <c r="CZ206" s="1">
        <f t="shared" si="108"/>
        <v>48.8</v>
      </c>
      <c r="DA206" s="1">
        <f t="shared" si="108"/>
        <v>49.30833333333333</v>
      </c>
      <c r="DB206" s="1">
        <f t="shared" si="108"/>
        <v>49.81666666666667</v>
      </c>
      <c r="DC206" s="1">
        <f t="shared" si="108"/>
        <v>49.81666666666667</v>
      </c>
    </row>
    <row r="207" spans="1:107" x14ac:dyDescent="0.25">
      <c r="A207">
        <f t="shared" si="114"/>
        <v>3</v>
      </c>
      <c r="B207" s="2">
        <f>yields_BRUTE!B207</f>
        <v>42304</v>
      </c>
      <c r="C207" s="1">
        <f t="shared" si="115"/>
        <v>-0.66666666666666663</v>
      </c>
      <c r="D207" s="1">
        <f t="shared" si="115"/>
        <v>-0.62777777777777777</v>
      </c>
      <c r="E207" s="1">
        <f t="shared" si="115"/>
        <v>-0.41111111111111109</v>
      </c>
      <c r="F207" s="1">
        <f t="shared" si="115"/>
        <v>-0.15555555555555556</v>
      </c>
      <c r="G207" s="1">
        <f t="shared" si="115"/>
        <v>-0.11666666666666667</v>
      </c>
      <c r="H207" s="1">
        <f t="shared" si="115"/>
        <v>9.7222222222222224E-2</v>
      </c>
      <c r="I207" s="1">
        <f t="shared" si="115"/>
        <v>9.7222222222222224E-2</v>
      </c>
      <c r="J207" s="1">
        <f t="shared" si="115"/>
        <v>0.35</v>
      </c>
      <c r="K207" s="1">
        <f t="shared" si="115"/>
        <v>0.3888888888888889</v>
      </c>
      <c r="L207" s="1">
        <f t="shared" si="115"/>
        <v>0.60555555555555551</v>
      </c>
      <c r="M207" s="1">
        <f t="shared" si="115"/>
        <v>0.86111111111111116</v>
      </c>
      <c r="N207" s="1">
        <f t="shared" si="115"/>
        <v>0.86111111111111116</v>
      </c>
      <c r="O207" s="1">
        <f t="shared" si="115"/>
        <v>0.9</v>
      </c>
      <c r="P207" s="1">
        <f t="shared" si="115"/>
        <v>1.1138888888888889</v>
      </c>
      <c r="Q207" s="1">
        <f t="shared" si="115"/>
        <v>1.4027777777777777</v>
      </c>
      <c r="R207" s="1">
        <f t="shared" si="109"/>
        <v>1.6194444444444445</v>
      </c>
      <c r="S207" s="1">
        <f t="shared" si="109"/>
        <v>1.913888888888889</v>
      </c>
      <c r="T207" s="1">
        <f t="shared" si="109"/>
        <v>2.1277777777777778</v>
      </c>
      <c r="U207" s="1">
        <f t="shared" si="109"/>
        <v>2.4166666666666665</v>
      </c>
      <c r="V207" s="1">
        <f t="shared" si="109"/>
        <v>2.6333333333333333</v>
      </c>
      <c r="W207" s="1">
        <f t="shared" si="109"/>
        <v>2.9277777777777776</v>
      </c>
      <c r="X207" s="1">
        <f t="shared" si="109"/>
        <v>3.1416666666666666</v>
      </c>
      <c r="Y207" s="1">
        <f t="shared" si="109"/>
        <v>3.4305555555555554</v>
      </c>
      <c r="Z207" s="1">
        <f t="shared" si="109"/>
        <v>3.6472222222222221</v>
      </c>
      <c r="AA207" s="1">
        <f t="shared" si="109"/>
        <v>3.9416666666666669</v>
      </c>
      <c r="AB207" s="1">
        <f t="shared" si="109"/>
        <v>4.1555555555555559</v>
      </c>
      <c r="AC207" s="1">
        <f t="shared" si="109"/>
        <v>4.447222222222222</v>
      </c>
      <c r="AD207" s="1">
        <f t="shared" si="109"/>
        <v>4.6638888888888888</v>
      </c>
      <c r="AE207" s="1">
        <f t="shared" si="109"/>
        <v>4.6638888888888888</v>
      </c>
      <c r="AF207" s="3">
        <f t="shared" si="109"/>
        <v>4.958333333333333</v>
      </c>
      <c r="AG207" s="1">
        <f t="shared" si="109"/>
        <v>5.1722222222222225</v>
      </c>
      <c r="AH207" s="1">
        <f t="shared" si="110"/>
        <v>5.4611111111111112</v>
      </c>
      <c r="AI207" s="1">
        <f t="shared" si="105"/>
        <v>5.4611111111111112</v>
      </c>
      <c r="AJ207" s="1">
        <f t="shared" si="105"/>
        <v>5.677777777777778</v>
      </c>
      <c r="AK207" s="1">
        <f t="shared" si="105"/>
        <v>5.677777777777778</v>
      </c>
      <c r="AL207" s="1">
        <f t="shared" si="105"/>
        <v>6.1861111111111109</v>
      </c>
      <c r="AM207" s="1">
        <f t="shared" si="105"/>
        <v>6.6916666666666664</v>
      </c>
      <c r="AN207" s="1">
        <f t="shared" si="105"/>
        <v>6.6916666666666664</v>
      </c>
      <c r="AO207" s="1">
        <f t="shared" si="105"/>
        <v>7.2</v>
      </c>
      <c r="AP207" s="1">
        <f t="shared" si="105"/>
        <v>7.7055555555555557</v>
      </c>
      <c r="AQ207" s="1">
        <f t="shared" si="105"/>
        <v>7.7055555555555557</v>
      </c>
      <c r="AR207" s="1">
        <f t="shared" si="105"/>
        <v>8.2138888888888886</v>
      </c>
      <c r="AS207" s="1">
        <f t="shared" si="105"/>
        <v>8.7222222222222214</v>
      </c>
      <c r="AT207" s="1">
        <f t="shared" si="105"/>
        <v>9.2305555555555561</v>
      </c>
      <c r="AU207" s="1">
        <f t="shared" si="105"/>
        <v>9.7361111111111107</v>
      </c>
      <c r="AV207" s="1">
        <f t="shared" si="105"/>
        <v>9.7361111111111107</v>
      </c>
      <c r="AW207" s="1">
        <f t="shared" si="105"/>
        <v>14.302777777777777</v>
      </c>
      <c r="AX207" s="1">
        <f t="shared" si="105"/>
        <v>14.808333333333334</v>
      </c>
      <c r="AY207" s="1">
        <f t="shared" si="111"/>
        <v>15.316666666666666</v>
      </c>
      <c r="AZ207" s="1">
        <f t="shared" si="111"/>
        <v>15.822222222222223</v>
      </c>
      <c r="BA207" s="1">
        <f t="shared" si="111"/>
        <v>16.330555555555556</v>
      </c>
      <c r="BB207" s="1">
        <f t="shared" si="111"/>
        <v>16.838888888888889</v>
      </c>
      <c r="BC207" s="1">
        <f t="shared" si="111"/>
        <v>17.347222222222221</v>
      </c>
      <c r="BD207" s="1">
        <f t="shared" si="111"/>
        <v>17.852777777777778</v>
      </c>
      <c r="BE207" s="1">
        <f t="shared" si="111"/>
        <v>17.852777777777778</v>
      </c>
      <c r="BF207" s="1">
        <f t="shared" si="111"/>
        <v>26.477777777777778</v>
      </c>
      <c r="BG207" s="1">
        <f t="shared" si="111"/>
        <v>26.983333333333334</v>
      </c>
      <c r="BH207" s="1">
        <f t="shared" si="111"/>
        <v>27.491666666666667</v>
      </c>
      <c r="BI207" s="1">
        <f t="shared" si="111"/>
        <v>27.997222222222224</v>
      </c>
      <c r="BJ207" s="1">
        <f t="shared" si="111"/>
        <v>28.505555555555556</v>
      </c>
      <c r="BK207" s="1">
        <f t="shared" si="111"/>
        <v>29.013888888888889</v>
      </c>
      <c r="BL207" s="1">
        <f t="shared" si="111"/>
        <v>29.522222222222222</v>
      </c>
      <c r="BM207" s="1">
        <f t="shared" si="106"/>
        <v>30.027777777777779</v>
      </c>
      <c r="BN207" s="1">
        <f t="shared" si="106"/>
        <v>30.536111111111111</v>
      </c>
      <c r="BO207" s="1">
        <f t="shared" si="106"/>
        <v>30.536111111111111</v>
      </c>
      <c r="BP207" s="1">
        <f t="shared" si="106"/>
        <v>31.041666666666668</v>
      </c>
      <c r="BQ207" s="1">
        <f t="shared" si="106"/>
        <v>31.55</v>
      </c>
      <c r="BR207" s="1">
        <f t="shared" si="106"/>
        <v>32.055555555555557</v>
      </c>
      <c r="BS207" s="1">
        <f t="shared" si="106"/>
        <v>32.56388888888889</v>
      </c>
      <c r="BT207" s="1">
        <f t="shared" si="106"/>
        <v>33.072222222222223</v>
      </c>
      <c r="BU207" s="1">
        <f t="shared" si="106"/>
        <v>33.580555555555556</v>
      </c>
      <c r="BV207" s="1">
        <f t="shared" si="106"/>
        <v>33.580555555555556</v>
      </c>
      <c r="BW207" s="1">
        <f t="shared" si="106"/>
        <v>34.086111111111109</v>
      </c>
      <c r="BX207" s="1">
        <f t="shared" si="106"/>
        <v>34.594444444444441</v>
      </c>
      <c r="BY207" s="1">
        <f t="shared" si="106"/>
        <v>35.1</v>
      </c>
      <c r="BZ207" s="1">
        <f t="shared" si="106"/>
        <v>35.608333333333334</v>
      </c>
      <c r="CA207" s="1">
        <f t="shared" si="106"/>
        <v>36.113888888888887</v>
      </c>
      <c r="CB207" s="1">
        <f t="shared" si="106"/>
        <v>36.62222222222222</v>
      </c>
      <c r="CC207" s="1">
        <f t="shared" si="112"/>
        <v>37.130555555555553</v>
      </c>
      <c r="CD207" s="1">
        <f t="shared" si="107"/>
        <v>37.638888888888886</v>
      </c>
      <c r="CE207" s="1">
        <f t="shared" si="107"/>
        <v>38.144444444444446</v>
      </c>
      <c r="CF207" s="1">
        <f t="shared" si="107"/>
        <v>38.652777777777779</v>
      </c>
      <c r="CG207" s="1">
        <f t="shared" si="107"/>
        <v>39.158333333333331</v>
      </c>
      <c r="CH207" s="1">
        <f t="shared" si="107"/>
        <v>39.666666666666664</v>
      </c>
      <c r="CI207" s="1">
        <f t="shared" si="107"/>
        <v>40.172222222222224</v>
      </c>
      <c r="CJ207" s="1">
        <f t="shared" si="107"/>
        <v>40.680555555555557</v>
      </c>
      <c r="CK207" s="1">
        <f t="shared" si="107"/>
        <v>41.18888888888889</v>
      </c>
      <c r="CL207" s="1">
        <f t="shared" si="107"/>
        <v>41.697222222222223</v>
      </c>
      <c r="CM207" s="1">
        <f t="shared" si="107"/>
        <v>42.202777777777776</v>
      </c>
      <c r="CN207" s="1">
        <f t="shared" si="107"/>
        <v>42.711111111111109</v>
      </c>
      <c r="CO207" s="1">
        <f t="shared" si="107"/>
        <v>43.216666666666669</v>
      </c>
      <c r="CP207" s="1">
        <f t="shared" si="107"/>
        <v>43.725000000000001</v>
      </c>
      <c r="CQ207" s="1">
        <f t="shared" si="107"/>
        <v>44.230555555555554</v>
      </c>
      <c r="CR207" s="1">
        <f t="shared" si="107"/>
        <v>44.738888888888887</v>
      </c>
      <c r="CS207" s="1">
        <f t="shared" si="107"/>
        <v>45.24722222222222</v>
      </c>
      <c r="CT207" s="1">
        <f t="shared" si="113"/>
        <v>45.755555555555553</v>
      </c>
      <c r="CU207" s="1">
        <f t="shared" si="108"/>
        <v>46.261111111111113</v>
      </c>
      <c r="CV207" s="1">
        <f t="shared" si="108"/>
        <v>46.769444444444446</v>
      </c>
      <c r="CW207" s="1">
        <f t="shared" si="108"/>
        <v>47.274999999999999</v>
      </c>
      <c r="CX207" s="1">
        <f t="shared" si="108"/>
        <v>47.783333333333331</v>
      </c>
      <c r="CY207" s="1">
        <f t="shared" si="108"/>
        <v>48.288888888888891</v>
      </c>
      <c r="CZ207" s="1">
        <f t="shared" si="108"/>
        <v>48.797222222222224</v>
      </c>
      <c r="DA207" s="1">
        <f t="shared" si="108"/>
        <v>49.305555555555557</v>
      </c>
      <c r="DB207" s="1">
        <f t="shared" si="108"/>
        <v>49.81388888888889</v>
      </c>
      <c r="DC207" s="1">
        <f t="shared" si="108"/>
        <v>49.81388888888889</v>
      </c>
    </row>
    <row r="208" spans="1:107" x14ac:dyDescent="0.25">
      <c r="A208">
        <f t="shared" si="114"/>
        <v>4</v>
      </c>
      <c r="B208" s="2">
        <f>yields_BRUTE!B208</f>
        <v>42305</v>
      </c>
      <c r="C208" s="1">
        <f t="shared" si="115"/>
        <v>-0.6694444444444444</v>
      </c>
      <c r="D208" s="1">
        <f t="shared" si="115"/>
        <v>-0.63055555555555554</v>
      </c>
      <c r="E208" s="1">
        <f t="shared" si="115"/>
        <v>-0.41388888888888886</v>
      </c>
      <c r="F208" s="1">
        <f t="shared" si="115"/>
        <v>-0.15833333333333333</v>
      </c>
      <c r="G208" s="1">
        <f t="shared" si="115"/>
        <v>-0.11944444444444445</v>
      </c>
      <c r="H208" s="1">
        <f t="shared" si="115"/>
        <v>9.4444444444444442E-2</v>
      </c>
      <c r="I208" s="1">
        <f t="shared" si="115"/>
        <v>9.4444444444444442E-2</v>
      </c>
      <c r="J208" s="1">
        <f t="shared" si="115"/>
        <v>0.34722222222222221</v>
      </c>
      <c r="K208" s="1">
        <f t="shared" si="115"/>
        <v>0.38611111111111113</v>
      </c>
      <c r="L208" s="1">
        <f t="shared" si="115"/>
        <v>0.60277777777777775</v>
      </c>
      <c r="M208" s="1">
        <f t="shared" si="115"/>
        <v>0.85833333333333328</v>
      </c>
      <c r="N208" s="1">
        <f t="shared" si="115"/>
        <v>0.85833333333333328</v>
      </c>
      <c r="O208" s="1">
        <f t="shared" si="115"/>
        <v>0.89722222222222225</v>
      </c>
      <c r="P208" s="1">
        <f t="shared" si="115"/>
        <v>1.1111111111111112</v>
      </c>
      <c r="Q208" s="1">
        <f t="shared" si="115"/>
        <v>1.4</v>
      </c>
      <c r="R208" s="1">
        <f t="shared" si="109"/>
        <v>1.6166666666666667</v>
      </c>
      <c r="S208" s="1">
        <f t="shared" si="109"/>
        <v>1.9111111111111112</v>
      </c>
      <c r="T208" s="1">
        <f t="shared" si="109"/>
        <v>2.125</v>
      </c>
      <c r="U208" s="1">
        <f t="shared" si="109"/>
        <v>2.4138888888888888</v>
      </c>
      <c r="V208" s="1">
        <f t="shared" si="109"/>
        <v>2.6305555555555555</v>
      </c>
      <c r="W208" s="1">
        <f t="shared" si="109"/>
        <v>2.9249999999999998</v>
      </c>
      <c r="X208" s="1">
        <f t="shared" si="109"/>
        <v>3.1388888888888888</v>
      </c>
      <c r="Y208" s="1">
        <f t="shared" si="109"/>
        <v>3.4277777777777776</v>
      </c>
      <c r="Z208" s="1">
        <f t="shared" si="109"/>
        <v>3.6444444444444444</v>
      </c>
      <c r="AA208" s="1">
        <f t="shared" si="109"/>
        <v>3.9388888888888891</v>
      </c>
      <c r="AB208" s="1">
        <f t="shared" si="109"/>
        <v>4.1527777777777777</v>
      </c>
      <c r="AC208" s="1">
        <f t="shared" si="109"/>
        <v>4.4444444444444446</v>
      </c>
      <c r="AD208" s="1">
        <f t="shared" si="109"/>
        <v>4.6611111111111114</v>
      </c>
      <c r="AE208" s="1">
        <f t="shared" si="109"/>
        <v>4.6611111111111114</v>
      </c>
      <c r="AF208" s="3">
        <f t="shared" si="109"/>
        <v>4.9555555555555557</v>
      </c>
      <c r="AG208" s="1">
        <f t="shared" si="109"/>
        <v>5.1694444444444443</v>
      </c>
      <c r="AH208" s="1">
        <f t="shared" si="110"/>
        <v>5.458333333333333</v>
      </c>
      <c r="AI208" s="1">
        <f t="shared" si="105"/>
        <v>5.458333333333333</v>
      </c>
      <c r="AJ208" s="1">
        <f t="shared" si="105"/>
        <v>5.6749999999999998</v>
      </c>
      <c r="AK208" s="1">
        <f t="shared" si="105"/>
        <v>5.6749999999999998</v>
      </c>
      <c r="AL208" s="1">
        <f t="shared" si="105"/>
        <v>6.1833333333333336</v>
      </c>
      <c r="AM208" s="1">
        <f t="shared" si="105"/>
        <v>6.6888888888888891</v>
      </c>
      <c r="AN208" s="1">
        <f t="shared" si="105"/>
        <v>6.6888888888888891</v>
      </c>
      <c r="AO208" s="1">
        <f t="shared" si="105"/>
        <v>7.197222222222222</v>
      </c>
      <c r="AP208" s="1">
        <f t="shared" si="105"/>
        <v>7.7027777777777775</v>
      </c>
      <c r="AQ208" s="1">
        <f t="shared" si="105"/>
        <v>7.7027777777777775</v>
      </c>
      <c r="AR208" s="1">
        <f t="shared" si="105"/>
        <v>8.2111111111111104</v>
      </c>
      <c r="AS208" s="1">
        <f t="shared" si="105"/>
        <v>8.719444444444445</v>
      </c>
      <c r="AT208" s="1">
        <f t="shared" si="105"/>
        <v>9.2277777777777779</v>
      </c>
      <c r="AU208" s="1">
        <f t="shared" si="105"/>
        <v>9.7333333333333325</v>
      </c>
      <c r="AV208" s="1">
        <f t="shared" si="105"/>
        <v>9.7333333333333325</v>
      </c>
      <c r="AW208" s="1">
        <f t="shared" si="105"/>
        <v>14.3</v>
      </c>
      <c r="AX208" s="1">
        <f t="shared" si="105"/>
        <v>14.805555555555555</v>
      </c>
      <c r="AY208" s="1">
        <f t="shared" si="111"/>
        <v>15.313888888888888</v>
      </c>
      <c r="AZ208" s="1">
        <f t="shared" si="111"/>
        <v>15.819444444444445</v>
      </c>
      <c r="BA208" s="1">
        <f t="shared" si="111"/>
        <v>16.327777777777779</v>
      </c>
      <c r="BB208" s="1">
        <f t="shared" si="111"/>
        <v>16.836111111111112</v>
      </c>
      <c r="BC208" s="1">
        <f t="shared" si="111"/>
        <v>17.344444444444445</v>
      </c>
      <c r="BD208" s="1">
        <f t="shared" si="111"/>
        <v>17.850000000000001</v>
      </c>
      <c r="BE208" s="1">
        <f t="shared" si="111"/>
        <v>17.850000000000001</v>
      </c>
      <c r="BF208" s="1">
        <f t="shared" si="111"/>
        <v>26.475000000000001</v>
      </c>
      <c r="BG208" s="1">
        <f t="shared" si="111"/>
        <v>26.980555555555554</v>
      </c>
      <c r="BH208" s="1">
        <f t="shared" si="111"/>
        <v>27.488888888888887</v>
      </c>
      <c r="BI208" s="1">
        <f t="shared" si="111"/>
        <v>27.994444444444444</v>
      </c>
      <c r="BJ208" s="1">
        <f t="shared" si="111"/>
        <v>28.502777777777776</v>
      </c>
      <c r="BK208" s="1">
        <f t="shared" si="111"/>
        <v>29.011111111111113</v>
      </c>
      <c r="BL208" s="1">
        <f t="shared" si="111"/>
        <v>29.519444444444446</v>
      </c>
      <c r="BM208" s="1">
        <f t="shared" si="106"/>
        <v>30.024999999999999</v>
      </c>
      <c r="BN208" s="1">
        <f t="shared" si="106"/>
        <v>30.533333333333335</v>
      </c>
      <c r="BO208" s="1">
        <f t="shared" si="106"/>
        <v>30.533333333333335</v>
      </c>
      <c r="BP208" s="1">
        <f t="shared" si="106"/>
        <v>31.038888888888888</v>
      </c>
      <c r="BQ208" s="1">
        <f t="shared" si="106"/>
        <v>31.547222222222221</v>
      </c>
      <c r="BR208" s="1">
        <f t="shared" si="106"/>
        <v>32.052777777777777</v>
      </c>
      <c r="BS208" s="1">
        <f t="shared" si="106"/>
        <v>32.56111111111111</v>
      </c>
      <c r="BT208" s="1">
        <f t="shared" si="106"/>
        <v>33.069444444444443</v>
      </c>
      <c r="BU208" s="1">
        <f t="shared" si="106"/>
        <v>33.577777777777776</v>
      </c>
      <c r="BV208" s="1">
        <f t="shared" si="106"/>
        <v>33.577777777777776</v>
      </c>
      <c r="BW208" s="1">
        <f t="shared" si="106"/>
        <v>34.083333333333336</v>
      </c>
      <c r="BX208" s="1">
        <f t="shared" si="106"/>
        <v>34.591666666666669</v>
      </c>
      <c r="BY208" s="1">
        <f t="shared" si="106"/>
        <v>35.097222222222221</v>
      </c>
      <c r="BZ208" s="1">
        <f t="shared" si="106"/>
        <v>35.605555555555554</v>
      </c>
      <c r="CA208" s="1">
        <f t="shared" si="106"/>
        <v>36.111111111111114</v>
      </c>
      <c r="CB208" s="1">
        <f t="shared" si="106"/>
        <v>36.619444444444447</v>
      </c>
      <c r="CC208" s="1">
        <f t="shared" si="112"/>
        <v>37.12777777777778</v>
      </c>
      <c r="CD208" s="1">
        <f t="shared" si="107"/>
        <v>37.636111111111113</v>
      </c>
      <c r="CE208" s="1">
        <f t="shared" si="107"/>
        <v>38.141666666666666</v>
      </c>
      <c r="CF208" s="1">
        <f t="shared" si="107"/>
        <v>38.65</v>
      </c>
      <c r="CG208" s="1">
        <f t="shared" si="107"/>
        <v>39.155555555555559</v>
      </c>
      <c r="CH208" s="1">
        <f t="shared" si="107"/>
        <v>39.663888888888891</v>
      </c>
      <c r="CI208" s="1">
        <f t="shared" si="107"/>
        <v>40.169444444444444</v>
      </c>
      <c r="CJ208" s="1">
        <f t="shared" si="107"/>
        <v>40.677777777777777</v>
      </c>
      <c r="CK208" s="1">
        <f t="shared" si="107"/>
        <v>41.18611111111111</v>
      </c>
      <c r="CL208" s="1">
        <f t="shared" si="107"/>
        <v>41.694444444444443</v>
      </c>
      <c r="CM208" s="1">
        <f t="shared" si="107"/>
        <v>42.2</v>
      </c>
      <c r="CN208" s="1">
        <f t="shared" si="107"/>
        <v>42.708333333333336</v>
      </c>
      <c r="CO208" s="1">
        <f t="shared" si="107"/>
        <v>43.213888888888889</v>
      </c>
      <c r="CP208" s="1">
        <f t="shared" si="107"/>
        <v>43.722222222222221</v>
      </c>
      <c r="CQ208" s="1">
        <f t="shared" si="107"/>
        <v>44.227777777777774</v>
      </c>
      <c r="CR208" s="1">
        <f t="shared" si="107"/>
        <v>44.736111111111114</v>
      </c>
      <c r="CS208" s="1">
        <f t="shared" si="107"/>
        <v>45.244444444444447</v>
      </c>
      <c r="CT208" s="1">
        <f t="shared" si="113"/>
        <v>45.75277777777778</v>
      </c>
      <c r="CU208" s="1">
        <f t="shared" si="108"/>
        <v>46.258333333333333</v>
      </c>
      <c r="CV208" s="1">
        <f t="shared" si="108"/>
        <v>46.766666666666666</v>
      </c>
      <c r="CW208" s="1">
        <f t="shared" si="108"/>
        <v>47.272222222222226</v>
      </c>
      <c r="CX208" s="1">
        <f t="shared" si="108"/>
        <v>47.780555555555559</v>
      </c>
      <c r="CY208" s="1">
        <f t="shared" si="108"/>
        <v>48.286111111111111</v>
      </c>
      <c r="CZ208" s="1">
        <f t="shared" si="108"/>
        <v>48.794444444444444</v>
      </c>
      <c r="DA208" s="1">
        <f t="shared" si="108"/>
        <v>49.302777777777777</v>
      </c>
      <c r="DB208" s="1">
        <f t="shared" si="108"/>
        <v>49.81111111111111</v>
      </c>
      <c r="DC208" s="1">
        <f t="shared" si="108"/>
        <v>49.81111111111111</v>
      </c>
    </row>
    <row r="209" spans="1:107" x14ac:dyDescent="0.25">
      <c r="A209">
        <f t="shared" si="114"/>
        <v>5</v>
      </c>
      <c r="B209" s="2">
        <f>yields_BRUTE!B209</f>
        <v>42306</v>
      </c>
      <c r="C209" s="1">
        <f t="shared" si="115"/>
        <v>-0.67222222222222228</v>
      </c>
      <c r="D209" s="1">
        <f t="shared" si="115"/>
        <v>-0.6333333333333333</v>
      </c>
      <c r="E209" s="1">
        <f t="shared" si="115"/>
        <v>-0.41666666666666669</v>
      </c>
      <c r="F209" s="1">
        <f t="shared" si="115"/>
        <v>-0.16111111111111112</v>
      </c>
      <c r="G209" s="1">
        <f t="shared" si="115"/>
        <v>-0.12222222222222222</v>
      </c>
      <c r="H209" s="1">
        <f t="shared" si="115"/>
        <v>9.166666666666666E-2</v>
      </c>
      <c r="I209" s="1">
        <f t="shared" si="115"/>
        <v>9.166666666666666E-2</v>
      </c>
      <c r="J209" s="1">
        <f t="shared" si="115"/>
        <v>0.34444444444444444</v>
      </c>
      <c r="K209" s="1">
        <f t="shared" si="115"/>
        <v>0.38333333333333336</v>
      </c>
      <c r="L209" s="1">
        <f t="shared" si="115"/>
        <v>0.6</v>
      </c>
      <c r="M209" s="1">
        <f t="shared" si="115"/>
        <v>0.85555555555555551</v>
      </c>
      <c r="N209" s="1">
        <f t="shared" si="115"/>
        <v>0.85555555555555551</v>
      </c>
      <c r="O209" s="1">
        <f t="shared" si="115"/>
        <v>0.89444444444444449</v>
      </c>
      <c r="P209" s="1">
        <f t="shared" si="115"/>
        <v>1.1083333333333334</v>
      </c>
      <c r="Q209" s="1">
        <f t="shared" si="115"/>
        <v>1.3972222222222221</v>
      </c>
      <c r="R209" s="1">
        <f t="shared" si="109"/>
        <v>1.6138888888888889</v>
      </c>
      <c r="S209" s="1">
        <f t="shared" si="109"/>
        <v>1.9083333333333334</v>
      </c>
      <c r="T209" s="1">
        <f t="shared" si="109"/>
        <v>2.1222222222222222</v>
      </c>
      <c r="U209" s="1">
        <f t="shared" si="109"/>
        <v>2.411111111111111</v>
      </c>
      <c r="V209" s="1">
        <f t="shared" si="109"/>
        <v>2.6277777777777778</v>
      </c>
      <c r="W209" s="1">
        <f t="shared" si="109"/>
        <v>2.9222222222222221</v>
      </c>
      <c r="X209" s="1">
        <f t="shared" si="109"/>
        <v>3.1361111111111111</v>
      </c>
      <c r="Y209" s="1">
        <f t="shared" si="109"/>
        <v>3.4249999999999998</v>
      </c>
      <c r="Z209" s="1">
        <f t="shared" si="109"/>
        <v>3.6416666666666666</v>
      </c>
      <c r="AA209" s="1">
        <f t="shared" si="109"/>
        <v>3.9361111111111109</v>
      </c>
      <c r="AB209" s="1">
        <f t="shared" si="109"/>
        <v>4.1500000000000004</v>
      </c>
      <c r="AC209" s="1">
        <f t="shared" si="109"/>
        <v>4.4416666666666664</v>
      </c>
      <c r="AD209" s="1">
        <f t="shared" si="109"/>
        <v>4.6583333333333332</v>
      </c>
      <c r="AE209" s="1">
        <f t="shared" si="109"/>
        <v>4.6583333333333332</v>
      </c>
      <c r="AF209" s="3">
        <f t="shared" si="109"/>
        <v>4.9527777777777775</v>
      </c>
      <c r="AG209" s="1">
        <f t="shared" ref="AG209:AV224" si="116">(AG$1-$B209)/360</f>
        <v>5.166666666666667</v>
      </c>
      <c r="AH209" s="1">
        <f t="shared" si="110"/>
        <v>5.4555555555555557</v>
      </c>
      <c r="AI209" s="1">
        <f t="shared" si="110"/>
        <v>5.4555555555555557</v>
      </c>
      <c r="AJ209" s="1">
        <f t="shared" si="110"/>
        <v>5.6722222222222225</v>
      </c>
      <c r="AK209" s="1">
        <f t="shared" si="110"/>
        <v>5.6722222222222225</v>
      </c>
      <c r="AL209" s="1">
        <f t="shared" si="110"/>
        <v>6.1805555555555554</v>
      </c>
      <c r="AM209" s="1">
        <f t="shared" si="110"/>
        <v>6.6861111111111109</v>
      </c>
      <c r="AN209" s="1">
        <f t="shared" si="110"/>
        <v>6.6861111111111109</v>
      </c>
      <c r="AO209" s="1">
        <f t="shared" si="110"/>
        <v>7.1944444444444446</v>
      </c>
      <c r="AP209" s="1">
        <f t="shared" si="110"/>
        <v>7.7</v>
      </c>
      <c r="AQ209" s="1">
        <f t="shared" si="110"/>
        <v>7.7</v>
      </c>
      <c r="AR209" s="1">
        <f t="shared" si="110"/>
        <v>8.2083333333333339</v>
      </c>
      <c r="AS209" s="1">
        <f t="shared" si="110"/>
        <v>8.7166666666666668</v>
      </c>
      <c r="AT209" s="1">
        <f t="shared" si="110"/>
        <v>9.2249999999999996</v>
      </c>
      <c r="AU209" s="1">
        <f t="shared" si="110"/>
        <v>9.7305555555555561</v>
      </c>
      <c r="AV209" s="1">
        <f t="shared" si="110"/>
        <v>9.7305555555555561</v>
      </c>
      <c r="AW209" s="1">
        <f t="shared" si="110"/>
        <v>14.297222222222222</v>
      </c>
      <c r="AX209" s="1">
        <f t="shared" ref="AX209:BM224" si="117">(AX$1-$B209)/360</f>
        <v>14.802777777777777</v>
      </c>
      <c r="AY209" s="1">
        <f t="shared" si="111"/>
        <v>15.311111111111112</v>
      </c>
      <c r="AZ209" s="1">
        <f t="shared" si="111"/>
        <v>15.816666666666666</v>
      </c>
      <c r="BA209" s="1">
        <f t="shared" si="111"/>
        <v>16.324999999999999</v>
      </c>
      <c r="BB209" s="1">
        <f t="shared" si="111"/>
        <v>16.833333333333332</v>
      </c>
      <c r="BC209" s="1">
        <f t="shared" si="111"/>
        <v>17.341666666666665</v>
      </c>
      <c r="BD209" s="1">
        <f t="shared" si="111"/>
        <v>17.847222222222221</v>
      </c>
      <c r="BE209" s="1">
        <f t="shared" si="111"/>
        <v>17.847222222222221</v>
      </c>
      <c r="BF209" s="1">
        <f t="shared" si="111"/>
        <v>26.472222222222221</v>
      </c>
      <c r="BG209" s="1">
        <f t="shared" si="111"/>
        <v>26.977777777777778</v>
      </c>
      <c r="BH209" s="1">
        <f t="shared" si="111"/>
        <v>27.486111111111111</v>
      </c>
      <c r="BI209" s="1">
        <f t="shared" si="111"/>
        <v>27.991666666666667</v>
      </c>
      <c r="BJ209" s="1">
        <f t="shared" si="111"/>
        <v>28.5</v>
      </c>
      <c r="BK209" s="1">
        <f t="shared" si="111"/>
        <v>29.008333333333333</v>
      </c>
      <c r="BL209" s="1">
        <f t="shared" si="111"/>
        <v>29.516666666666666</v>
      </c>
      <c r="BM209" s="1">
        <f t="shared" si="111"/>
        <v>30.022222222222222</v>
      </c>
      <c r="BN209" s="1">
        <f t="shared" si="111"/>
        <v>30.530555555555555</v>
      </c>
      <c r="BO209" s="1">
        <f t="shared" ref="BO209:CD224" si="118">(BO$1-$B209)/360</f>
        <v>30.530555555555555</v>
      </c>
      <c r="BP209" s="1">
        <f t="shared" si="118"/>
        <v>31.036111111111111</v>
      </c>
      <c r="BQ209" s="1">
        <f t="shared" si="118"/>
        <v>31.544444444444444</v>
      </c>
      <c r="BR209" s="1">
        <f t="shared" si="118"/>
        <v>32.049999999999997</v>
      </c>
      <c r="BS209" s="1">
        <f t="shared" si="118"/>
        <v>32.55833333333333</v>
      </c>
      <c r="BT209" s="1">
        <f t="shared" si="118"/>
        <v>33.06666666666667</v>
      </c>
      <c r="BU209" s="1">
        <f t="shared" si="118"/>
        <v>33.575000000000003</v>
      </c>
      <c r="BV209" s="1">
        <f t="shared" si="118"/>
        <v>33.575000000000003</v>
      </c>
      <c r="BW209" s="1">
        <f t="shared" si="118"/>
        <v>34.080555555555556</v>
      </c>
      <c r="BX209" s="1">
        <f t="shared" si="118"/>
        <v>34.588888888888889</v>
      </c>
      <c r="BY209" s="1">
        <f t="shared" si="118"/>
        <v>35.094444444444441</v>
      </c>
      <c r="BZ209" s="1">
        <f t="shared" si="118"/>
        <v>35.602777777777774</v>
      </c>
      <c r="CA209" s="1">
        <f t="shared" si="118"/>
        <v>36.108333333333334</v>
      </c>
      <c r="CB209" s="1">
        <f t="shared" si="118"/>
        <v>36.616666666666667</v>
      </c>
      <c r="CC209" s="1">
        <f t="shared" si="112"/>
        <v>37.125</v>
      </c>
      <c r="CD209" s="1">
        <f t="shared" si="112"/>
        <v>37.633333333333333</v>
      </c>
      <c r="CE209" s="1">
        <f t="shared" si="112"/>
        <v>38.138888888888886</v>
      </c>
      <c r="CF209" s="1">
        <f t="shared" si="112"/>
        <v>38.647222222222226</v>
      </c>
      <c r="CG209" s="1">
        <f t="shared" si="112"/>
        <v>39.152777777777779</v>
      </c>
      <c r="CH209" s="1">
        <f t="shared" si="112"/>
        <v>39.661111111111111</v>
      </c>
      <c r="CI209" s="1">
        <f t="shared" si="112"/>
        <v>40.166666666666664</v>
      </c>
      <c r="CJ209" s="1">
        <f t="shared" si="112"/>
        <v>40.674999999999997</v>
      </c>
      <c r="CK209" s="1">
        <f t="shared" si="112"/>
        <v>41.18333333333333</v>
      </c>
      <c r="CL209" s="1">
        <f t="shared" si="112"/>
        <v>41.69166666666667</v>
      </c>
      <c r="CM209" s="1">
        <f t="shared" si="112"/>
        <v>42.197222222222223</v>
      </c>
      <c r="CN209" s="1">
        <f t="shared" si="112"/>
        <v>42.705555555555556</v>
      </c>
      <c r="CO209" s="1">
        <f t="shared" si="112"/>
        <v>43.211111111111109</v>
      </c>
      <c r="CP209" s="1">
        <f t="shared" si="112"/>
        <v>43.719444444444441</v>
      </c>
      <c r="CQ209" s="1">
        <f t="shared" si="112"/>
        <v>44.225000000000001</v>
      </c>
      <c r="CR209" s="1">
        <f t="shared" si="112"/>
        <v>44.733333333333334</v>
      </c>
      <c r="CS209" s="1">
        <f t="shared" ref="CS209:DC224" si="119">(CS$1-$B209)/360</f>
        <v>45.241666666666667</v>
      </c>
      <c r="CT209" s="1">
        <f t="shared" si="113"/>
        <v>45.75</v>
      </c>
      <c r="CU209" s="1">
        <f t="shared" si="113"/>
        <v>46.255555555555553</v>
      </c>
      <c r="CV209" s="1">
        <f t="shared" si="113"/>
        <v>46.763888888888886</v>
      </c>
      <c r="CW209" s="1">
        <f t="shared" si="113"/>
        <v>47.269444444444446</v>
      </c>
      <c r="CX209" s="1">
        <f t="shared" si="113"/>
        <v>47.777777777777779</v>
      </c>
      <c r="CY209" s="1">
        <f t="shared" si="113"/>
        <v>48.283333333333331</v>
      </c>
      <c r="CZ209" s="1">
        <f t="shared" si="113"/>
        <v>48.791666666666664</v>
      </c>
      <c r="DA209" s="1">
        <f t="shared" si="113"/>
        <v>49.3</v>
      </c>
      <c r="DB209" s="1">
        <f t="shared" si="113"/>
        <v>49.80833333333333</v>
      </c>
      <c r="DC209" s="1">
        <f t="shared" si="113"/>
        <v>49.80833333333333</v>
      </c>
    </row>
    <row r="210" spans="1:107" x14ac:dyDescent="0.25">
      <c r="A210">
        <f t="shared" si="114"/>
        <v>6</v>
      </c>
      <c r="B210" s="2">
        <f>yields_BRUTE!B210</f>
        <v>42307</v>
      </c>
      <c r="C210" s="1">
        <f t="shared" si="115"/>
        <v>-0.67500000000000004</v>
      </c>
      <c r="D210" s="1">
        <f t="shared" si="115"/>
        <v>-0.63611111111111107</v>
      </c>
      <c r="E210" s="1">
        <f t="shared" si="115"/>
        <v>-0.41944444444444445</v>
      </c>
      <c r="F210" s="1">
        <f t="shared" si="115"/>
        <v>-0.16388888888888889</v>
      </c>
      <c r="G210" s="1">
        <f t="shared" si="115"/>
        <v>-0.125</v>
      </c>
      <c r="H210" s="1">
        <f t="shared" si="115"/>
        <v>8.8888888888888892E-2</v>
      </c>
      <c r="I210" s="1">
        <f t="shared" si="115"/>
        <v>8.8888888888888892E-2</v>
      </c>
      <c r="J210" s="1">
        <f t="shared" si="115"/>
        <v>0.34166666666666667</v>
      </c>
      <c r="K210" s="1">
        <f t="shared" si="115"/>
        <v>0.38055555555555554</v>
      </c>
      <c r="L210" s="1">
        <f t="shared" si="115"/>
        <v>0.59722222222222221</v>
      </c>
      <c r="M210" s="1">
        <f t="shared" si="115"/>
        <v>0.85277777777777775</v>
      </c>
      <c r="N210" s="1">
        <f t="shared" si="115"/>
        <v>0.85277777777777775</v>
      </c>
      <c r="O210" s="1">
        <f t="shared" si="115"/>
        <v>0.89166666666666672</v>
      </c>
      <c r="P210" s="1">
        <f t="shared" si="115"/>
        <v>1.1055555555555556</v>
      </c>
      <c r="Q210" s="1">
        <f t="shared" si="115"/>
        <v>1.3944444444444444</v>
      </c>
      <c r="R210" s="1">
        <f t="shared" si="115"/>
        <v>1.6111111111111112</v>
      </c>
      <c r="S210" s="1">
        <f t="shared" ref="S210:AH225" si="120">(S$1-$B210)/360</f>
        <v>1.9055555555555554</v>
      </c>
      <c r="T210" s="1">
        <f t="shared" si="120"/>
        <v>2.1194444444444445</v>
      </c>
      <c r="U210" s="1">
        <f t="shared" si="120"/>
        <v>2.4083333333333332</v>
      </c>
      <c r="V210" s="1">
        <f t="shared" si="120"/>
        <v>2.625</v>
      </c>
      <c r="W210" s="1">
        <f t="shared" si="120"/>
        <v>2.9194444444444443</v>
      </c>
      <c r="X210" s="1">
        <f t="shared" si="120"/>
        <v>3.1333333333333333</v>
      </c>
      <c r="Y210" s="1">
        <f t="shared" si="120"/>
        <v>3.4222222222222221</v>
      </c>
      <c r="Z210" s="1">
        <f t="shared" si="120"/>
        <v>3.6388888888888888</v>
      </c>
      <c r="AA210" s="1">
        <f t="shared" si="120"/>
        <v>3.9333333333333331</v>
      </c>
      <c r="AB210" s="1">
        <f t="shared" si="120"/>
        <v>4.1472222222222221</v>
      </c>
      <c r="AC210" s="1">
        <f t="shared" si="120"/>
        <v>4.4388888888888891</v>
      </c>
      <c r="AD210" s="1">
        <f t="shared" si="120"/>
        <v>4.6555555555555559</v>
      </c>
      <c r="AE210" s="1">
        <f t="shared" si="120"/>
        <v>4.6555555555555559</v>
      </c>
      <c r="AF210" s="3">
        <f t="shared" si="120"/>
        <v>4.95</v>
      </c>
      <c r="AG210" s="1">
        <f t="shared" si="116"/>
        <v>5.1638888888888888</v>
      </c>
      <c r="AH210" s="1">
        <f t="shared" si="116"/>
        <v>5.4527777777777775</v>
      </c>
      <c r="AI210" s="1">
        <f t="shared" si="116"/>
        <v>5.4527777777777775</v>
      </c>
      <c r="AJ210" s="1">
        <f t="shared" si="116"/>
        <v>5.6694444444444443</v>
      </c>
      <c r="AK210" s="1">
        <f t="shared" si="116"/>
        <v>5.6694444444444443</v>
      </c>
      <c r="AL210" s="1">
        <f t="shared" si="116"/>
        <v>6.177777777777778</v>
      </c>
      <c r="AM210" s="1">
        <f t="shared" si="116"/>
        <v>6.6833333333333336</v>
      </c>
      <c r="AN210" s="1">
        <f t="shared" si="116"/>
        <v>6.6833333333333336</v>
      </c>
      <c r="AO210" s="1">
        <f t="shared" si="116"/>
        <v>7.1916666666666664</v>
      </c>
      <c r="AP210" s="1">
        <f t="shared" si="116"/>
        <v>7.697222222222222</v>
      </c>
      <c r="AQ210" s="1">
        <f t="shared" si="116"/>
        <v>7.697222222222222</v>
      </c>
      <c r="AR210" s="1">
        <f t="shared" si="116"/>
        <v>8.2055555555555557</v>
      </c>
      <c r="AS210" s="1">
        <f t="shared" si="116"/>
        <v>8.7138888888888886</v>
      </c>
      <c r="AT210" s="1">
        <f t="shared" si="116"/>
        <v>9.2222222222222214</v>
      </c>
      <c r="AU210" s="1">
        <f t="shared" si="116"/>
        <v>9.7277777777777779</v>
      </c>
      <c r="AV210" s="1">
        <f t="shared" si="116"/>
        <v>9.7277777777777779</v>
      </c>
      <c r="AW210" s="1">
        <f t="shared" ref="AW210:BL225" si="121">(AW$1-$B210)/360</f>
        <v>14.294444444444444</v>
      </c>
      <c r="AX210" s="1">
        <f t="shared" si="117"/>
        <v>14.8</v>
      </c>
      <c r="AY210" s="1">
        <f t="shared" si="117"/>
        <v>15.308333333333334</v>
      </c>
      <c r="AZ210" s="1">
        <f t="shared" si="117"/>
        <v>15.813888888888888</v>
      </c>
      <c r="BA210" s="1">
        <f t="shared" si="117"/>
        <v>16.322222222222223</v>
      </c>
      <c r="BB210" s="1">
        <f t="shared" si="117"/>
        <v>16.830555555555556</v>
      </c>
      <c r="BC210" s="1">
        <f t="shared" si="117"/>
        <v>17.338888888888889</v>
      </c>
      <c r="BD210" s="1">
        <f t="shared" si="117"/>
        <v>17.844444444444445</v>
      </c>
      <c r="BE210" s="1">
        <f t="shared" si="117"/>
        <v>17.844444444444445</v>
      </c>
      <c r="BF210" s="1">
        <f t="shared" si="117"/>
        <v>26.469444444444445</v>
      </c>
      <c r="BG210" s="1">
        <f t="shared" si="117"/>
        <v>26.975000000000001</v>
      </c>
      <c r="BH210" s="1">
        <f t="shared" si="117"/>
        <v>27.483333333333334</v>
      </c>
      <c r="BI210" s="1">
        <f t="shared" si="117"/>
        <v>27.988888888888887</v>
      </c>
      <c r="BJ210" s="1">
        <f t="shared" si="117"/>
        <v>28.497222222222224</v>
      </c>
      <c r="BK210" s="1">
        <f t="shared" si="117"/>
        <v>29.005555555555556</v>
      </c>
      <c r="BL210" s="1">
        <f t="shared" si="117"/>
        <v>29.513888888888889</v>
      </c>
      <c r="BM210" s="1">
        <f t="shared" si="117"/>
        <v>30.019444444444446</v>
      </c>
      <c r="BN210" s="1">
        <f t="shared" ref="BN210:CC225" si="122">(BN$1-$B210)/360</f>
        <v>30.527777777777779</v>
      </c>
      <c r="BO210" s="1">
        <f t="shared" si="118"/>
        <v>30.527777777777779</v>
      </c>
      <c r="BP210" s="1">
        <f t="shared" si="118"/>
        <v>31.033333333333335</v>
      </c>
      <c r="BQ210" s="1">
        <f t="shared" si="118"/>
        <v>31.541666666666668</v>
      </c>
      <c r="BR210" s="1">
        <f t="shared" si="118"/>
        <v>32.047222222222224</v>
      </c>
      <c r="BS210" s="1">
        <f t="shared" si="118"/>
        <v>32.555555555555557</v>
      </c>
      <c r="BT210" s="1">
        <f t="shared" si="118"/>
        <v>33.06388888888889</v>
      </c>
      <c r="BU210" s="1">
        <f t="shared" si="118"/>
        <v>33.572222222222223</v>
      </c>
      <c r="BV210" s="1">
        <f t="shared" si="118"/>
        <v>33.572222222222223</v>
      </c>
      <c r="BW210" s="1">
        <f t="shared" si="118"/>
        <v>34.077777777777776</v>
      </c>
      <c r="BX210" s="1">
        <f t="shared" si="118"/>
        <v>34.586111111111109</v>
      </c>
      <c r="BY210" s="1">
        <f t="shared" si="118"/>
        <v>35.091666666666669</v>
      </c>
      <c r="BZ210" s="1">
        <f t="shared" si="118"/>
        <v>35.6</v>
      </c>
      <c r="CA210" s="1">
        <f t="shared" si="118"/>
        <v>36.105555555555554</v>
      </c>
      <c r="CB210" s="1">
        <f t="shared" si="118"/>
        <v>36.613888888888887</v>
      </c>
      <c r="CC210" s="1">
        <f t="shared" si="118"/>
        <v>37.12222222222222</v>
      </c>
      <c r="CD210" s="1">
        <f t="shared" si="118"/>
        <v>37.630555555555553</v>
      </c>
      <c r="CE210" s="1">
        <f t="shared" ref="CE210:CT225" si="123">(CE$1-$B210)/360</f>
        <v>38.136111111111113</v>
      </c>
      <c r="CF210" s="1">
        <f t="shared" si="123"/>
        <v>38.644444444444446</v>
      </c>
      <c r="CG210" s="1">
        <f t="shared" si="123"/>
        <v>39.15</v>
      </c>
      <c r="CH210" s="1">
        <f t="shared" si="123"/>
        <v>39.658333333333331</v>
      </c>
      <c r="CI210" s="1">
        <f t="shared" si="123"/>
        <v>40.163888888888891</v>
      </c>
      <c r="CJ210" s="1">
        <f t="shared" si="123"/>
        <v>40.672222222222224</v>
      </c>
      <c r="CK210" s="1">
        <f t="shared" si="123"/>
        <v>41.180555555555557</v>
      </c>
      <c r="CL210" s="1">
        <f t="shared" si="123"/>
        <v>41.68888888888889</v>
      </c>
      <c r="CM210" s="1">
        <f t="shared" si="123"/>
        <v>42.194444444444443</v>
      </c>
      <c r="CN210" s="1">
        <f t="shared" si="123"/>
        <v>42.702777777777776</v>
      </c>
      <c r="CO210" s="1">
        <f t="shared" si="123"/>
        <v>43.208333333333336</v>
      </c>
      <c r="CP210" s="1">
        <f t="shared" si="123"/>
        <v>43.716666666666669</v>
      </c>
      <c r="CQ210" s="1">
        <f t="shared" si="123"/>
        <v>44.222222222222221</v>
      </c>
      <c r="CR210" s="1">
        <f t="shared" si="123"/>
        <v>44.730555555555554</v>
      </c>
      <c r="CS210" s="1">
        <f t="shared" si="119"/>
        <v>45.238888888888887</v>
      </c>
      <c r="CT210" s="1">
        <f t="shared" si="119"/>
        <v>45.74722222222222</v>
      </c>
      <c r="CU210" s="1">
        <f t="shared" si="119"/>
        <v>46.25277777777778</v>
      </c>
      <c r="CV210" s="1">
        <f t="shared" si="119"/>
        <v>46.761111111111113</v>
      </c>
      <c r="CW210" s="1">
        <f t="shared" si="119"/>
        <v>47.266666666666666</v>
      </c>
      <c r="CX210" s="1">
        <f t="shared" si="119"/>
        <v>47.774999999999999</v>
      </c>
      <c r="CY210" s="1">
        <f t="shared" si="119"/>
        <v>48.280555555555559</v>
      </c>
      <c r="CZ210" s="1">
        <f t="shared" si="119"/>
        <v>48.788888888888891</v>
      </c>
      <c r="DA210" s="1">
        <f t="shared" si="119"/>
        <v>49.297222222222224</v>
      </c>
      <c r="DB210" s="1">
        <f t="shared" si="119"/>
        <v>49.805555555555557</v>
      </c>
      <c r="DC210" s="1">
        <f t="shared" si="119"/>
        <v>49.805555555555557</v>
      </c>
    </row>
    <row r="211" spans="1:107" x14ac:dyDescent="0.25">
      <c r="A211">
        <f t="shared" si="114"/>
        <v>2</v>
      </c>
      <c r="B211" s="2">
        <f>yields_BRUTE!B211</f>
        <v>42310</v>
      </c>
      <c r="C211" s="1">
        <f t="shared" ref="C211:R226" si="124">(C$1-$B211)/360</f>
        <v>-0.68333333333333335</v>
      </c>
      <c r="D211" s="1">
        <f t="shared" si="124"/>
        <v>-0.64444444444444449</v>
      </c>
      <c r="E211" s="1">
        <f t="shared" si="124"/>
        <v>-0.42777777777777776</v>
      </c>
      <c r="F211" s="1">
        <f t="shared" si="124"/>
        <v>-0.17222222222222222</v>
      </c>
      <c r="G211" s="1">
        <f t="shared" si="124"/>
        <v>-0.13333333333333333</v>
      </c>
      <c r="H211" s="1">
        <f t="shared" si="124"/>
        <v>8.0555555555555561E-2</v>
      </c>
      <c r="I211" s="1">
        <f t="shared" si="124"/>
        <v>8.0555555555555561E-2</v>
      </c>
      <c r="J211" s="1">
        <f t="shared" si="124"/>
        <v>0.33333333333333331</v>
      </c>
      <c r="K211" s="1">
        <f t="shared" si="124"/>
        <v>0.37222222222222223</v>
      </c>
      <c r="L211" s="1">
        <f t="shared" si="124"/>
        <v>0.58888888888888891</v>
      </c>
      <c r="M211" s="1">
        <f t="shared" si="124"/>
        <v>0.84444444444444444</v>
      </c>
      <c r="N211" s="1">
        <f t="shared" si="124"/>
        <v>0.84444444444444444</v>
      </c>
      <c r="O211" s="1">
        <f t="shared" si="124"/>
        <v>0.8833333333333333</v>
      </c>
      <c r="P211" s="1">
        <f t="shared" si="124"/>
        <v>1.0972222222222223</v>
      </c>
      <c r="Q211" s="1">
        <f t="shared" si="124"/>
        <v>1.3861111111111111</v>
      </c>
      <c r="R211" s="1">
        <f t="shared" si="124"/>
        <v>1.6027777777777779</v>
      </c>
      <c r="S211" s="1">
        <f t="shared" si="120"/>
        <v>1.8972222222222221</v>
      </c>
      <c r="T211" s="1">
        <f t="shared" si="120"/>
        <v>2.1111111111111112</v>
      </c>
      <c r="U211" s="1">
        <f t="shared" si="120"/>
        <v>2.4</v>
      </c>
      <c r="V211" s="1">
        <f t="shared" si="120"/>
        <v>2.6166666666666667</v>
      </c>
      <c r="W211" s="1">
        <f t="shared" si="120"/>
        <v>2.911111111111111</v>
      </c>
      <c r="X211" s="1">
        <f t="shared" si="120"/>
        <v>3.125</v>
      </c>
      <c r="Y211" s="1">
        <f t="shared" si="120"/>
        <v>3.4138888888888888</v>
      </c>
      <c r="Z211" s="1">
        <f t="shared" si="120"/>
        <v>3.6305555555555555</v>
      </c>
      <c r="AA211" s="1">
        <f t="shared" si="120"/>
        <v>3.9249999999999998</v>
      </c>
      <c r="AB211" s="1">
        <f t="shared" si="120"/>
        <v>4.1388888888888893</v>
      </c>
      <c r="AC211" s="1">
        <f t="shared" si="120"/>
        <v>4.4305555555555554</v>
      </c>
      <c r="AD211" s="1">
        <f t="shared" si="120"/>
        <v>4.6472222222222221</v>
      </c>
      <c r="AE211" s="1">
        <f t="shared" si="120"/>
        <v>4.6472222222222221</v>
      </c>
      <c r="AF211" s="3">
        <f t="shared" si="120"/>
        <v>4.9416666666666664</v>
      </c>
      <c r="AG211" s="1">
        <f t="shared" si="116"/>
        <v>5.1555555555555559</v>
      </c>
      <c r="AH211" s="1">
        <f t="shared" si="116"/>
        <v>5.4444444444444446</v>
      </c>
      <c r="AI211" s="1">
        <f t="shared" si="116"/>
        <v>5.4444444444444446</v>
      </c>
      <c r="AJ211" s="1">
        <f t="shared" si="116"/>
        <v>5.6611111111111114</v>
      </c>
      <c r="AK211" s="1">
        <f t="shared" si="116"/>
        <v>5.6611111111111114</v>
      </c>
      <c r="AL211" s="1">
        <f t="shared" si="116"/>
        <v>6.1694444444444443</v>
      </c>
      <c r="AM211" s="1">
        <f t="shared" si="116"/>
        <v>6.6749999999999998</v>
      </c>
      <c r="AN211" s="1">
        <f t="shared" si="116"/>
        <v>6.6749999999999998</v>
      </c>
      <c r="AO211" s="1">
        <f t="shared" si="116"/>
        <v>7.1833333333333336</v>
      </c>
      <c r="AP211" s="1">
        <f t="shared" si="116"/>
        <v>7.6888888888888891</v>
      </c>
      <c r="AQ211" s="1">
        <f t="shared" si="116"/>
        <v>7.6888888888888891</v>
      </c>
      <c r="AR211" s="1">
        <f t="shared" si="116"/>
        <v>8.1972222222222229</v>
      </c>
      <c r="AS211" s="1">
        <f t="shared" si="116"/>
        <v>8.7055555555555557</v>
      </c>
      <c r="AT211" s="1">
        <f t="shared" si="116"/>
        <v>9.2138888888888886</v>
      </c>
      <c r="AU211" s="1">
        <f t="shared" si="116"/>
        <v>9.719444444444445</v>
      </c>
      <c r="AV211" s="1">
        <f t="shared" si="116"/>
        <v>9.719444444444445</v>
      </c>
      <c r="AW211" s="1">
        <f t="shared" si="121"/>
        <v>14.286111111111111</v>
      </c>
      <c r="AX211" s="1">
        <f t="shared" si="117"/>
        <v>14.791666666666666</v>
      </c>
      <c r="AY211" s="1">
        <f t="shared" si="117"/>
        <v>15.3</v>
      </c>
      <c r="AZ211" s="1">
        <f t="shared" si="117"/>
        <v>15.805555555555555</v>
      </c>
      <c r="BA211" s="1">
        <f t="shared" si="117"/>
        <v>16.31388888888889</v>
      </c>
      <c r="BB211" s="1">
        <f t="shared" si="117"/>
        <v>16.822222222222223</v>
      </c>
      <c r="BC211" s="1">
        <f t="shared" si="117"/>
        <v>17.330555555555556</v>
      </c>
      <c r="BD211" s="1">
        <f t="shared" si="117"/>
        <v>17.836111111111112</v>
      </c>
      <c r="BE211" s="1">
        <f t="shared" si="117"/>
        <v>17.836111111111112</v>
      </c>
      <c r="BF211" s="1">
        <f t="shared" si="117"/>
        <v>26.461111111111112</v>
      </c>
      <c r="BG211" s="1">
        <f t="shared" si="117"/>
        <v>26.966666666666665</v>
      </c>
      <c r="BH211" s="1">
        <f t="shared" si="117"/>
        <v>27.475000000000001</v>
      </c>
      <c r="BI211" s="1">
        <f t="shared" si="117"/>
        <v>27.980555555555554</v>
      </c>
      <c r="BJ211" s="1">
        <f t="shared" si="117"/>
        <v>28.488888888888887</v>
      </c>
      <c r="BK211" s="1">
        <f t="shared" si="117"/>
        <v>28.997222222222224</v>
      </c>
      <c r="BL211" s="1">
        <f t="shared" si="117"/>
        <v>29.505555555555556</v>
      </c>
      <c r="BM211" s="1">
        <f t="shared" si="117"/>
        <v>30.011111111111113</v>
      </c>
      <c r="BN211" s="1">
        <f t="shared" si="122"/>
        <v>30.519444444444446</v>
      </c>
      <c r="BO211" s="1">
        <f t="shared" si="118"/>
        <v>30.519444444444446</v>
      </c>
      <c r="BP211" s="1">
        <f t="shared" si="118"/>
        <v>31.024999999999999</v>
      </c>
      <c r="BQ211" s="1">
        <f t="shared" si="118"/>
        <v>31.533333333333335</v>
      </c>
      <c r="BR211" s="1">
        <f t="shared" si="118"/>
        <v>32.038888888888891</v>
      </c>
      <c r="BS211" s="1">
        <f t="shared" si="118"/>
        <v>32.547222222222224</v>
      </c>
      <c r="BT211" s="1">
        <f t="shared" si="118"/>
        <v>33.055555555555557</v>
      </c>
      <c r="BU211" s="1">
        <f t="shared" si="118"/>
        <v>33.56388888888889</v>
      </c>
      <c r="BV211" s="1">
        <f t="shared" si="118"/>
        <v>33.56388888888889</v>
      </c>
      <c r="BW211" s="1">
        <f t="shared" si="118"/>
        <v>34.069444444444443</v>
      </c>
      <c r="BX211" s="1">
        <f t="shared" si="118"/>
        <v>34.577777777777776</v>
      </c>
      <c r="BY211" s="1">
        <f t="shared" si="118"/>
        <v>35.083333333333336</v>
      </c>
      <c r="BZ211" s="1">
        <f t="shared" si="118"/>
        <v>35.591666666666669</v>
      </c>
      <c r="CA211" s="1">
        <f t="shared" si="118"/>
        <v>36.097222222222221</v>
      </c>
      <c r="CB211" s="1">
        <f t="shared" si="118"/>
        <v>36.605555555555554</v>
      </c>
      <c r="CC211" s="1">
        <f t="shared" si="118"/>
        <v>37.113888888888887</v>
      </c>
      <c r="CD211" s="1">
        <f t="shared" si="118"/>
        <v>37.62222222222222</v>
      </c>
      <c r="CE211" s="1">
        <f t="shared" si="123"/>
        <v>38.12777777777778</v>
      </c>
      <c r="CF211" s="1">
        <f t="shared" si="123"/>
        <v>38.636111111111113</v>
      </c>
      <c r="CG211" s="1">
        <f t="shared" si="123"/>
        <v>39.141666666666666</v>
      </c>
      <c r="CH211" s="1">
        <f t="shared" si="123"/>
        <v>39.65</v>
      </c>
      <c r="CI211" s="1">
        <f t="shared" si="123"/>
        <v>40.155555555555559</v>
      </c>
      <c r="CJ211" s="1">
        <f t="shared" si="123"/>
        <v>40.663888888888891</v>
      </c>
      <c r="CK211" s="1">
        <f t="shared" si="123"/>
        <v>41.172222222222224</v>
      </c>
      <c r="CL211" s="1">
        <f t="shared" si="123"/>
        <v>41.680555555555557</v>
      </c>
      <c r="CM211" s="1">
        <f t="shared" si="123"/>
        <v>42.18611111111111</v>
      </c>
      <c r="CN211" s="1">
        <f t="shared" si="123"/>
        <v>42.694444444444443</v>
      </c>
      <c r="CO211" s="1">
        <f t="shared" si="123"/>
        <v>43.2</v>
      </c>
      <c r="CP211" s="1">
        <f t="shared" si="123"/>
        <v>43.708333333333336</v>
      </c>
      <c r="CQ211" s="1">
        <f t="shared" si="123"/>
        <v>44.213888888888889</v>
      </c>
      <c r="CR211" s="1">
        <f t="shared" si="123"/>
        <v>44.722222222222221</v>
      </c>
      <c r="CS211" s="1">
        <f t="shared" si="119"/>
        <v>45.230555555555554</v>
      </c>
      <c r="CT211" s="1">
        <f t="shared" si="119"/>
        <v>45.738888888888887</v>
      </c>
      <c r="CU211" s="1">
        <f t="shared" si="119"/>
        <v>46.244444444444447</v>
      </c>
      <c r="CV211" s="1">
        <f t="shared" si="119"/>
        <v>46.75277777777778</v>
      </c>
      <c r="CW211" s="1">
        <f t="shared" si="119"/>
        <v>47.258333333333333</v>
      </c>
      <c r="CX211" s="1">
        <f t="shared" si="119"/>
        <v>47.766666666666666</v>
      </c>
      <c r="CY211" s="1">
        <f t="shared" si="119"/>
        <v>48.272222222222226</v>
      </c>
      <c r="CZ211" s="1">
        <f t="shared" si="119"/>
        <v>48.780555555555559</v>
      </c>
      <c r="DA211" s="1">
        <f t="shared" si="119"/>
        <v>49.288888888888891</v>
      </c>
      <c r="DB211" s="1">
        <f t="shared" si="119"/>
        <v>49.797222222222224</v>
      </c>
      <c r="DC211" s="1">
        <f t="shared" si="119"/>
        <v>49.797222222222224</v>
      </c>
    </row>
    <row r="212" spans="1:107" x14ac:dyDescent="0.25">
      <c r="A212">
        <f t="shared" si="114"/>
        <v>3</v>
      </c>
      <c r="B212" s="2">
        <f>yields_BRUTE!B212</f>
        <v>42311</v>
      </c>
      <c r="C212" s="1">
        <f t="shared" si="124"/>
        <v>-0.68611111111111112</v>
      </c>
      <c r="D212" s="1">
        <f t="shared" si="124"/>
        <v>-0.64722222222222225</v>
      </c>
      <c r="E212" s="1">
        <f t="shared" si="124"/>
        <v>-0.43055555555555558</v>
      </c>
      <c r="F212" s="1">
        <f t="shared" si="124"/>
        <v>-0.17499999999999999</v>
      </c>
      <c r="G212" s="1">
        <f t="shared" si="124"/>
        <v>-0.1361111111111111</v>
      </c>
      <c r="H212" s="1">
        <f t="shared" si="124"/>
        <v>7.7777777777777779E-2</v>
      </c>
      <c r="I212" s="1">
        <f t="shared" si="124"/>
        <v>7.7777777777777779E-2</v>
      </c>
      <c r="J212" s="1">
        <f t="shared" si="124"/>
        <v>0.33055555555555555</v>
      </c>
      <c r="K212" s="1">
        <f t="shared" si="124"/>
        <v>0.36944444444444446</v>
      </c>
      <c r="L212" s="1">
        <f t="shared" si="124"/>
        <v>0.58611111111111114</v>
      </c>
      <c r="M212" s="1">
        <f t="shared" si="124"/>
        <v>0.84166666666666667</v>
      </c>
      <c r="N212" s="1">
        <f t="shared" si="124"/>
        <v>0.84166666666666667</v>
      </c>
      <c r="O212" s="1">
        <f t="shared" si="124"/>
        <v>0.88055555555555554</v>
      </c>
      <c r="P212" s="1">
        <f t="shared" si="124"/>
        <v>1.0944444444444446</v>
      </c>
      <c r="Q212" s="1">
        <f t="shared" si="124"/>
        <v>1.3833333333333333</v>
      </c>
      <c r="R212" s="1">
        <f t="shared" si="124"/>
        <v>1.6</v>
      </c>
      <c r="S212" s="1">
        <f t="shared" si="120"/>
        <v>1.8944444444444444</v>
      </c>
      <c r="T212" s="1">
        <f t="shared" si="120"/>
        <v>2.1083333333333334</v>
      </c>
      <c r="U212" s="1">
        <f t="shared" si="120"/>
        <v>2.3972222222222221</v>
      </c>
      <c r="V212" s="1">
        <f t="shared" si="120"/>
        <v>2.6138888888888889</v>
      </c>
      <c r="W212" s="1">
        <f t="shared" si="120"/>
        <v>2.9083333333333332</v>
      </c>
      <c r="X212" s="1">
        <f t="shared" si="120"/>
        <v>3.1222222222222222</v>
      </c>
      <c r="Y212" s="1">
        <f t="shared" si="120"/>
        <v>3.411111111111111</v>
      </c>
      <c r="Z212" s="1">
        <f t="shared" si="120"/>
        <v>3.6277777777777778</v>
      </c>
      <c r="AA212" s="1">
        <f t="shared" si="120"/>
        <v>3.9222222222222221</v>
      </c>
      <c r="AB212" s="1">
        <f t="shared" si="120"/>
        <v>4.1361111111111111</v>
      </c>
      <c r="AC212" s="1">
        <f t="shared" si="120"/>
        <v>4.427777777777778</v>
      </c>
      <c r="AD212" s="1">
        <f t="shared" si="120"/>
        <v>4.6444444444444448</v>
      </c>
      <c r="AE212" s="1">
        <f t="shared" si="120"/>
        <v>4.6444444444444448</v>
      </c>
      <c r="AF212" s="3">
        <f t="shared" si="120"/>
        <v>4.9388888888888891</v>
      </c>
      <c r="AG212" s="1">
        <f t="shared" si="116"/>
        <v>5.1527777777777777</v>
      </c>
      <c r="AH212" s="1">
        <f t="shared" si="116"/>
        <v>5.4416666666666664</v>
      </c>
      <c r="AI212" s="1">
        <f t="shared" si="116"/>
        <v>5.4416666666666664</v>
      </c>
      <c r="AJ212" s="1">
        <f t="shared" si="116"/>
        <v>5.6583333333333332</v>
      </c>
      <c r="AK212" s="1">
        <f t="shared" si="116"/>
        <v>5.6583333333333332</v>
      </c>
      <c r="AL212" s="1">
        <f t="shared" si="116"/>
        <v>6.166666666666667</v>
      </c>
      <c r="AM212" s="1">
        <f t="shared" si="116"/>
        <v>6.6722222222222225</v>
      </c>
      <c r="AN212" s="1">
        <f t="shared" si="116"/>
        <v>6.6722222222222225</v>
      </c>
      <c r="AO212" s="1">
        <f t="shared" si="116"/>
        <v>7.1805555555555554</v>
      </c>
      <c r="AP212" s="1">
        <f t="shared" si="116"/>
        <v>7.6861111111111109</v>
      </c>
      <c r="AQ212" s="1">
        <f t="shared" si="116"/>
        <v>7.6861111111111109</v>
      </c>
      <c r="AR212" s="1">
        <f t="shared" si="116"/>
        <v>8.1944444444444446</v>
      </c>
      <c r="AS212" s="1">
        <f t="shared" si="116"/>
        <v>8.7027777777777775</v>
      </c>
      <c r="AT212" s="1">
        <f t="shared" si="116"/>
        <v>9.2111111111111104</v>
      </c>
      <c r="AU212" s="1">
        <f t="shared" si="116"/>
        <v>9.7166666666666668</v>
      </c>
      <c r="AV212" s="1">
        <f t="shared" si="116"/>
        <v>9.7166666666666668</v>
      </c>
      <c r="AW212" s="1">
        <f t="shared" si="121"/>
        <v>14.283333333333333</v>
      </c>
      <c r="AX212" s="1">
        <f t="shared" si="117"/>
        <v>14.78888888888889</v>
      </c>
      <c r="AY212" s="1">
        <f t="shared" si="117"/>
        <v>15.297222222222222</v>
      </c>
      <c r="AZ212" s="1">
        <f t="shared" si="117"/>
        <v>15.802777777777777</v>
      </c>
      <c r="BA212" s="1">
        <f t="shared" si="117"/>
        <v>16.31111111111111</v>
      </c>
      <c r="BB212" s="1">
        <f t="shared" si="117"/>
        <v>16.819444444444443</v>
      </c>
      <c r="BC212" s="1">
        <f t="shared" si="117"/>
        <v>17.327777777777779</v>
      </c>
      <c r="BD212" s="1">
        <f t="shared" si="117"/>
        <v>17.833333333333332</v>
      </c>
      <c r="BE212" s="1">
        <f t="shared" si="117"/>
        <v>17.833333333333332</v>
      </c>
      <c r="BF212" s="1">
        <f t="shared" si="117"/>
        <v>26.458333333333332</v>
      </c>
      <c r="BG212" s="1">
        <f t="shared" si="117"/>
        <v>26.963888888888889</v>
      </c>
      <c r="BH212" s="1">
        <f t="shared" si="117"/>
        <v>27.472222222222221</v>
      </c>
      <c r="BI212" s="1">
        <f t="shared" si="117"/>
        <v>27.977777777777778</v>
      </c>
      <c r="BJ212" s="1">
        <f t="shared" si="117"/>
        <v>28.486111111111111</v>
      </c>
      <c r="BK212" s="1">
        <f t="shared" si="117"/>
        <v>28.994444444444444</v>
      </c>
      <c r="BL212" s="1">
        <f t="shared" si="117"/>
        <v>29.502777777777776</v>
      </c>
      <c r="BM212" s="1">
        <f t="shared" si="117"/>
        <v>30.008333333333333</v>
      </c>
      <c r="BN212" s="1">
        <f t="shared" si="122"/>
        <v>30.516666666666666</v>
      </c>
      <c r="BO212" s="1">
        <f t="shared" si="118"/>
        <v>30.516666666666666</v>
      </c>
      <c r="BP212" s="1">
        <f t="shared" si="118"/>
        <v>31.022222222222222</v>
      </c>
      <c r="BQ212" s="1">
        <f t="shared" si="118"/>
        <v>31.530555555555555</v>
      </c>
      <c r="BR212" s="1">
        <f t="shared" si="118"/>
        <v>32.036111111111111</v>
      </c>
      <c r="BS212" s="1">
        <f t="shared" si="118"/>
        <v>32.544444444444444</v>
      </c>
      <c r="BT212" s="1">
        <f t="shared" si="118"/>
        <v>33.052777777777777</v>
      </c>
      <c r="BU212" s="1">
        <f t="shared" si="118"/>
        <v>33.56111111111111</v>
      </c>
      <c r="BV212" s="1">
        <f t="shared" si="118"/>
        <v>33.56111111111111</v>
      </c>
      <c r="BW212" s="1">
        <f t="shared" si="118"/>
        <v>34.06666666666667</v>
      </c>
      <c r="BX212" s="1">
        <f t="shared" si="118"/>
        <v>34.575000000000003</v>
      </c>
      <c r="BY212" s="1">
        <f t="shared" si="118"/>
        <v>35.080555555555556</v>
      </c>
      <c r="BZ212" s="1">
        <f t="shared" si="118"/>
        <v>35.588888888888889</v>
      </c>
      <c r="CA212" s="1">
        <f t="shared" si="118"/>
        <v>36.094444444444441</v>
      </c>
      <c r="CB212" s="1">
        <f t="shared" si="118"/>
        <v>36.602777777777774</v>
      </c>
      <c r="CC212" s="1">
        <f t="shared" si="118"/>
        <v>37.111111111111114</v>
      </c>
      <c r="CD212" s="1">
        <f t="shared" si="118"/>
        <v>37.619444444444447</v>
      </c>
      <c r="CE212" s="1">
        <f t="shared" si="123"/>
        <v>38.125</v>
      </c>
      <c r="CF212" s="1">
        <f t="shared" si="123"/>
        <v>38.633333333333333</v>
      </c>
      <c r="CG212" s="1">
        <f t="shared" si="123"/>
        <v>39.138888888888886</v>
      </c>
      <c r="CH212" s="1">
        <f t="shared" si="123"/>
        <v>39.647222222222226</v>
      </c>
      <c r="CI212" s="1">
        <f t="shared" si="123"/>
        <v>40.152777777777779</v>
      </c>
      <c r="CJ212" s="1">
        <f t="shared" si="123"/>
        <v>40.661111111111111</v>
      </c>
      <c r="CK212" s="1">
        <f t="shared" si="123"/>
        <v>41.169444444444444</v>
      </c>
      <c r="CL212" s="1">
        <f t="shared" si="123"/>
        <v>41.677777777777777</v>
      </c>
      <c r="CM212" s="1">
        <f t="shared" si="123"/>
        <v>42.18333333333333</v>
      </c>
      <c r="CN212" s="1">
        <f t="shared" si="123"/>
        <v>42.69166666666667</v>
      </c>
      <c r="CO212" s="1">
        <f t="shared" si="123"/>
        <v>43.197222222222223</v>
      </c>
      <c r="CP212" s="1">
        <f t="shared" si="123"/>
        <v>43.705555555555556</v>
      </c>
      <c r="CQ212" s="1">
        <f t="shared" si="123"/>
        <v>44.211111111111109</v>
      </c>
      <c r="CR212" s="1">
        <f t="shared" si="123"/>
        <v>44.719444444444441</v>
      </c>
      <c r="CS212" s="1">
        <f t="shared" si="119"/>
        <v>45.227777777777774</v>
      </c>
      <c r="CT212" s="1">
        <f t="shared" si="119"/>
        <v>45.736111111111114</v>
      </c>
      <c r="CU212" s="1">
        <f t="shared" si="119"/>
        <v>46.241666666666667</v>
      </c>
      <c r="CV212" s="1">
        <f t="shared" si="119"/>
        <v>46.75</v>
      </c>
      <c r="CW212" s="1">
        <f t="shared" si="119"/>
        <v>47.255555555555553</v>
      </c>
      <c r="CX212" s="1">
        <f t="shared" si="119"/>
        <v>47.763888888888886</v>
      </c>
      <c r="CY212" s="1">
        <f t="shared" si="119"/>
        <v>48.269444444444446</v>
      </c>
      <c r="CZ212" s="1">
        <f t="shared" si="119"/>
        <v>48.777777777777779</v>
      </c>
      <c r="DA212" s="1">
        <f t="shared" si="119"/>
        <v>49.286111111111111</v>
      </c>
      <c r="DB212" s="1">
        <f t="shared" si="119"/>
        <v>49.794444444444444</v>
      </c>
      <c r="DC212" s="1">
        <f t="shared" si="119"/>
        <v>49.794444444444444</v>
      </c>
    </row>
    <row r="213" spans="1:107" x14ac:dyDescent="0.25">
      <c r="A213">
        <f t="shared" si="114"/>
        <v>4</v>
      </c>
      <c r="B213" s="2">
        <f>yields_BRUTE!B213</f>
        <v>42312</v>
      </c>
      <c r="C213" s="1">
        <f t="shared" si="124"/>
        <v>-0.68888888888888888</v>
      </c>
      <c r="D213" s="1">
        <f t="shared" si="124"/>
        <v>-0.65</v>
      </c>
      <c r="E213" s="1">
        <f t="shared" si="124"/>
        <v>-0.43333333333333335</v>
      </c>
      <c r="F213" s="1">
        <f t="shared" si="124"/>
        <v>-0.17777777777777778</v>
      </c>
      <c r="G213" s="1">
        <f t="shared" si="124"/>
        <v>-0.1388888888888889</v>
      </c>
      <c r="H213" s="1">
        <f t="shared" si="124"/>
        <v>7.4999999999999997E-2</v>
      </c>
      <c r="I213" s="1">
        <f t="shared" si="124"/>
        <v>7.4999999999999997E-2</v>
      </c>
      <c r="J213" s="1">
        <f t="shared" si="124"/>
        <v>0.32777777777777778</v>
      </c>
      <c r="K213" s="1">
        <f t="shared" si="124"/>
        <v>0.36666666666666664</v>
      </c>
      <c r="L213" s="1">
        <f t="shared" si="124"/>
        <v>0.58333333333333337</v>
      </c>
      <c r="M213" s="1">
        <f t="shared" si="124"/>
        <v>0.83888888888888891</v>
      </c>
      <c r="N213" s="1">
        <f t="shared" si="124"/>
        <v>0.83888888888888891</v>
      </c>
      <c r="O213" s="1">
        <f t="shared" si="124"/>
        <v>0.87777777777777777</v>
      </c>
      <c r="P213" s="1">
        <f t="shared" si="124"/>
        <v>1.0916666666666666</v>
      </c>
      <c r="Q213" s="1">
        <f t="shared" si="124"/>
        <v>1.3805555555555555</v>
      </c>
      <c r="R213" s="1">
        <f t="shared" si="124"/>
        <v>1.5972222222222223</v>
      </c>
      <c r="S213" s="1">
        <f t="shared" si="120"/>
        <v>1.8916666666666666</v>
      </c>
      <c r="T213" s="1">
        <f t="shared" si="120"/>
        <v>2.1055555555555556</v>
      </c>
      <c r="U213" s="1">
        <f t="shared" si="120"/>
        <v>2.3944444444444444</v>
      </c>
      <c r="V213" s="1">
        <f t="shared" si="120"/>
        <v>2.6111111111111112</v>
      </c>
      <c r="W213" s="1">
        <f t="shared" si="120"/>
        <v>2.9055555555555554</v>
      </c>
      <c r="X213" s="1">
        <f t="shared" si="120"/>
        <v>3.1194444444444445</v>
      </c>
      <c r="Y213" s="1">
        <f t="shared" si="120"/>
        <v>3.4083333333333332</v>
      </c>
      <c r="Z213" s="1">
        <f t="shared" si="120"/>
        <v>3.625</v>
      </c>
      <c r="AA213" s="1">
        <f t="shared" si="120"/>
        <v>3.9194444444444443</v>
      </c>
      <c r="AB213" s="1">
        <f t="shared" si="120"/>
        <v>4.1333333333333337</v>
      </c>
      <c r="AC213" s="1">
        <f t="shared" si="120"/>
        <v>4.4249999999999998</v>
      </c>
      <c r="AD213" s="1">
        <f t="shared" si="120"/>
        <v>4.6416666666666666</v>
      </c>
      <c r="AE213" s="1">
        <f t="shared" si="120"/>
        <v>4.6416666666666666</v>
      </c>
      <c r="AF213" s="3">
        <f t="shared" si="120"/>
        <v>4.9361111111111109</v>
      </c>
      <c r="AG213" s="1">
        <f t="shared" si="116"/>
        <v>5.15</v>
      </c>
      <c r="AH213" s="1">
        <f t="shared" si="116"/>
        <v>5.4388888888888891</v>
      </c>
      <c r="AI213" s="1">
        <f t="shared" si="116"/>
        <v>5.4388888888888891</v>
      </c>
      <c r="AJ213" s="1">
        <f t="shared" si="116"/>
        <v>5.6555555555555559</v>
      </c>
      <c r="AK213" s="1">
        <f t="shared" si="116"/>
        <v>5.6555555555555559</v>
      </c>
      <c r="AL213" s="1">
        <f t="shared" si="116"/>
        <v>6.1638888888888888</v>
      </c>
      <c r="AM213" s="1">
        <f t="shared" si="116"/>
        <v>6.6694444444444443</v>
      </c>
      <c r="AN213" s="1">
        <f t="shared" si="116"/>
        <v>6.6694444444444443</v>
      </c>
      <c r="AO213" s="1">
        <f t="shared" si="116"/>
        <v>7.177777777777778</v>
      </c>
      <c r="AP213" s="1">
        <f t="shared" si="116"/>
        <v>7.6833333333333336</v>
      </c>
      <c r="AQ213" s="1">
        <f t="shared" si="116"/>
        <v>7.6833333333333336</v>
      </c>
      <c r="AR213" s="1">
        <f t="shared" si="116"/>
        <v>8.1916666666666664</v>
      </c>
      <c r="AS213" s="1">
        <f t="shared" si="116"/>
        <v>8.6999999999999993</v>
      </c>
      <c r="AT213" s="1">
        <f t="shared" si="116"/>
        <v>9.2083333333333339</v>
      </c>
      <c r="AU213" s="1">
        <f t="shared" si="116"/>
        <v>9.7138888888888886</v>
      </c>
      <c r="AV213" s="1">
        <f t="shared" si="116"/>
        <v>9.7138888888888886</v>
      </c>
      <c r="AW213" s="1">
        <f t="shared" si="121"/>
        <v>14.280555555555555</v>
      </c>
      <c r="AX213" s="1">
        <f t="shared" si="117"/>
        <v>14.786111111111111</v>
      </c>
      <c r="AY213" s="1">
        <f t="shared" si="117"/>
        <v>15.294444444444444</v>
      </c>
      <c r="AZ213" s="1">
        <f t="shared" si="117"/>
        <v>15.8</v>
      </c>
      <c r="BA213" s="1">
        <f t="shared" si="117"/>
        <v>16.308333333333334</v>
      </c>
      <c r="BB213" s="1">
        <f t="shared" si="117"/>
        <v>16.816666666666666</v>
      </c>
      <c r="BC213" s="1">
        <f t="shared" si="117"/>
        <v>17.324999999999999</v>
      </c>
      <c r="BD213" s="1">
        <f t="shared" si="117"/>
        <v>17.830555555555556</v>
      </c>
      <c r="BE213" s="1">
        <f t="shared" si="117"/>
        <v>17.830555555555556</v>
      </c>
      <c r="BF213" s="1">
        <f t="shared" si="117"/>
        <v>26.455555555555556</v>
      </c>
      <c r="BG213" s="1">
        <f t="shared" si="117"/>
        <v>26.961111111111112</v>
      </c>
      <c r="BH213" s="1">
        <f t="shared" si="117"/>
        <v>27.469444444444445</v>
      </c>
      <c r="BI213" s="1">
        <f t="shared" si="117"/>
        <v>27.975000000000001</v>
      </c>
      <c r="BJ213" s="1">
        <f t="shared" si="117"/>
        <v>28.483333333333334</v>
      </c>
      <c r="BK213" s="1">
        <f t="shared" si="117"/>
        <v>28.991666666666667</v>
      </c>
      <c r="BL213" s="1">
        <f t="shared" si="117"/>
        <v>29.5</v>
      </c>
      <c r="BM213" s="1">
        <f t="shared" si="117"/>
        <v>30.005555555555556</v>
      </c>
      <c r="BN213" s="1">
        <f t="shared" si="122"/>
        <v>30.513888888888889</v>
      </c>
      <c r="BO213" s="1">
        <f t="shared" si="118"/>
        <v>30.513888888888889</v>
      </c>
      <c r="BP213" s="1">
        <f t="shared" si="118"/>
        <v>31.019444444444446</v>
      </c>
      <c r="BQ213" s="1">
        <f t="shared" si="118"/>
        <v>31.527777777777779</v>
      </c>
      <c r="BR213" s="1">
        <f t="shared" si="118"/>
        <v>32.033333333333331</v>
      </c>
      <c r="BS213" s="1">
        <f t="shared" si="118"/>
        <v>32.541666666666664</v>
      </c>
      <c r="BT213" s="1">
        <f t="shared" si="118"/>
        <v>33.049999999999997</v>
      </c>
      <c r="BU213" s="1">
        <f t="shared" si="118"/>
        <v>33.55833333333333</v>
      </c>
      <c r="BV213" s="1">
        <f t="shared" si="118"/>
        <v>33.55833333333333</v>
      </c>
      <c r="BW213" s="1">
        <f t="shared" si="118"/>
        <v>34.06388888888889</v>
      </c>
      <c r="BX213" s="1">
        <f t="shared" si="118"/>
        <v>34.572222222222223</v>
      </c>
      <c r="BY213" s="1">
        <f t="shared" si="118"/>
        <v>35.077777777777776</v>
      </c>
      <c r="BZ213" s="1">
        <f t="shared" si="118"/>
        <v>35.586111111111109</v>
      </c>
      <c r="CA213" s="1">
        <f t="shared" si="118"/>
        <v>36.091666666666669</v>
      </c>
      <c r="CB213" s="1">
        <f t="shared" si="118"/>
        <v>36.6</v>
      </c>
      <c r="CC213" s="1">
        <f t="shared" si="118"/>
        <v>37.108333333333334</v>
      </c>
      <c r="CD213" s="1">
        <f t="shared" si="118"/>
        <v>37.616666666666667</v>
      </c>
      <c r="CE213" s="1">
        <f t="shared" si="123"/>
        <v>38.12222222222222</v>
      </c>
      <c r="CF213" s="1">
        <f t="shared" si="123"/>
        <v>38.630555555555553</v>
      </c>
      <c r="CG213" s="1">
        <f t="shared" si="123"/>
        <v>39.136111111111113</v>
      </c>
      <c r="CH213" s="1">
        <f t="shared" si="123"/>
        <v>39.644444444444446</v>
      </c>
      <c r="CI213" s="1">
        <f t="shared" si="123"/>
        <v>40.15</v>
      </c>
      <c r="CJ213" s="1">
        <f t="shared" si="123"/>
        <v>40.658333333333331</v>
      </c>
      <c r="CK213" s="1">
        <f t="shared" si="123"/>
        <v>41.166666666666664</v>
      </c>
      <c r="CL213" s="1">
        <f t="shared" si="123"/>
        <v>41.674999999999997</v>
      </c>
      <c r="CM213" s="1">
        <f t="shared" si="123"/>
        <v>42.180555555555557</v>
      </c>
      <c r="CN213" s="1">
        <f t="shared" si="123"/>
        <v>42.68888888888889</v>
      </c>
      <c r="CO213" s="1">
        <f t="shared" si="123"/>
        <v>43.194444444444443</v>
      </c>
      <c r="CP213" s="1">
        <f t="shared" si="123"/>
        <v>43.702777777777776</v>
      </c>
      <c r="CQ213" s="1">
        <f t="shared" si="123"/>
        <v>44.208333333333336</v>
      </c>
      <c r="CR213" s="1">
        <f t="shared" si="123"/>
        <v>44.716666666666669</v>
      </c>
      <c r="CS213" s="1">
        <f t="shared" si="119"/>
        <v>45.225000000000001</v>
      </c>
      <c r="CT213" s="1">
        <f t="shared" si="119"/>
        <v>45.733333333333334</v>
      </c>
      <c r="CU213" s="1">
        <f t="shared" si="119"/>
        <v>46.238888888888887</v>
      </c>
      <c r="CV213" s="1">
        <f t="shared" si="119"/>
        <v>46.74722222222222</v>
      </c>
      <c r="CW213" s="1">
        <f t="shared" si="119"/>
        <v>47.25277777777778</v>
      </c>
      <c r="CX213" s="1">
        <f t="shared" si="119"/>
        <v>47.761111111111113</v>
      </c>
      <c r="CY213" s="1">
        <f t="shared" si="119"/>
        <v>48.266666666666666</v>
      </c>
      <c r="CZ213" s="1">
        <f t="shared" si="119"/>
        <v>48.774999999999999</v>
      </c>
      <c r="DA213" s="1">
        <f t="shared" si="119"/>
        <v>49.283333333333331</v>
      </c>
      <c r="DB213" s="1">
        <f t="shared" si="119"/>
        <v>49.791666666666664</v>
      </c>
      <c r="DC213" s="1">
        <f t="shared" si="119"/>
        <v>49.791666666666664</v>
      </c>
    </row>
    <row r="214" spans="1:107" x14ac:dyDescent="0.25">
      <c r="A214">
        <f t="shared" si="114"/>
        <v>5</v>
      </c>
      <c r="B214" s="2">
        <f>yields_BRUTE!B214</f>
        <v>42313</v>
      </c>
      <c r="C214" s="1">
        <f t="shared" si="124"/>
        <v>-0.69166666666666665</v>
      </c>
      <c r="D214" s="1">
        <f t="shared" si="124"/>
        <v>-0.65277777777777779</v>
      </c>
      <c r="E214" s="1">
        <f t="shared" si="124"/>
        <v>-0.43611111111111112</v>
      </c>
      <c r="F214" s="1">
        <f t="shared" si="124"/>
        <v>-0.18055555555555555</v>
      </c>
      <c r="G214" s="1">
        <f t="shared" si="124"/>
        <v>-0.14166666666666666</v>
      </c>
      <c r="H214" s="1">
        <f t="shared" si="124"/>
        <v>7.2222222222222215E-2</v>
      </c>
      <c r="I214" s="1">
        <f t="shared" si="124"/>
        <v>7.2222222222222215E-2</v>
      </c>
      <c r="J214" s="1">
        <f t="shared" si="124"/>
        <v>0.32500000000000001</v>
      </c>
      <c r="K214" s="1">
        <f t="shared" si="124"/>
        <v>0.36388888888888887</v>
      </c>
      <c r="L214" s="1">
        <f t="shared" si="124"/>
        <v>0.5805555555555556</v>
      </c>
      <c r="M214" s="1">
        <f t="shared" si="124"/>
        <v>0.83611111111111114</v>
      </c>
      <c r="N214" s="1">
        <f t="shared" si="124"/>
        <v>0.83611111111111114</v>
      </c>
      <c r="O214" s="1">
        <f t="shared" si="124"/>
        <v>0.875</v>
      </c>
      <c r="P214" s="1">
        <f t="shared" si="124"/>
        <v>1.0888888888888888</v>
      </c>
      <c r="Q214" s="1">
        <f t="shared" si="124"/>
        <v>1.3777777777777778</v>
      </c>
      <c r="R214" s="1">
        <f t="shared" si="124"/>
        <v>1.5944444444444446</v>
      </c>
      <c r="S214" s="1">
        <f t="shared" si="120"/>
        <v>1.8888888888888888</v>
      </c>
      <c r="T214" s="1">
        <f t="shared" si="120"/>
        <v>2.1027777777777779</v>
      </c>
      <c r="U214" s="1">
        <f t="shared" si="120"/>
        <v>2.3916666666666666</v>
      </c>
      <c r="V214" s="1">
        <f t="shared" si="120"/>
        <v>2.6083333333333334</v>
      </c>
      <c r="W214" s="1">
        <f t="shared" si="120"/>
        <v>2.9027777777777777</v>
      </c>
      <c r="X214" s="1">
        <f t="shared" si="120"/>
        <v>3.1166666666666667</v>
      </c>
      <c r="Y214" s="1">
        <f t="shared" si="120"/>
        <v>3.4055555555555554</v>
      </c>
      <c r="Z214" s="1">
        <f t="shared" si="120"/>
        <v>3.6222222222222222</v>
      </c>
      <c r="AA214" s="1">
        <f t="shared" si="120"/>
        <v>3.9166666666666665</v>
      </c>
      <c r="AB214" s="1">
        <f t="shared" si="120"/>
        <v>4.1305555555555555</v>
      </c>
      <c r="AC214" s="1">
        <f t="shared" si="120"/>
        <v>4.4222222222222225</v>
      </c>
      <c r="AD214" s="1">
        <f t="shared" si="120"/>
        <v>4.6388888888888893</v>
      </c>
      <c r="AE214" s="1">
        <f t="shared" si="120"/>
        <v>4.6388888888888893</v>
      </c>
      <c r="AF214" s="3">
        <f t="shared" si="120"/>
        <v>4.9333333333333336</v>
      </c>
      <c r="AG214" s="1">
        <f t="shared" si="116"/>
        <v>5.1472222222222221</v>
      </c>
      <c r="AH214" s="1">
        <f t="shared" si="116"/>
        <v>5.4361111111111109</v>
      </c>
      <c r="AI214" s="1">
        <f t="shared" si="116"/>
        <v>5.4361111111111109</v>
      </c>
      <c r="AJ214" s="1">
        <f t="shared" si="116"/>
        <v>5.6527777777777777</v>
      </c>
      <c r="AK214" s="1">
        <f t="shared" si="116"/>
        <v>5.6527777777777777</v>
      </c>
      <c r="AL214" s="1">
        <f t="shared" si="116"/>
        <v>6.1611111111111114</v>
      </c>
      <c r="AM214" s="1">
        <f t="shared" si="116"/>
        <v>6.666666666666667</v>
      </c>
      <c r="AN214" s="1">
        <f t="shared" si="116"/>
        <v>6.666666666666667</v>
      </c>
      <c r="AO214" s="1">
        <f t="shared" si="116"/>
        <v>7.1749999999999998</v>
      </c>
      <c r="AP214" s="1">
        <f t="shared" si="116"/>
        <v>7.6805555555555554</v>
      </c>
      <c r="AQ214" s="1">
        <f t="shared" si="116"/>
        <v>7.6805555555555554</v>
      </c>
      <c r="AR214" s="1">
        <f t="shared" si="116"/>
        <v>8.1888888888888882</v>
      </c>
      <c r="AS214" s="1">
        <f t="shared" si="116"/>
        <v>8.6972222222222229</v>
      </c>
      <c r="AT214" s="1">
        <f t="shared" si="116"/>
        <v>9.2055555555555557</v>
      </c>
      <c r="AU214" s="1">
        <f t="shared" si="116"/>
        <v>9.7111111111111104</v>
      </c>
      <c r="AV214" s="1">
        <f t="shared" si="116"/>
        <v>9.7111111111111104</v>
      </c>
      <c r="AW214" s="1">
        <f t="shared" si="121"/>
        <v>14.277777777777779</v>
      </c>
      <c r="AX214" s="1">
        <f t="shared" si="117"/>
        <v>14.783333333333333</v>
      </c>
      <c r="AY214" s="1">
        <f t="shared" si="117"/>
        <v>15.291666666666666</v>
      </c>
      <c r="AZ214" s="1">
        <f t="shared" si="117"/>
        <v>15.797222222222222</v>
      </c>
      <c r="BA214" s="1">
        <f t="shared" si="117"/>
        <v>16.305555555555557</v>
      </c>
      <c r="BB214" s="1">
        <f t="shared" si="117"/>
        <v>16.81388888888889</v>
      </c>
      <c r="BC214" s="1">
        <f t="shared" si="117"/>
        <v>17.322222222222223</v>
      </c>
      <c r="BD214" s="1">
        <f t="shared" si="117"/>
        <v>17.827777777777779</v>
      </c>
      <c r="BE214" s="1">
        <f t="shared" si="117"/>
        <v>17.827777777777779</v>
      </c>
      <c r="BF214" s="1">
        <f t="shared" si="117"/>
        <v>26.452777777777779</v>
      </c>
      <c r="BG214" s="1">
        <f t="shared" si="117"/>
        <v>26.958333333333332</v>
      </c>
      <c r="BH214" s="1">
        <f t="shared" si="117"/>
        <v>27.466666666666665</v>
      </c>
      <c r="BI214" s="1">
        <f t="shared" si="117"/>
        <v>27.972222222222221</v>
      </c>
      <c r="BJ214" s="1">
        <f t="shared" si="117"/>
        <v>28.480555555555554</v>
      </c>
      <c r="BK214" s="1">
        <f t="shared" si="117"/>
        <v>28.988888888888887</v>
      </c>
      <c r="BL214" s="1">
        <f t="shared" si="117"/>
        <v>29.497222222222224</v>
      </c>
      <c r="BM214" s="1">
        <f t="shared" si="117"/>
        <v>30.002777777777776</v>
      </c>
      <c r="BN214" s="1">
        <f t="shared" si="122"/>
        <v>30.511111111111113</v>
      </c>
      <c r="BO214" s="1">
        <f t="shared" si="118"/>
        <v>30.511111111111113</v>
      </c>
      <c r="BP214" s="1">
        <f t="shared" si="118"/>
        <v>31.016666666666666</v>
      </c>
      <c r="BQ214" s="1">
        <f t="shared" si="118"/>
        <v>31.524999999999999</v>
      </c>
      <c r="BR214" s="1">
        <f t="shared" si="118"/>
        <v>32.030555555555559</v>
      </c>
      <c r="BS214" s="1">
        <f t="shared" si="118"/>
        <v>32.538888888888891</v>
      </c>
      <c r="BT214" s="1">
        <f t="shared" si="118"/>
        <v>33.047222222222224</v>
      </c>
      <c r="BU214" s="1">
        <f t="shared" si="118"/>
        <v>33.555555555555557</v>
      </c>
      <c r="BV214" s="1">
        <f t="shared" si="118"/>
        <v>33.555555555555557</v>
      </c>
      <c r="BW214" s="1">
        <f t="shared" si="118"/>
        <v>34.06111111111111</v>
      </c>
      <c r="BX214" s="1">
        <f t="shared" si="118"/>
        <v>34.569444444444443</v>
      </c>
      <c r="BY214" s="1">
        <f t="shared" si="118"/>
        <v>35.075000000000003</v>
      </c>
      <c r="BZ214" s="1">
        <f t="shared" si="118"/>
        <v>35.583333333333336</v>
      </c>
      <c r="CA214" s="1">
        <f t="shared" si="118"/>
        <v>36.088888888888889</v>
      </c>
      <c r="CB214" s="1">
        <f t="shared" si="118"/>
        <v>36.597222222222221</v>
      </c>
      <c r="CC214" s="1">
        <f t="shared" si="118"/>
        <v>37.105555555555554</v>
      </c>
      <c r="CD214" s="1">
        <f t="shared" si="118"/>
        <v>37.613888888888887</v>
      </c>
      <c r="CE214" s="1">
        <f t="shared" si="123"/>
        <v>38.119444444444447</v>
      </c>
      <c r="CF214" s="1">
        <f t="shared" si="123"/>
        <v>38.62777777777778</v>
      </c>
      <c r="CG214" s="1">
        <f t="shared" si="123"/>
        <v>39.133333333333333</v>
      </c>
      <c r="CH214" s="1">
        <f t="shared" si="123"/>
        <v>39.641666666666666</v>
      </c>
      <c r="CI214" s="1">
        <f t="shared" si="123"/>
        <v>40.147222222222226</v>
      </c>
      <c r="CJ214" s="1">
        <f t="shared" si="123"/>
        <v>40.655555555555559</v>
      </c>
      <c r="CK214" s="1">
        <f t="shared" si="123"/>
        <v>41.163888888888891</v>
      </c>
      <c r="CL214" s="1">
        <f t="shared" si="123"/>
        <v>41.672222222222224</v>
      </c>
      <c r="CM214" s="1">
        <f t="shared" si="123"/>
        <v>42.177777777777777</v>
      </c>
      <c r="CN214" s="1">
        <f t="shared" si="123"/>
        <v>42.68611111111111</v>
      </c>
      <c r="CO214" s="1">
        <f t="shared" si="123"/>
        <v>43.19166666666667</v>
      </c>
      <c r="CP214" s="1">
        <f t="shared" si="123"/>
        <v>43.7</v>
      </c>
      <c r="CQ214" s="1">
        <f t="shared" si="123"/>
        <v>44.205555555555556</v>
      </c>
      <c r="CR214" s="1">
        <f t="shared" si="123"/>
        <v>44.713888888888889</v>
      </c>
      <c r="CS214" s="1">
        <f t="shared" si="119"/>
        <v>45.222222222222221</v>
      </c>
      <c r="CT214" s="1">
        <f t="shared" si="119"/>
        <v>45.730555555555554</v>
      </c>
      <c r="CU214" s="1">
        <f t="shared" si="119"/>
        <v>46.236111111111114</v>
      </c>
      <c r="CV214" s="1">
        <f t="shared" si="119"/>
        <v>46.744444444444447</v>
      </c>
      <c r="CW214" s="1">
        <f t="shared" si="119"/>
        <v>47.25</v>
      </c>
      <c r="CX214" s="1">
        <f t="shared" si="119"/>
        <v>47.758333333333333</v>
      </c>
      <c r="CY214" s="1">
        <f t="shared" si="119"/>
        <v>48.263888888888886</v>
      </c>
      <c r="CZ214" s="1">
        <f t="shared" si="119"/>
        <v>48.772222222222226</v>
      </c>
      <c r="DA214" s="1">
        <f t="shared" si="119"/>
        <v>49.280555555555559</v>
      </c>
      <c r="DB214" s="1">
        <f t="shared" si="119"/>
        <v>49.788888888888891</v>
      </c>
      <c r="DC214" s="1">
        <f t="shared" si="119"/>
        <v>49.788888888888891</v>
      </c>
    </row>
    <row r="215" spans="1:107" x14ac:dyDescent="0.25">
      <c r="A215">
        <f t="shared" si="114"/>
        <v>6</v>
      </c>
      <c r="B215" s="2">
        <f>yields_BRUTE!B215</f>
        <v>42314</v>
      </c>
      <c r="C215" s="1">
        <f t="shared" si="124"/>
        <v>-0.69444444444444442</v>
      </c>
      <c r="D215" s="1">
        <f t="shared" si="124"/>
        <v>-0.65555555555555556</v>
      </c>
      <c r="E215" s="1">
        <f t="shared" si="124"/>
        <v>-0.43888888888888888</v>
      </c>
      <c r="F215" s="1">
        <f t="shared" si="124"/>
        <v>-0.18333333333333332</v>
      </c>
      <c r="G215" s="1">
        <f t="shared" si="124"/>
        <v>-0.14444444444444443</v>
      </c>
      <c r="H215" s="1">
        <f t="shared" si="124"/>
        <v>6.9444444444444448E-2</v>
      </c>
      <c r="I215" s="1">
        <f t="shared" si="124"/>
        <v>6.9444444444444448E-2</v>
      </c>
      <c r="J215" s="1">
        <f t="shared" si="124"/>
        <v>0.32222222222222224</v>
      </c>
      <c r="K215" s="1">
        <f t="shared" si="124"/>
        <v>0.3611111111111111</v>
      </c>
      <c r="L215" s="1">
        <f t="shared" si="124"/>
        <v>0.57777777777777772</v>
      </c>
      <c r="M215" s="1">
        <f t="shared" si="124"/>
        <v>0.83333333333333337</v>
      </c>
      <c r="N215" s="1">
        <f t="shared" si="124"/>
        <v>0.83333333333333337</v>
      </c>
      <c r="O215" s="1">
        <f t="shared" si="124"/>
        <v>0.87222222222222223</v>
      </c>
      <c r="P215" s="1">
        <f t="shared" si="124"/>
        <v>1.086111111111111</v>
      </c>
      <c r="Q215" s="1">
        <f t="shared" si="124"/>
        <v>1.375</v>
      </c>
      <c r="R215" s="1">
        <f t="shared" si="124"/>
        <v>1.5916666666666666</v>
      </c>
      <c r="S215" s="1">
        <f t="shared" si="120"/>
        <v>1.8861111111111111</v>
      </c>
      <c r="T215" s="1">
        <f t="shared" si="120"/>
        <v>2.1</v>
      </c>
      <c r="U215" s="1">
        <f t="shared" si="120"/>
        <v>2.3888888888888888</v>
      </c>
      <c r="V215" s="1">
        <f t="shared" si="120"/>
        <v>2.6055555555555556</v>
      </c>
      <c r="W215" s="1">
        <f t="shared" si="120"/>
        <v>2.9</v>
      </c>
      <c r="X215" s="1">
        <f t="shared" si="120"/>
        <v>3.1138888888888889</v>
      </c>
      <c r="Y215" s="1">
        <f t="shared" si="120"/>
        <v>3.4027777777777777</v>
      </c>
      <c r="Z215" s="1">
        <f t="shared" si="120"/>
        <v>3.6194444444444445</v>
      </c>
      <c r="AA215" s="1">
        <f t="shared" si="120"/>
        <v>3.9138888888888888</v>
      </c>
      <c r="AB215" s="1">
        <f t="shared" si="120"/>
        <v>4.1277777777777782</v>
      </c>
      <c r="AC215" s="1">
        <f t="shared" si="120"/>
        <v>4.4194444444444443</v>
      </c>
      <c r="AD215" s="1">
        <f t="shared" si="120"/>
        <v>4.6361111111111111</v>
      </c>
      <c r="AE215" s="1">
        <f t="shared" si="120"/>
        <v>4.6361111111111111</v>
      </c>
      <c r="AF215" s="3">
        <f t="shared" si="120"/>
        <v>4.9305555555555554</v>
      </c>
      <c r="AG215" s="1">
        <f t="shared" si="116"/>
        <v>5.1444444444444448</v>
      </c>
      <c r="AH215" s="1">
        <f t="shared" si="116"/>
        <v>5.4333333333333336</v>
      </c>
      <c r="AI215" s="1">
        <f t="shared" si="116"/>
        <v>5.4333333333333336</v>
      </c>
      <c r="AJ215" s="1">
        <f t="shared" si="116"/>
        <v>5.65</v>
      </c>
      <c r="AK215" s="1">
        <f t="shared" si="116"/>
        <v>5.65</v>
      </c>
      <c r="AL215" s="1">
        <f t="shared" si="116"/>
        <v>6.1583333333333332</v>
      </c>
      <c r="AM215" s="1">
        <f t="shared" si="116"/>
        <v>6.6638888888888888</v>
      </c>
      <c r="AN215" s="1">
        <f t="shared" si="116"/>
        <v>6.6638888888888888</v>
      </c>
      <c r="AO215" s="1">
        <f t="shared" si="116"/>
        <v>7.1722222222222225</v>
      </c>
      <c r="AP215" s="1">
        <f t="shared" si="116"/>
        <v>7.677777777777778</v>
      </c>
      <c r="AQ215" s="1">
        <f t="shared" si="116"/>
        <v>7.677777777777778</v>
      </c>
      <c r="AR215" s="1">
        <f t="shared" si="116"/>
        <v>8.1861111111111118</v>
      </c>
      <c r="AS215" s="1">
        <f t="shared" si="116"/>
        <v>8.6944444444444446</v>
      </c>
      <c r="AT215" s="1">
        <f t="shared" si="116"/>
        <v>9.2027777777777775</v>
      </c>
      <c r="AU215" s="1">
        <f t="shared" si="116"/>
        <v>9.7083333333333339</v>
      </c>
      <c r="AV215" s="1">
        <f t="shared" si="116"/>
        <v>9.7083333333333339</v>
      </c>
      <c r="AW215" s="1">
        <f t="shared" si="121"/>
        <v>14.275</v>
      </c>
      <c r="AX215" s="1">
        <f t="shared" si="117"/>
        <v>14.780555555555555</v>
      </c>
      <c r="AY215" s="1">
        <f t="shared" si="117"/>
        <v>15.28888888888889</v>
      </c>
      <c r="AZ215" s="1">
        <f t="shared" si="117"/>
        <v>15.794444444444444</v>
      </c>
      <c r="BA215" s="1">
        <f t="shared" si="117"/>
        <v>16.302777777777777</v>
      </c>
      <c r="BB215" s="1">
        <f t="shared" si="117"/>
        <v>16.81111111111111</v>
      </c>
      <c r="BC215" s="1">
        <f t="shared" si="117"/>
        <v>17.319444444444443</v>
      </c>
      <c r="BD215" s="1">
        <f t="shared" si="117"/>
        <v>17.824999999999999</v>
      </c>
      <c r="BE215" s="1">
        <f t="shared" si="117"/>
        <v>17.824999999999999</v>
      </c>
      <c r="BF215" s="1">
        <f t="shared" si="117"/>
        <v>26.45</v>
      </c>
      <c r="BG215" s="1">
        <f t="shared" si="117"/>
        <v>26.955555555555556</v>
      </c>
      <c r="BH215" s="1">
        <f t="shared" si="117"/>
        <v>27.463888888888889</v>
      </c>
      <c r="BI215" s="1">
        <f t="shared" si="117"/>
        <v>27.969444444444445</v>
      </c>
      <c r="BJ215" s="1">
        <f t="shared" si="117"/>
        <v>28.477777777777778</v>
      </c>
      <c r="BK215" s="1">
        <f t="shared" si="117"/>
        <v>28.986111111111111</v>
      </c>
      <c r="BL215" s="1">
        <f t="shared" si="117"/>
        <v>29.494444444444444</v>
      </c>
      <c r="BM215" s="1">
        <f t="shared" si="117"/>
        <v>30</v>
      </c>
      <c r="BN215" s="1">
        <f t="shared" si="122"/>
        <v>30.508333333333333</v>
      </c>
      <c r="BO215" s="1">
        <f t="shared" si="118"/>
        <v>30.508333333333333</v>
      </c>
      <c r="BP215" s="1">
        <f t="shared" si="118"/>
        <v>31.013888888888889</v>
      </c>
      <c r="BQ215" s="1">
        <f t="shared" si="118"/>
        <v>31.522222222222222</v>
      </c>
      <c r="BR215" s="1">
        <f t="shared" si="118"/>
        <v>32.027777777777779</v>
      </c>
      <c r="BS215" s="1">
        <f t="shared" si="118"/>
        <v>32.536111111111111</v>
      </c>
      <c r="BT215" s="1">
        <f t="shared" si="118"/>
        <v>33.044444444444444</v>
      </c>
      <c r="BU215" s="1">
        <f t="shared" si="118"/>
        <v>33.552777777777777</v>
      </c>
      <c r="BV215" s="1">
        <f t="shared" si="118"/>
        <v>33.552777777777777</v>
      </c>
      <c r="BW215" s="1">
        <f t="shared" si="118"/>
        <v>34.05833333333333</v>
      </c>
      <c r="BX215" s="1">
        <f t="shared" si="118"/>
        <v>34.56666666666667</v>
      </c>
      <c r="BY215" s="1">
        <f t="shared" si="118"/>
        <v>35.072222222222223</v>
      </c>
      <c r="BZ215" s="1">
        <f t="shared" si="118"/>
        <v>35.580555555555556</v>
      </c>
      <c r="CA215" s="1">
        <f t="shared" si="118"/>
        <v>36.086111111111109</v>
      </c>
      <c r="CB215" s="1">
        <f t="shared" si="118"/>
        <v>36.594444444444441</v>
      </c>
      <c r="CC215" s="1">
        <f t="shared" si="118"/>
        <v>37.102777777777774</v>
      </c>
      <c r="CD215" s="1">
        <f t="shared" si="118"/>
        <v>37.611111111111114</v>
      </c>
      <c r="CE215" s="1">
        <f t="shared" si="123"/>
        <v>38.116666666666667</v>
      </c>
      <c r="CF215" s="1">
        <f t="shared" si="123"/>
        <v>38.625</v>
      </c>
      <c r="CG215" s="1">
        <f t="shared" si="123"/>
        <v>39.130555555555553</v>
      </c>
      <c r="CH215" s="1">
        <f t="shared" si="123"/>
        <v>39.638888888888886</v>
      </c>
      <c r="CI215" s="1">
        <f t="shared" si="123"/>
        <v>40.144444444444446</v>
      </c>
      <c r="CJ215" s="1">
        <f t="shared" si="123"/>
        <v>40.652777777777779</v>
      </c>
      <c r="CK215" s="1">
        <f t="shared" si="123"/>
        <v>41.161111111111111</v>
      </c>
      <c r="CL215" s="1">
        <f t="shared" si="123"/>
        <v>41.669444444444444</v>
      </c>
      <c r="CM215" s="1">
        <f t="shared" si="123"/>
        <v>42.174999999999997</v>
      </c>
      <c r="CN215" s="1">
        <f t="shared" si="123"/>
        <v>42.68333333333333</v>
      </c>
      <c r="CO215" s="1">
        <f t="shared" si="123"/>
        <v>43.18888888888889</v>
      </c>
      <c r="CP215" s="1">
        <f t="shared" si="123"/>
        <v>43.697222222222223</v>
      </c>
      <c r="CQ215" s="1">
        <f t="shared" si="123"/>
        <v>44.202777777777776</v>
      </c>
      <c r="CR215" s="1">
        <f t="shared" si="123"/>
        <v>44.711111111111109</v>
      </c>
      <c r="CS215" s="1">
        <f t="shared" si="119"/>
        <v>45.219444444444441</v>
      </c>
      <c r="CT215" s="1">
        <f t="shared" si="119"/>
        <v>45.727777777777774</v>
      </c>
      <c r="CU215" s="1">
        <f t="shared" si="119"/>
        <v>46.233333333333334</v>
      </c>
      <c r="CV215" s="1">
        <f t="shared" si="119"/>
        <v>46.741666666666667</v>
      </c>
      <c r="CW215" s="1">
        <f t="shared" si="119"/>
        <v>47.24722222222222</v>
      </c>
      <c r="CX215" s="1">
        <f t="shared" si="119"/>
        <v>47.755555555555553</v>
      </c>
      <c r="CY215" s="1">
        <f t="shared" si="119"/>
        <v>48.261111111111113</v>
      </c>
      <c r="CZ215" s="1">
        <f t="shared" si="119"/>
        <v>48.769444444444446</v>
      </c>
      <c r="DA215" s="1">
        <f t="shared" si="119"/>
        <v>49.277777777777779</v>
      </c>
      <c r="DB215" s="1">
        <f t="shared" si="119"/>
        <v>49.786111111111111</v>
      </c>
      <c r="DC215" s="1">
        <f t="shared" si="119"/>
        <v>49.786111111111111</v>
      </c>
    </row>
    <row r="216" spans="1:107" x14ac:dyDescent="0.25">
      <c r="A216">
        <f t="shared" si="114"/>
        <v>2</v>
      </c>
      <c r="B216" s="2">
        <f>yields_BRUTE!B216</f>
        <v>42317</v>
      </c>
      <c r="C216" s="1">
        <f t="shared" si="124"/>
        <v>-0.70277777777777772</v>
      </c>
      <c r="D216" s="1">
        <f t="shared" si="124"/>
        <v>-0.66388888888888886</v>
      </c>
      <c r="E216" s="1">
        <f t="shared" si="124"/>
        <v>-0.44722222222222224</v>
      </c>
      <c r="F216" s="1">
        <f t="shared" si="124"/>
        <v>-0.19166666666666668</v>
      </c>
      <c r="G216" s="1">
        <f t="shared" si="124"/>
        <v>-0.15277777777777779</v>
      </c>
      <c r="H216" s="1">
        <f t="shared" si="124"/>
        <v>6.1111111111111109E-2</v>
      </c>
      <c r="I216" s="1">
        <f t="shared" si="124"/>
        <v>6.1111111111111109E-2</v>
      </c>
      <c r="J216" s="1">
        <f t="shared" si="124"/>
        <v>0.31388888888888888</v>
      </c>
      <c r="K216" s="1">
        <f t="shared" si="124"/>
        <v>0.3527777777777778</v>
      </c>
      <c r="L216" s="1">
        <f t="shared" si="124"/>
        <v>0.56944444444444442</v>
      </c>
      <c r="M216" s="1">
        <f t="shared" si="124"/>
        <v>0.82499999999999996</v>
      </c>
      <c r="N216" s="1">
        <f t="shared" si="124"/>
        <v>0.82499999999999996</v>
      </c>
      <c r="O216" s="1">
        <f t="shared" si="124"/>
        <v>0.86388888888888893</v>
      </c>
      <c r="P216" s="1">
        <f t="shared" si="124"/>
        <v>1.0777777777777777</v>
      </c>
      <c r="Q216" s="1">
        <f t="shared" si="124"/>
        <v>1.3666666666666667</v>
      </c>
      <c r="R216" s="1">
        <f t="shared" si="124"/>
        <v>1.5833333333333333</v>
      </c>
      <c r="S216" s="1">
        <f t="shared" si="120"/>
        <v>1.8777777777777778</v>
      </c>
      <c r="T216" s="1">
        <f t="shared" si="120"/>
        <v>2.0916666666666668</v>
      </c>
      <c r="U216" s="1">
        <f t="shared" si="120"/>
        <v>2.3805555555555555</v>
      </c>
      <c r="V216" s="1">
        <f t="shared" si="120"/>
        <v>2.5972222222222223</v>
      </c>
      <c r="W216" s="1">
        <f t="shared" si="120"/>
        <v>2.8916666666666666</v>
      </c>
      <c r="X216" s="1">
        <f t="shared" si="120"/>
        <v>3.1055555555555556</v>
      </c>
      <c r="Y216" s="1">
        <f t="shared" si="120"/>
        <v>3.3944444444444444</v>
      </c>
      <c r="Z216" s="1">
        <f t="shared" si="120"/>
        <v>3.6111111111111112</v>
      </c>
      <c r="AA216" s="1">
        <f t="shared" si="120"/>
        <v>3.9055555555555554</v>
      </c>
      <c r="AB216" s="1">
        <f t="shared" si="120"/>
        <v>4.1194444444444445</v>
      </c>
      <c r="AC216" s="1">
        <f t="shared" si="120"/>
        <v>4.4111111111111114</v>
      </c>
      <c r="AD216" s="1">
        <f t="shared" si="120"/>
        <v>4.6277777777777782</v>
      </c>
      <c r="AE216" s="1">
        <f t="shared" si="120"/>
        <v>4.6277777777777782</v>
      </c>
      <c r="AF216" s="3">
        <f t="shared" si="120"/>
        <v>4.9222222222222225</v>
      </c>
      <c r="AG216" s="1">
        <f t="shared" si="116"/>
        <v>5.1361111111111111</v>
      </c>
      <c r="AH216" s="1">
        <f t="shared" si="116"/>
        <v>5.4249999999999998</v>
      </c>
      <c r="AI216" s="1">
        <f t="shared" si="116"/>
        <v>5.4249999999999998</v>
      </c>
      <c r="AJ216" s="1">
        <f t="shared" si="116"/>
        <v>5.6416666666666666</v>
      </c>
      <c r="AK216" s="1">
        <f t="shared" si="116"/>
        <v>5.6416666666666666</v>
      </c>
      <c r="AL216" s="1">
        <f t="shared" si="116"/>
        <v>6.15</v>
      </c>
      <c r="AM216" s="1">
        <f t="shared" si="116"/>
        <v>6.6555555555555559</v>
      </c>
      <c r="AN216" s="1">
        <f t="shared" si="116"/>
        <v>6.6555555555555559</v>
      </c>
      <c r="AO216" s="1">
        <f t="shared" si="116"/>
        <v>7.1638888888888888</v>
      </c>
      <c r="AP216" s="1">
        <f t="shared" si="116"/>
        <v>7.6694444444444443</v>
      </c>
      <c r="AQ216" s="1">
        <f t="shared" si="116"/>
        <v>7.6694444444444443</v>
      </c>
      <c r="AR216" s="1">
        <f t="shared" si="116"/>
        <v>8.1777777777777771</v>
      </c>
      <c r="AS216" s="1">
        <f t="shared" si="116"/>
        <v>8.6861111111111118</v>
      </c>
      <c r="AT216" s="1">
        <f t="shared" si="116"/>
        <v>9.1944444444444446</v>
      </c>
      <c r="AU216" s="1">
        <f t="shared" si="116"/>
        <v>9.6999999999999993</v>
      </c>
      <c r="AV216" s="1">
        <f t="shared" si="116"/>
        <v>9.6999999999999993</v>
      </c>
      <c r="AW216" s="1">
        <f t="shared" si="121"/>
        <v>14.266666666666667</v>
      </c>
      <c r="AX216" s="1">
        <f t="shared" si="117"/>
        <v>14.772222222222222</v>
      </c>
      <c r="AY216" s="1">
        <f t="shared" si="117"/>
        <v>15.280555555555555</v>
      </c>
      <c r="AZ216" s="1">
        <f t="shared" si="117"/>
        <v>15.786111111111111</v>
      </c>
      <c r="BA216" s="1">
        <f t="shared" si="117"/>
        <v>16.294444444444444</v>
      </c>
      <c r="BB216" s="1">
        <f t="shared" si="117"/>
        <v>16.802777777777777</v>
      </c>
      <c r="BC216" s="1">
        <f t="shared" si="117"/>
        <v>17.31111111111111</v>
      </c>
      <c r="BD216" s="1">
        <f t="shared" si="117"/>
        <v>17.816666666666666</v>
      </c>
      <c r="BE216" s="1">
        <f t="shared" si="117"/>
        <v>17.816666666666666</v>
      </c>
      <c r="BF216" s="1">
        <f t="shared" si="117"/>
        <v>26.441666666666666</v>
      </c>
      <c r="BG216" s="1">
        <f t="shared" si="117"/>
        <v>26.947222222222223</v>
      </c>
      <c r="BH216" s="1">
        <f t="shared" si="117"/>
        <v>27.455555555555556</v>
      </c>
      <c r="BI216" s="1">
        <f t="shared" si="117"/>
        <v>27.961111111111112</v>
      </c>
      <c r="BJ216" s="1">
        <f t="shared" si="117"/>
        <v>28.469444444444445</v>
      </c>
      <c r="BK216" s="1">
        <f t="shared" si="117"/>
        <v>28.977777777777778</v>
      </c>
      <c r="BL216" s="1">
        <f t="shared" si="117"/>
        <v>29.486111111111111</v>
      </c>
      <c r="BM216" s="1">
        <f t="shared" si="117"/>
        <v>29.991666666666667</v>
      </c>
      <c r="BN216" s="1">
        <f t="shared" si="122"/>
        <v>30.5</v>
      </c>
      <c r="BO216" s="1">
        <f t="shared" si="118"/>
        <v>30.5</v>
      </c>
      <c r="BP216" s="1">
        <f t="shared" si="118"/>
        <v>31.005555555555556</v>
      </c>
      <c r="BQ216" s="1">
        <f t="shared" si="118"/>
        <v>31.513888888888889</v>
      </c>
      <c r="BR216" s="1">
        <f t="shared" si="118"/>
        <v>32.019444444444446</v>
      </c>
      <c r="BS216" s="1">
        <f t="shared" si="118"/>
        <v>32.527777777777779</v>
      </c>
      <c r="BT216" s="1">
        <f t="shared" si="118"/>
        <v>33.036111111111111</v>
      </c>
      <c r="BU216" s="1">
        <f t="shared" si="118"/>
        <v>33.544444444444444</v>
      </c>
      <c r="BV216" s="1">
        <f t="shared" si="118"/>
        <v>33.544444444444444</v>
      </c>
      <c r="BW216" s="1">
        <f t="shared" si="118"/>
        <v>34.049999999999997</v>
      </c>
      <c r="BX216" s="1">
        <f t="shared" si="118"/>
        <v>34.55833333333333</v>
      </c>
      <c r="BY216" s="1">
        <f t="shared" si="118"/>
        <v>35.06388888888889</v>
      </c>
      <c r="BZ216" s="1">
        <f t="shared" si="118"/>
        <v>35.572222222222223</v>
      </c>
      <c r="CA216" s="1">
        <f t="shared" si="118"/>
        <v>36.077777777777776</v>
      </c>
      <c r="CB216" s="1">
        <f t="shared" si="118"/>
        <v>36.586111111111109</v>
      </c>
      <c r="CC216" s="1">
        <f t="shared" si="118"/>
        <v>37.094444444444441</v>
      </c>
      <c r="CD216" s="1">
        <f t="shared" si="118"/>
        <v>37.602777777777774</v>
      </c>
      <c r="CE216" s="1">
        <f t="shared" si="123"/>
        <v>38.108333333333334</v>
      </c>
      <c r="CF216" s="1">
        <f t="shared" si="123"/>
        <v>38.616666666666667</v>
      </c>
      <c r="CG216" s="1">
        <f t="shared" si="123"/>
        <v>39.12222222222222</v>
      </c>
      <c r="CH216" s="1">
        <f t="shared" si="123"/>
        <v>39.630555555555553</v>
      </c>
      <c r="CI216" s="1">
        <f t="shared" si="123"/>
        <v>40.136111111111113</v>
      </c>
      <c r="CJ216" s="1">
        <f t="shared" si="123"/>
        <v>40.644444444444446</v>
      </c>
      <c r="CK216" s="1">
        <f t="shared" si="123"/>
        <v>41.152777777777779</v>
      </c>
      <c r="CL216" s="1">
        <f t="shared" si="123"/>
        <v>41.661111111111111</v>
      </c>
      <c r="CM216" s="1">
        <f t="shared" si="123"/>
        <v>42.166666666666664</v>
      </c>
      <c r="CN216" s="1">
        <f t="shared" si="123"/>
        <v>42.674999999999997</v>
      </c>
      <c r="CO216" s="1">
        <f t="shared" si="123"/>
        <v>43.180555555555557</v>
      </c>
      <c r="CP216" s="1">
        <f t="shared" si="123"/>
        <v>43.68888888888889</v>
      </c>
      <c r="CQ216" s="1">
        <f t="shared" si="123"/>
        <v>44.194444444444443</v>
      </c>
      <c r="CR216" s="1">
        <f t="shared" si="123"/>
        <v>44.702777777777776</v>
      </c>
      <c r="CS216" s="1">
        <f t="shared" si="119"/>
        <v>45.211111111111109</v>
      </c>
      <c r="CT216" s="1">
        <f t="shared" si="119"/>
        <v>45.719444444444441</v>
      </c>
      <c r="CU216" s="1">
        <f t="shared" si="119"/>
        <v>46.225000000000001</v>
      </c>
      <c r="CV216" s="1">
        <f t="shared" si="119"/>
        <v>46.733333333333334</v>
      </c>
      <c r="CW216" s="1">
        <f t="shared" si="119"/>
        <v>47.238888888888887</v>
      </c>
      <c r="CX216" s="1">
        <f t="shared" si="119"/>
        <v>47.74722222222222</v>
      </c>
      <c r="CY216" s="1">
        <f t="shared" si="119"/>
        <v>48.25277777777778</v>
      </c>
      <c r="CZ216" s="1">
        <f t="shared" si="119"/>
        <v>48.761111111111113</v>
      </c>
      <c r="DA216" s="1">
        <f t="shared" si="119"/>
        <v>49.269444444444446</v>
      </c>
      <c r="DB216" s="1">
        <f t="shared" si="119"/>
        <v>49.777777777777779</v>
      </c>
      <c r="DC216" s="1">
        <f t="shared" si="119"/>
        <v>49.777777777777779</v>
      </c>
    </row>
    <row r="217" spans="1:107" x14ac:dyDescent="0.25">
      <c r="A217">
        <f t="shared" si="114"/>
        <v>3</v>
      </c>
      <c r="B217" s="2">
        <f>yields_BRUTE!B217</f>
        <v>42318</v>
      </c>
      <c r="C217" s="1">
        <f t="shared" si="124"/>
        <v>-0.7055555555555556</v>
      </c>
      <c r="D217" s="1">
        <f t="shared" si="124"/>
        <v>-0.66666666666666663</v>
      </c>
      <c r="E217" s="1">
        <f t="shared" si="124"/>
        <v>-0.45</v>
      </c>
      <c r="F217" s="1">
        <f t="shared" si="124"/>
        <v>-0.19444444444444445</v>
      </c>
      <c r="G217" s="1">
        <f t="shared" si="124"/>
        <v>-0.15555555555555556</v>
      </c>
      <c r="H217" s="1">
        <f t="shared" si="124"/>
        <v>5.8333333333333334E-2</v>
      </c>
      <c r="I217" s="1">
        <f t="shared" si="124"/>
        <v>5.8333333333333334E-2</v>
      </c>
      <c r="J217" s="1">
        <f t="shared" si="124"/>
        <v>0.31111111111111112</v>
      </c>
      <c r="K217" s="1">
        <f t="shared" si="124"/>
        <v>0.35</v>
      </c>
      <c r="L217" s="1">
        <f t="shared" si="124"/>
        <v>0.56666666666666665</v>
      </c>
      <c r="M217" s="1">
        <f t="shared" si="124"/>
        <v>0.82222222222222219</v>
      </c>
      <c r="N217" s="1">
        <f t="shared" si="124"/>
        <v>0.82222222222222219</v>
      </c>
      <c r="O217" s="1">
        <f t="shared" si="124"/>
        <v>0.86111111111111116</v>
      </c>
      <c r="P217" s="1">
        <f t="shared" si="124"/>
        <v>1.075</v>
      </c>
      <c r="Q217" s="1">
        <f t="shared" si="124"/>
        <v>1.3638888888888889</v>
      </c>
      <c r="R217" s="1">
        <f t="shared" si="124"/>
        <v>1.5805555555555555</v>
      </c>
      <c r="S217" s="1">
        <f t="shared" si="120"/>
        <v>1.875</v>
      </c>
      <c r="T217" s="1">
        <f t="shared" si="120"/>
        <v>2.088888888888889</v>
      </c>
      <c r="U217" s="1">
        <f t="shared" si="120"/>
        <v>2.3777777777777778</v>
      </c>
      <c r="V217" s="1">
        <f t="shared" si="120"/>
        <v>2.5944444444444446</v>
      </c>
      <c r="W217" s="1">
        <f t="shared" si="120"/>
        <v>2.8888888888888888</v>
      </c>
      <c r="X217" s="1">
        <f t="shared" si="120"/>
        <v>3.1027777777777779</v>
      </c>
      <c r="Y217" s="1">
        <f t="shared" si="120"/>
        <v>3.3916666666666666</v>
      </c>
      <c r="Z217" s="1">
        <f t="shared" si="120"/>
        <v>3.6083333333333334</v>
      </c>
      <c r="AA217" s="1">
        <f t="shared" si="120"/>
        <v>3.9027777777777777</v>
      </c>
      <c r="AB217" s="1">
        <f t="shared" si="120"/>
        <v>4.1166666666666663</v>
      </c>
      <c r="AC217" s="1">
        <f t="shared" si="120"/>
        <v>4.4083333333333332</v>
      </c>
      <c r="AD217" s="1">
        <f t="shared" si="120"/>
        <v>4.625</v>
      </c>
      <c r="AE217" s="1">
        <f t="shared" si="120"/>
        <v>4.625</v>
      </c>
      <c r="AF217" s="3">
        <f t="shared" si="120"/>
        <v>4.9194444444444443</v>
      </c>
      <c r="AG217" s="1">
        <f t="shared" si="116"/>
        <v>5.1333333333333337</v>
      </c>
      <c r="AH217" s="1">
        <f t="shared" si="116"/>
        <v>5.4222222222222225</v>
      </c>
      <c r="AI217" s="1">
        <f t="shared" si="116"/>
        <v>5.4222222222222225</v>
      </c>
      <c r="AJ217" s="1">
        <f t="shared" si="116"/>
        <v>5.6388888888888893</v>
      </c>
      <c r="AK217" s="1">
        <f t="shared" si="116"/>
        <v>5.6388888888888893</v>
      </c>
      <c r="AL217" s="1">
        <f t="shared" si="116"/>
        <v>6.1472222222222221</v>
      </c>
      <c r="AM217" s="1">
        <f t="shared" si="116"/>
        <v>6.6527777777777777</v>
      </c>
      <c r="AN217" s="1">
        <f t="shared" si="116"/>
        <v>6.6527777777777777</v>
      </c>
      <c r="AO217" s="1">
        <f t="shared" si="116"/>
        <v>7.1611111111111114</v>
      </c>
      <c r="AP217" s="1">
        <f t="shared" si="116"/>
        <v>7.666666666666667</v>
      </c>
      <c r="AQ217" s="1">
        <f t="shared" si="116"/>
        <v>7.666666666666667</v>
      </c>
      <c r="AR217" s="1">
        <f t="shared" si="116"/>
        <v>8.1750000000000007</v>
      </c>
      <c r="AS217" s="1">
        <f t="shared" si="116"/>
        <v>8.6833333333333336</v>
      </c>
      <c r="AT217" s="1">
        <f t="shared" si="116"/>
        <v>9.1916666666666664</v>
      </c>
      <c r="AU217" s="1">
        <f t="shared" si="116"/>
        <v>9.6972222222222229</v>
      </c>
      <c r="AV217" s="1">
        <f t="shared" si="116"/>
        <v>9.6972222222222229</v>
      </c>
      <c r="AW217" s="1">
        <f t="shared" si="121"/>
        <v>14.263888888888889</v>
      </c>
      <c r="AX217" s="1">
        <f t="shared" si="117"/>
        <v>14.769444444444444</v>
      </c>
      <c r="AY217" s="1">
        <f t="shared" si="117"/>
        <v>15.277777777777779</v>
      </c>
      <c r="AZ217" s="1">
        <f t="shared" si="117"/>
        <v>15.783333333333333</v>
      </c>
      <c r="BA217" s="1">
        <f t="shared" si="117"/>
        <v>16.291666666666668</v>
      </c>
      <c r="BB217" s="1">
        <f t="shared" si="117"/>
        <v>16.8</v>
      </c>
      <c r="BC217" s="1">
        <f t="shared" si="117"/>
        <v>17.308333333333334</v>
      </c>
      <c r="BD217" s="1">
        <f t="shared" si="117"/>
        <v>17.81388888888889</v>
      </c>
      <c r="BE217" s="1">
        <f t="shared" si="117"/>
        <v>17.81388888888889</v>
      </c>
      <c r="BF217" s="1">
        <f t="shared" si="117"/>
        <v>26.43888888888889</v>
      </c>
      <c r="BG217" s="1">
        <f t="shared" si="117"/>
        <v>26.944444444444443</v>
      </c>
      <c r="BH217" s="1">
        <f t="shared" si="117"/>
        <v>27.452777777777779</v>
      </c>
      <c r="BI217" s="1">
        <f t="shared" si="117"/>
        <v>27.958333333333332</v>
      </c>
      <c r="BJ217" s="1">
        <f t="shared" si="117"/>
        <v>28.466666666666665</v>
      </c>
      <c r="BK217" s="1">
        <f t="shared" si="117"/>
        <v>28.975000000000001</v>
      </c>
      <c r="BL217" s="1">
        <f t="shared" si="117"/>
        <v>29.483333333333334</v>
      </c>
      <c r="BM217" s="1">
        <f t="shared" si="117"/>
        <v>29.988888888888887</v>
      </c>
      <c r="BN217" s="1">
        <f t="shared" si="122"/>
        <v>30.497222222222224</v>
      </c>
      <c r="BO217" s="1">
        <f t="shared" si="118"/>
        <v>30.497222222222224</v>
      </c>
      <c r="BP217" s="1">
        <f t="shared" si="118"/>
        <v>31.002777777777776</v>
      </c>
      <c r="BQ217" s="1">
        <f t="shared" si="118"/>
        <v>31.511111111111113</v>
      </c>
      <c r="BR217" s="1">
        <f t="shared" si="118"/>
        <v>32.016666666666666</v>
      </c>
      <c r="BS217" s="1">
        <f t="shared" si="118"/>
        <v>32.524999999999999</v>
      </c>
      <c r="BT217" s="1">
        <f t="shared" si="118"/>
        <v>33.033333333333331</v>
      </c>
      <c r="BU217" s="1">
        <f t="shared" si="118"/>
        <v>33.541666666666664</v>
      </c>
      <c r="BV217" s="1">
        <f t="shared" si="118"/>
        <v>33.541666666666664</v>
      </c>
      <c r="BW217" s="1">
        <f t="shared" si="118"/>
        <v>34.047222222222224</v>
      </c>
      <c r="BX217" s="1">
        <f t="shared" si="118"/>
        <v>34.555555555555557</v>
      </c>
      <c r="BY217" s="1">
        <f t="shared" si="118"/>
        <v>35.06111111111111</v>
      </c>
      <c r="BZ217" s="1">
        <f t="shared" si="118"/>
        <v>35.569444444444443</v>
      </c>
      <c r="CA217" s="1">
        <f t="shared" si="118"/>
        <v>36.075000000000003</v>
      </c>
      <c r="CB217" s="1">
        <f t="shared" si="118"/>
        <v>36.583333333333336</v>
      </c>
      <c r="CC217" s="1">
        <f t="shared" si="118"/>
        <v>37.091666666666669</v>
      </c>
      <c r="CD217" s="1">
        <f t="shared" si="118"/>
        <v>37.6</v>
      </c>
      <c r="CE217" s="1">
        <f t="shared" si="123"/>
        <v>38.105555555555554</v>
      </c>
      <c r="CF217" s="1">
        <f t="shared" si="123"/>
        <v>38.613888888888887</v>
      </c>
      <c r="CG217" s="1">
        <f t="shared" si="123"/>
        <v>39.119444444444447</v>
      </c>
      <c r="CH217" s="1">
        <f t="shared" si="123"/>
        <v>39.62777777777778</v>
      </c>
      <c r="CI217" s="1">
        <f t="shared" si="123"/>
        <v>40.133333333333333</v>
      </c>
      <c r="CJ217" s="1">
        <f t="shared" si="123"/>
        <v>40.641666666666666</v>
      </c>
      <c r="CK217" s="1">
        <f t="shared" si="123"/>
        <v>41.15</v>
      </c>
      <c r="CL217" s="1">
        <f t="shared" si="123"/>
        <v>41.658333333333331</v>
      </c>
      <c r="CM217" s="1">
        <f t="shared" si="123"/>
        <v>42.163888888888891</v>
      </c>
      <c r="CN217" s="1">
        <f t="shared" si="123"/>
        <v>42.672222222222224</v>
      </c>
      <c r="CO217" s="1">
        <f t="shared" si="123"/>
        <v>43.177777777777777</v>
      </c>
      <c r="CP217" s="1">
        <f t="shared" si="123"/>
        <v>43.68611111111111</v>
      </c>
      <c r="CQ217" s="1">
        <f t="shared" si="123"/>
        <v>44.19166666666667</v>
      </c>
      <c r="CR217" s="1">
        <f t="shared" si="123"/>
        <v>44.7</v>
      </c>
      <c r="CS217" s="1">
        <f t="shared" si="119"/>
        <v>45.208333333333336</v>
      </c>
      <c r="CT217" s="1">
        <f t="shared" si="119"/>
        <v>45.716666666666669</v>
      </c>
      <c r="CU217" s="1">
        <f t="shared" si="119"/>
        <v>46.222222222222221</v>
      </c>
      <c r="CV217" s="1">
        <f t="shared" si="119"/>
        <v>46.730555555555554</v>
      </c>
      <c r="CW217" s="1">
        <f t="shared" si="119"/>
        <v>47.236111111111114</v>
      </c>
      <c r="CX217" s="1">
        <f t="shared" si="119"/>
        <v>47.744444444444447</v>
      </c>
      <c r="CY217" s="1">
        <f t="shared" si="119"/>
        <v>48.25</v>
      </c>
      <c r="CZ217" s="1">
        <f t="shared" si="119"/>
        <v>48.758333333333333</v>
      </c>
      <c r="DA217" s="1">
        <f t="shared" si="119"/>
        <v>49.266666666666666</v>
      </c>
      <c r="DB217" s="1">
        <f t="shared" si="119"/>
        <v>49.774999999999999</v>
      </c>
      <c r="DC217" s="1">
        <f t="shared" si="119"/>
        <v>49.774999999999999</v>
      </c>
    </row>
    <row r="218" spans="1:107" x14ac:dyDescent="0.25">
      <c r="A218">
        <f t="shared" si="114"/>
        <v>5</v>
      </c>
      <c r="B218" s="2">
        <f>yields_BRUTE!B218</f>
        <v>42320</v>
      </c>
      <c r="C218" s="1">
        <f t="shared" si="124"/>
        <v>-0.71111111111111114</v>
      </c>
      <c r="D218" s="1">
        <f t="shared" si="124"/>
        <v>-0.67222222222222228</v>
      </c>
      <c r="E218" s="1">
        <f t="shared" si="124"/>
        <v>-0.45555555555555555</v>
      </c>
      <c r="F218" s="1">
        <f t="shared" si="124"/>
        <v>-0.2</v>
      </c>
      <c r="G218" s="1">
        <f t="shared" si="124"/>
        <v>-0.16111111111111112</v>
      </c>
      <c r="H218" s="1">
        <f t="shared" si="124"/>
        <v>5.2777777777777778E-2</v>
      </c>
      <c r="I218" s="1">
        <f t="shared" si="124"/>
        <v>5.2777777777777778E-2</v>
      </c>
      <c r="J218" s="1">
        <f t="shared" si="124"/>
        <v>0.30555555555555558</v>
      </c>
      <c r="K218" s="1">
        <f t="shared" si="124"/>
        <v>0.34444444444444444</v>
      </c>
      <c r="L218" s="1">
        <f t="shared" si="124"/>
        <v>0.56111111111111112</v>
      </c>
      <c r="M218" s="1">
        <f t="shared" si="124"/>
        <v>0.81666666666666665</v>
      </c>
      <c r="N218" s="1">
        <f t="shared" si="124"/>
        <v>0.81666666666666665</v>
      </c>
      <c r="O218" s="1">
        <f t="shared" si="124"/>
        <v>0.85555555555555551</v>
      </c>
      <c r="P218" s="1">
        <f t="shared" si="124"/>
        <v>1.0694444444444444</v>
      </c>
      <c r="Q218" s="1">
        <f t="shared" si="124"/>
        <v>1.3583333333333334</v>
      </c>
      <c r="R218" s="1">
        <f t="shared" si="124"/>
        <v>1.575</v>
      </c>
      <c r="S218" s="1">
        <f t="shared" si="120"/>
        <v>1.8694444444444445</v>
      </c>
      <c r="T218" s="1">
        <f t="shared" si="120"/>
        <v>2.0833333333333335</v>
      </c>
      <c r="U218" s="1">
        <f t="shared" si="120"/>
        <v>2.3722222222222222</v>
      </c>
      <c r="V218" s="1">
        <f t="shared" si="120"/>
        <v>2.588888888888889</v>
      </c>
      <c r="W218" s="1">
        <f t="shared" si="120"/>
        <v>2.8833333333333333</v>
      </c>
      <c r="X218" s="1">
        <f t="shared" si="120"/>
        <v>3.0972222222222223</v>
      </c>
      <c r="Y218" s="1">
        <f t="shared" si="120"/>
        <v>3.3861111111111111</v>
      </c>
      <c r="Z218" s="1">
        <f t="shared" si="120"/>
        <v>3.6027777777777779</v>
      </c>
      <c r="AA218" s="1">
        <f t="shared" si="120"/>
        <v>3.8972222222222221</v>
      </c>
      <c r="AB218" s="1">
        <f t="shared" si="120"/>
        <v>4.1111111111111107</v>
      </c>
      <c r="AC218" s="1">
        <f t="shared" si="120"/>
        <v>4.4027777777777777</v>
      </c>
      <c r="AD218" s="1">
        <f t="shared" si="120"/>
        <v>4.6194444444444445</v>
      </c>
      <c r="AE218" s="1">
        <f t="shared" si="120"/>
        <v>4.6194444444444445</v>
      </c>
      <c r="AF218" s="3">
        <f t="shared" si="120"/>
        <v>4.9138888888888888</v>
      </c>
      <c r="AG218" s="1">
        <f t="shared" si="116"/>
        <v>5.1277777777777782</v>
      </c>
      <c r="AH218" s="1">
        <f t="shared" si="116"/>
        <v>5.416666666666667</v>
      </c>
      <c r="AI218" s="1">
        <f t="shared" si="116"/>
        <v>5.416666666666667</v>
      </c>
      <c r="AJ218" s="1">
        <f t="shared" si="116"/>
        <v>5.6333333333333337</v>
      </c>
      <c r="AK218" s="1">
        <f t="shared" si="116"/>
        <v>5.6333333333333337</v>
      </c>
      <c r="AL218" s="1">
        <f t="shared" si="116"/>
        <v>6.1416666666666666</v>
      </c>
      <c r="AM218" s="1">
        <f t="shared" si="116"/>
        <v>6.6472222222222221</v>
      </c>
      <c r="AN218" s="1">
        <f t="shared" si="116"/>
        <v>6.6472222222222221</v>
      </c>
      <c r="AO218" s="1">
        <f t="shared" si="116"/>
        <v>7.1555555555555559</v>
      </c>
      <c r="AP218" s="1">
        <f t="shared" si="116"/>
        <v>7.6611111111111114</v>
      </c>
      <c r="AQ218" s="1">
        <f t="shared" si="116"/>
        <v>7.6611111111111114</v>
      </c>
      <c r="AR218" s="1">
        <f t="shared" si="116"/>
        <v>8.1694444444444443</v>
      </c>
      <c r="AS218" s="1">
        <f t="shared" si="116"/>
        <v>8.6777777777777771</v>
      </c>
      <c r="AT218" s="1">
        <f t="shared" si="116"/>
        <v>9.1861111111111118</v>
      </c>
      <c r="AU218" s="1">
        <f t="shared" si="116"/>
        <v>9.6916666666666664</v>
      </c>
      <c r="AV218" s="1">
        <f t="shared" si="116"/>
        <v>9.6916666666666664</v>
      </c>
      <c r="AW218" s="1">
        <f t="shared" si="121"/>
        <v>14.258333333333333</v>
      </c>
      <c r="AX218" s="1">
        <f t="shared" si="117"/>
        <v>14.763888888888889</v>
      </c>
      <c r="AY218" s="1">
        <f t="shared" si="117"/>
        <v>15.272222222222222</v>
      </c>
      <c r="AZ218" s="1">
        <f t="shared" si="117"/>
        <v>15.777777777777779</v>
      </c>
      <c r="BA218" s="1">
        <f t="shared" si="117"/>
        <v>16.286111111111111</v>
      </c>
      <c r="BB218" s="1">
        <f t="shared" si="117"/>
        <v>16.794444444444444</v>
      </c>
      <c r="BC218" s="1">
        <f t="shared" si="117"/>
        <v>17.302777777777777</v>
      </c>
      <c r="BD218" s="1">
        <f t="shared" si="117"/>
        <v>17.808333333333334</v>
      </c>
      <c r="BE218" s="1">
        <f t="shared" si="117"/>
        <v>17.808333333333334</v>
      </c>
      <c r="BF218" s="1">
        <f t="shared" si="117"/>
        <v>26.433333333333334</v>
      </c>
      <c r="BG218" s="1">
        <f t="shared" si="117"/>
        <v>26.93888888888889</v>
      </c>
      <c r="BH218" s="1">
        <f t="shared" si="117"/>
        <v>27.447222222222223</v>
      </c>
      <c r="BI218" s="1">
        <f t="shared" si="117"/>
        <v>27.952777777777779</v>
      </c>
      <c r="BJ218" s="1">
        <f t="shared" si="117"/>
        <v>28.461111111111112</v>
      </c>
      <c r="BK218" s="1">
        <f t="shared" si="117"/>
        <v>28.969444444444445</v>
      </c>
      <c r="BL218" s="1">
        <f t="shared" si="117"/>
        <v>29.477777777777778</v>
      </c>
      <c r="BM218" s="1">
        <f t="shared" si="117"/>
        <v>29.983333333333334</v>
      </c>
      <c r="BN218" s="1">
        <f t="shared" si="122"/>
        <v>30.491666666666667</v>
      </c>
      <c r="BO218" s="1">
        <f t="shared" si="118"/>
        <v>30.491666666666667</v>
      </c>
      <c r="BP218" s="1">
        <f t="shared" si="118"/>
        <v>30.997222222222224</v>
      </c>
      <c r="BQ218" s="1">
        <f t="shared" si="118"/>
        <v>31.505555555555556</v>
      </c>
      <c r="BR218" s="1">
        <f t="shared" si="118"/>
        <v>32.011111111111113</v>
      </c>
      <c r="BS218" s="1">
        <f t="shared" si="118"/>
        <v>32.519444444444446</v>
      </c>
      <c r="BT218" s="1">
        <f t="shared" si="118"/>
        <v>33.027777777777779</v>
      </c>
      <c r="BU218" s="1">
        <f t="shared" si="118"/>
        <v>33.536111111111111</v>
      </c>
      <c r="BV218" s="1">
        <f t="shared" si="118"/>
        <v>33.536111111111111</v>
      </c>
      <c r="BW218" s="1">
        <f t="shared" si="118"/>
        <v>34.041666666666664</v>
      </c>
      <c r="BX218" s="1">
        <f t="shared" si="118"/>
        <v>34.549999999999997</v>
      </c>
      <c r="BY218" s="1">
        <f t="shared" si="118"/>
        <v>35.055555555555557</v>
      </c>
      <c r="BZ218" s="1">
        <f t="shared" si="118"/>
        <v>35.56388888888889</v>
      </c>
      <c r="CA218" s="1">
        <f t="shared" si="118"/>
        <v>36.069444444444443</v>
      </c>
      <c r="CB218" s="1">
        <f t="shared" si="118"/>
        <v>36.577777777777776</v>
      </c>
      <c r="CC218" s="1">
        <f t="shared" si="118"/>
        <v>37.086111111111109</v>
      </c>
      <c r="CD218" s="1">
        <f t="shared" si="118"/>
        <v>37.594444444444441</v>
      </c>
      <c r="CE218" s="1">
        <f t="shared" si="123"/>
        <v>38.1</v>
      </c>
      <c r="CF218" s="1">
        <f t="shared" si="123"/>
        <v>38.608333333333334</v>
      </c>
      <c r="CG218" s="1">
        <f t="shared" si="123"/>
        <v>39.113888888888887</v>
      </c>
      <c r="CH218" s="1">
        <f t="shared" si="123"/>
        <v>39.62222222222222</v>
      </c>
      <c r="CI218" s="1">
        <f t="shared" si="123"/>
        <v>40.12777777777778</v>
      </c>
      <c r="CJ218" s="1">
        <f t="shared" si="123"/>
        <v>40.636111111111113</v>
      </c>
      <c r="CK218" s="1">
        <f t="shared" si="123"/>
        <v>41.144444444444446</v>
      </c>
      <c r="CL218" s="1">
        <f t="shared" si="123"/>
        <v>41.652777777777779</v>
      </c>
      <c r="CM218" s="1">
        <f t="shared" si="123"/>
        <v>42.158333333333331</v>
      </c>
      <c r="CN218" s="1">
        <f t="shared" si="123"/>
        <v>42.666666666666664</v>
      </c>
      <c r="CO218" s="1">
        <f t="shared" si="123"/>
        <v>43.172222222222224</v>
      </c>
      <c r="CP218" s="1">
        <f t="shared" si="123"/>
        <v>43.680555555555557</v>
      </c>
      <c r="CQ218" s="1">
        <f t="shared" si="123"/>
        <v>44.18611111111111</v>
      </c>
      <c r="CR218" s="1">
        <f t="shared" si="123"/>
        <v>44.694444444444443</v>
      </c>
      <c r="CS218" s="1">
        <f t="shared" si="119"/>
        <v>45.202777777777776</v>
      </c>
      <c r="CT218" s="1">
        <f t="shared" si="119"/>
        <v>45.711111111111109</v>
      </c>
      <c r="CU218" s="1">
        <f t="shared" si="119"/>
        <v>46.216666666666669</v>
      </c>
      <c r="CV218" s="1">
        <f t="shared" si="119"/>
        <v>46.725000000000001</v>
      </c>
      <c r="CW218" s="1">
        <f t="shared" si="119"/>
        <v>47.230555555555554</v>
      </c>
      <c r="CX218" s="1">
        <f t="shared" si="119"/>
        <v>47.738888888888887</v>
      </c>
      <c r="CY218" s="1">
        <f t="shared" si="119"/>
        <v>48.244444444444447</v>
      </c>
      <c r="CZ218" s="1">
        <f t="shared" si="119"/>
        <v>48.75277777777778</v>
      </c>
      <c r="DA218" s="1">
        <f t="shared" si="119"/>
        <v>49.261111111111113</v>
      </c>
      <c r="DB218" s="1">
        <f t="shared" si="119"/>
        <v>49.769444444444446</v>
      </c>
      <c r="DC218" s="1">
        <f t="shared" si="119"/>
        <v>49.769444444444446</v>
      </c>
    </row>
    <row r="219" spans="1:107" x14ac:dyDescent="0.25">
      <c r="A219">
        <f t="shared" si="114"/>
        <v>6</v>
      </c>
      <c r="B219" s="2">
        <f>yields_BRUTE!B219</f>
        <v>42321</v>
      </c>
      <c r="C219" s="1">
        <f t="shared" si="124"/>
        <v>-0.71388888888888891</v>
      </c>
      <c r="D219" s="1">
        <f t="shared" si="124"/>
        <v>-0.67500000000000004</v>
      </c>
      <c r="E219" s="1">
        <f t="shared" si="124"/>
        <v>-0.45833333333333331</v>
      </c>
      <c r="F219" s="1">
        <f t="shared" si="124"/>
        <v>-0.20277777777777778</v>
      </c>
      <c r="G219" s="1">
        <f t="shared" si="124"/>
        <v>-0.16388888888888889</v>
      </c>
      <c r="H219" s="1">
        <f t="shared" si="124"/>
        <v>0.05</v>
      </c>
      <c r="I219" s="1">
        <f t="shared" si="124"/>
        <v>0.05</v>
      </c>
      <c r="J219" s="1">
        <f t="shared" si="124"/>
        <v>0.30277777777777776</v>
      </c>
      <c r="K219" s="1">
        <f t="shared" si="124"/>
        <v>0.34166666666666667</v>
      </c>
      <c r="L219" s="1">
        <f t="shared" si="124"/>
        <v>0.55833333333333335</v>
      </c>
      <c r="M219" s="1">
        <f t="shared" si="124"/>
        <v>0.81388888888888888</v>
      </c>
      <c r="N219" s="1">
        <f t="shared" si="124"/>
        <v>0.81388888888888888</v>
      </c>
      <c r="O219" s="1">
        <f t="shared" si="124"/>
        <v>0.85277777777777775</v>
      </c>
      <c r="P219" s="1">
        <f t="shared" si="124"/>
        <v>1.0666666666666667</v>
      </c>
      <c r="Q219" s="1">
        <f t="shared" si="124"/>
        <v>1.3555555555555556</v>
      </c>
      <c r="R219" s="1">
        <f t="shared" si="124"/>
        <v>1.5722222222222222</v>
      </c>
      <c r="S219" s="1">
        <f t="shared" si="120"/>
        <v>1.8666666666666667</v>
      </c>
      <c r="T219" s="1">
        <f t="shared" si="120"/>
        <v>2.0805555555555557</v>
      </c>
      <c r="U219" s="1">
        <f t="shared" si="120"/>
        <v>2.3694444444444445</v>
      </c>
      <c r="V219" s="1">
        <f t="shared" si="120"/>
        <v>2.5861111111111112</v>
      </c>
      <c r="W219" s="1">
        <f t="shared" si="120"/>
        <v>2.8805555555555555</v>
      </c>
      <c r="X219" s="1">
        <f t="shared" si="120"/>
        <v>3.0944444444444446</v>
      </c>
      <c r="Y219" s="1">
        <f t="shared" si="120"/>
        <v>3.3833333333333333</v>
      </c>
      <c r="Z219" s="1">
        <f t="shared" si="120"/>
        <v>3.6</v>
      </c>
      <c r="AA219" s="1">
        <f t="shared" si="120"/>
        <v>3.8944444444444444</v>
      </c>
      <c r="AB219" s="1">
        <f t="shared" si="120"/>
        <v>4.1083333333333334</v>
      </c>
      <c r="AC219" s="1">
        <f t="shared" si="120"/>
        <v>4.4000000000000004</v>
      </c>
      <c r="AD219" s="1">
        <f t="shared" si="120"/>
        <v>4.6166666666666663</v>
      </c>
      <c r="AE219" s="1">
        <f t="shared" si="120"/>
        <v>4.6166666666666663</v>
      </c>
      <c r="AF219" s="3">
        <f t="shared" si="120"/>
        <v>4.9111111111111114</v>
      </c>
      <c r="AG219" s="1">
        <f t="shared" si="116"/>
        <v>5.125</v>
      </c>
      <c r="AH219" s="1">
        <f t="shared" si="116"/>
        <v>5.4138888888888888</v>
      </c>
      <c r="AI219" s="1">
        <f t="shared" si="116"/>
        <v>5.4138888888888888</v>
      </c>
      <c r="AJ219" s="1">
        <f t="shared" si="116"/>
        <v>5.6305555555555555</v>
      </c>
      <c r="AK219" s="1">
        <f t="shared" si="116"/>
        <v>5.6305555555555555</v>
      </c>
      <c r="AL219" s="1">
        <f t="shared" si="116"/>
        <v>6.1388888888888893</v>
      </c>
      <c r="AM219" s="1">
        <f t="shared" si="116"/>
        <v>6.6444444444444448</v>
      </c>
      <c r="AN219" s="1">
        <f t="shared" si="116"/>
        <v>6.6444444444444448</v>
      </c>
      <c r="AO219" s="1">
        <f t="shared" si="116"/>
        <v>7.1527777777777777</v>
      </c>
      <c r="AP219" s="1">
        <f t="shared" si="116"/>
        <v>7.6583333333333332</v>
      </c>
      <c r="AQ219" s="1">
        <f t="shared" si="116"/>
        <v>7.6583333333333332</v>
      </c>
      <c r="AR219" s="1">
        <f t="shared" si="116"/>
        <v>8.1666666666666661</v>
      </c>
      <c r="AS219" s="1">
        <f t="shared" si="116"/>
        <v>8.6750000000000007</v>
      </c>
      <c r="AT219" s="1">
        <f t="shared" si="116"/>
        <v>9.1833333333333336</v>
      </c>
      <c r="AU219" s="1">
        <f t="shared" si="116"/>
        <v>9.6888888888888882</v>
      </c>
      <c r="AV219" s="1">
        <f t="shared" si="116"/>
        <v>9.6888888888888882</v>
      </c>
      <c r="AW219" s="1">
        <f t="shared" si="121"/>
        <v>14.255555555555556</v>
      </c>
      <c r="AX219" s="1">
        <f t="shared" si="117"/>
        <v>14.761111111111111</v>
      </c>
      <c r="AY219" s="1">
        <f t="shared" si="117"/>
        <v>15.269444444444444</v>
      </c>
      <c r="AZ219" s="1">
        <f t="shared" si="117"/>
        <v>15.775</v>
      </c>
      <c r="BA219" s="1">
        <f t="shared" si="117"/>
        <v>16.283333333333335</v>
      </c>
      <c r="BB219" s="1">
        <f t="shared" si="117"/>
        <v>16.791666666666668</v>
      </c>
      <c r="BC219" s="1">
        <f t="shared" si="117"/>
        <v>17.3</v>
      </c>
      <c r="BD219" s="1">
        <f t="shared" si="117"/>
        <v>17.805555555555557</v>
      </c>
      <c r="BE219" s="1">
        <f t="shared" si="117"/>
        <v>17.805555555555557</v>
      </c>
      <c r="BF219" s="1">
        <f t="shared" si="117"/>
        <v>26.430555555555557</v>
      </c>
      <c r="BG219" s="1">
        <f t="shared" si="117"/>
        <v>26.93611111111111</v>
      </c>
      <c r="BH219" s="1">
        <f t="shared" si="117"/>
        <v>27.444444444444443</v>
      </c>
      <c r="BI219" s="1">
        <f t="shared" si="117"/>
        <v>27.95</v>
      </c>
      <c r="BJ219" s="1">
        <f t="shared" si="117"/>
        <v>28.458333333333332</v>
      </c>
      <c r="BK219" s="1">
        <f t="shared" si="117"/>
        <v>28.966666666666665</v>
      </c>
      <c r="BL219" s="1">
        <f t="shared" si="117"/>
        <v>29.475000000000001</v>
      </c>
      <c r="BM219" s="1">
        <f t="shared" si="117"/>
        <v>29.980555555555554</v>
      </c>
      <c r="BN219" s="1">
        <f t="shared" si="122"/>
        <v>30.488888888888887</v>
      </c>
      <c r="BO219" s="1">
        <f t="shared" si="118"/>
        <v>30.488888888888887</v>
      </c>
      <c r="BP219" s="1">
        <f t="shared" si="118"/>
        <v>30.994444444444444</v>
      </c>
      <c r="BQ219" s="1">
        <f t="shared" si="118"/>
        <v>31.502777777777776</v>
      </c>
      <c r="BR219" s="1">
        <f t="shared" si="118"/>
        <v>32.008333333333333</v>
      </c>
      <c r="BS219" s="1">
        <f t="shared" si="118"/>
        <v>32.516666666666666</v>
      </c>
      <c r="BT219" s="1">
        <f t="shared" si="118"/>
        <v>33.024999999999999</v>
      </c>
      <c r="BU219" s="1">
        <f t="shared" si="118"/>
        <v>33.533333333333331</v>
      </c>
      <c r="BV219" s="1">
        <f t="shared" si="118"/>
        <v>33.533333333333331</v>
      </c>
      <c r="BW219" s="1">
        <f t="shared" si="118"/>
        <v>34.038888888888891</v>
      </c>
      <c r="BX219" s="1">
        <f t="shared" si="118"/>
        <v>34.547222222222224</v>
      </c>
      <c r="BY219" s="1">
        <f t="shared" si="118"/>
        <v>35.052777777777777</v>
      </c>
      <c r="BZ219" s="1">
        <f t="shared" si="118"/>
        <v>35.56111111111111</v>
      </c>
      <c r="CA219" s="1">
        <f t="shared" si="118"/>
        <v>36.06666666666667</v>
      </c>
      <c r="CB219" s="1">
        <f t="shared" si="118"/>
        <v>36.575000000000003</v>
      </c>
      <c r="CC219" s="1">
        <f t="shared" si="118"/>
        <v>37.083333333333336</v>
      </c>
      <c r="CD219" s="1">
        <f t="shared" si="118"/>
        <v>37.591666666666669</v>
      </c>
      <c r="CE219" s="1">
        <f t="shared" si="123"/>
        <v>38.097222222222221</v>
      </c>
      <c r="CF219" s="1">
        <f t="shared" si="123"/>
        <v>38.605555555555554</v>
      </c>
      <c r="CG219" s="1">
        <f t="shared" si="123"/>
        <v>39.111111111111114</v>
      </c>
      <c r="CH219" s="1">
        <f t="shared" si="123"/>
        <v>39.619444444444447</v>
      </c>
      <c r="CI219" s="1">
        <f t="shared" si="123"/>
        <v>40.125</v>
      </c>
      <c r="CJ219" s="1">
        <f t="shared" si="123"/>
        <v>40.633333333333333</v>
      </c>
      <c r="CK219" s="1">
        <f t="shared" si="123"/>
        <v>41.141666666666666</v>
      </c>
      <c r="CL219" s="1">
        <f t="shared" si="123"/>
        <v>41.65</v>
      </c>
      <c r="CM219" s="1">
        <f t="shared" si="123"/>
        <v>42.155555555555559</v>
      </c>
      <c r="CN219" s="1">
        <f t="shared" si="123"/>
        <v>42.663888888888891</v>
      </c>
      <c r="CO219" s="1">
        <f t="shared" si="123"/>
        <v>43.169444444444444</v>
      </c>
      <c r="CP219" s="1">
        <f t="shared" si="123"/>
        <v>43.677777777777777</v>
      </c>
      <c r="CQ219" s="1">
        <f t="shared" si="123"/>
        <v>44.18333333333333</v>
      </c>
      <c r="CR219" s="1">
        <f t="shared" si="123"/>
        <v>44.69166666666667</v>
      </c>
      <c r="CS219" s="1">
        <f t="shared" si="119"/>
        <v>45.2</v>
      </c>
      <c r="CT219" s="1">
        <f t="shared" si="119"/>
        <v>45.708333333333336</v>
      </c>
      <c r="CU219" s="1">
        <f t="shared" si="119"/>
        <v>46.213888888888889</v>
      </c>
      <c r="CV219" s="1">
        <f t="shared" si="119"/>
        <v>46.722222222222221</v>
      </c>
      <c r="CW219" s="1">
        <f t="shared" si="119"/>
        <v>47.227777777777774</v>
      </c>
      <c r="CX219" s="1">
        <f t="shared" si="119"/>
        <v>47.736111111111114</v>
      </c>
      <c r="CY219" s="1">
        <f t="shared" si="119"/>
        <v>48.241666666666667</v>
      </c>
      <c r="CZ219" s="1">
        <f t="shared" si="119"/>
        <v>48.75</v>
      </c>
      <c r="DA219" s="1">
        <f t="shared" si="119"/>
        <v>49.258333333333333</v>
      </c>
      <c r="DB219" s="1">
        <f t="shared" si="119"/>
        <v>49.766666666666666</v>
      </c>
      <c r="DC219" s="1">
        <f t="shared" si="119"/>
        <v>49.766666666666666</v>
      </c>
    </row>
    <row r="220" spans="1:107" x14ac:dyDescent="0.25">
      <c r="A220">
        <f t="shared" si="114"/>
        <v>2</v>
      </c>
      <c r="B220" s="2">
        <f>yields_BRUTE!B220</f>
        <v>42324</v>
      </c>
      <c r="C220" s="1">
        <f t="shared" si="124"/>
        <v>-0.72222222222222221</v>
      </c>
      <c r="D220" s="1">
        <f t="shared" si="124"/>
        <v>-0.68333333333333335</v>
      </c>
      <c r="E220" s="1">
        <f t="shared" si="124"/>
        <v>-0.46666666666666667</v>
      </c>
      <c r="F220" s="1">
        <f t="shared" si="124"/>
        <v>-0.21111111111111111</v>
      </c>
      <c r="G220" s="1">
        <f t="shared" si="124"/>
        <v>-0.17222222222222222</v>
      </c>
      <c r="H220" s="1">
        <f t="shared" si="124"/>
        <v>4.1666666666666664E-2</v>
      </c>
      <c r="I220" s="1">
        <f t="shared" si="124"/>
        <v>4.1666666666666664E-2</v>
      </c>
      <c r="J220" s="1">
        <f t="shared" si="124"/>
        <v>0.29444444444444445</v>
      </c>
      <c r="K220" s="1">
        <f t="shared" si="124"/>
        <v>0.33333333333333331</v>
      </c>
      <c r="L220" s="1">
        <f t="shared" si="124"/>
        <v>0.55000000000000004</v>
      </c>
      <c r="M220" s="1">
        <f t="shared" si="124"/>
        <v>0.80555555555555558</v>
      </c>
      <c r="N220" s="1">
        <f t="shared" si="124"/>
        <v>0.80555555555555558</v>
      </c>
      <c r="O220" s="1">
        <f t="shared" si="124"/>
        <v>0.84444444444444444</v>
      </c>
      <c r="P220" s="1">
        <f t="shared" si="124"/>
        <v>1.0583333333333333</v>
      </c>
      <c r="Q220" s="1">
        <f t="shared" si="124"/>
        <v>1.3472222222222223</v>
      </c>
      <c r="R220" s="1">
        <f t="shared" si="124"/>
        <v>1.5638888888888889</v>
      </c>
      <c r="S220" s="1">
        <f t="shared" si="120"/>
        <v>1.8583333333333334</v>
      </c>
      <c r="T220" s="1">
        <f t="shared" si="120"/>
        <v>2.0722222222222224</v>
      </c>
      <c r="U220" s="1">
        <f t="shared" si="120"/>
        <v>2.3611111111111112</v>
      </c>
      <c r="V220" s="1">
        <f t="shared" si="120"/>
        <v>2.5777777777777779</v>
      </c>
      <c r="W220" s="1">
        <f t="shared" si="120"/>
        <v>2.8722222222222222</v>
      </c>
      <c r="X220" s="1">
        <f t="shared" si="120"/>
        <v>3.0861111111111112</v>
      </c>
      <c r="Y220" s="1">
        <f t="shared" si="120"/>
        <v>3.375</v>
      </c>
      <c r="Z220" s="1">
        <f t="shared" si="120"/>
        <v>3.5916666666666668</v>
      </c>
      <c r="AA220" s="1">
        <f t="shared" si="120"/>
        <v>3.8861111111111111</v>
      </c>
      <c r="AB220" s="1">
        <f t="shared" si="120"/>
        <v>4.0999999999999996</v>
      </c>
      <c r="AC220" s="1">
        <f t="shared" si="120"/>
        <v>4.3916666666666666</v>
      </c>
      <c r="AD220" s="1">
        <f t="shared" si="120"/>
        <v>4.6083333333333334</v>
      </c>
      <c r="AE220" s="1">
        <f t="shared" si="120"/>
        <v>4.6083333333333334</v>
      </c>
      <c r="AF220" s="3">
        <f t="shared" si="120"/>
        <v>4.9027777777777777</v>
      </c>
      <c r="AG220" s="1">
        <f t="shared" si="116"/>
        <v>5.1166666666666663</v>
      </c>
      <c r="AH220" s="1">
        <f t="shared" si="116"/>
        <v>5.4055555555555559</v>
      </c>
      <c r="AI220" s="1">
        <f t="shared" si="116"/>
        <v>5.4055555555555559</v>
      </c>
      <c r="AJ220" s="1">
        <f t="shared" si="116"/>
        <v>5.6222222222222218</v>
      </c>
      <c r="AK220" s="1">
        <f t="shared" si="116"/>
        <v>5.6222222222222218</v>
      </c>
      <c r="AL220" s="1">
        <f t="shared" si="116"/>
        <v>6.1305555555555555</v>
      </c>
      <c r="AM220" s="1">
        <f t="shared" si="116"/>
        <v>6.6361111111111111</v>
      </c>
      <c r="AN220" s="1">
        <f t="shared" si="116"/>
        <v>6.6361111111111111</v>
      </c>
      <c r="AO220" s="1">
        <f t="shared" si="116"/>
        <v>7.1444444444444448</v>
      </c>
      <c r="AP220" s="1">
        <f t="shared" si="116"/>
        <v>7.65</v>
      </c>
      <c r="AQ220" s="1">
        <f t="shared" si="116"/>
        <v>7.65</v>
      </c>
      <c r="AR220" s="1">
        <f t="shared" si="116"/>
        <v>8.1583333333333332</v>
      </c>
      <c r="AS220" s="1">
        <f t="shared" si="116"/>
        <v>8.6666666666666661</v>
      </c>
      <c r="AT220" s="1">
        <f t="shared" si="116"/>
        <v>9.1750000000000007</v>
      </c>
      <c r="AU220" s="1">
        <f t="shared" si="116"/>
        <v>9.6805555555555554</v>
      </c>
      <c r="AV220" s="1">
        <f t="shared" si="116"/>
        <v>9.6805555555555554</v>
      </c>
      <c r="AW220" s="1">
        <f t="shared" si="121"/>
        <v>14.247222222222222</v>
      </c>
      <c r="AX220" s="1">
        <f t="shared" si="117"/>
        <v>14.752777777777778</v>
      </c>
      <c r="AY220" s="1">
        <f t="shared" si="117"/>
        <v>15.261111111111111</v>
      </c>
      <c r="AZ220" s="1">
        <f t="shared" si="117"/>
        <v>15.766666666666667</v>
      </c>
      <c r="BA220" s="1">
        <f t="shared" si="117"/>
        <v>16.274999999999999</v>
      </c>
      <c r="BB220" s="1">
        <f t="shared" si="117"/>
        <v>16.783333333333335</v>
      </c>
      <c r="BC220" s="1">
        <f t="shared" si="117"/>
        <v>17.291666666666668</v>
      </c>
      <c r="BD220" s="1">
        <f t="shared" si="117"/>
        <v>17.797222222222221</v>
      </c>
      <c r="BE220" s="1">
        <f t="shared" si="117"/>
        <v>17.797222222222221</v>
      </c>
      <c r="BF220" s="1">
        <f t="shared" si="117"/>
        <v>26.422222222222221</v>
      </c>
      <c r="BG220" s="1">
        <f t="shared" si="117"/>
        <v>26.927777777777777</v>
      </c>
      <c r="BH220" s="1">
        <f t="shared" si="117"/>
        <v>27.43611111111111</v>
      </c>
      <c r="BI220" s="1">
        <f t="shared" si="117"/>
        <v>27.941666666666666</v>
      </c>
      <c r="BJ220" s="1">
        <f t="shared" si="117"/>
        <v>28.45</v>
      </c>
      <c r="BK220" s="1">
        <f t="shared" si="117"/>
        <v>28.958333333333332</v>
      </c>
      <c r="BL220" s="1">
        <f t="shared" si="117"/>
        <v>29.466666666666665</v>
      </c>
      <c r="BM220" s="1">
        <f t="shared" si="117"/>
        <v>29.972222222222221</v>
      </c>
      <c r="BN220" s="1">
        <f t="shared" si="122"/>
        <v>30.480555555555554</v>
      </c>
      <c r="BO220" s="1">
        <f t="shared" si="118"/>
        <v>30.480555555555554</v>
      </c>
      <c r="BP220" s="1">
        <f t="shared" si="118"/>
        <v>30.986111111111111</v>
      </c>
      <c r="BQ220" s="1">
        <f t="shared" si="118"/>
        <v>31.494444444444444</v>
      </c>
      <c r="BR220" s="1">
        <f t="shared" si="118"/>
        <v>32</v>
      </c>
      <c r="BS220" s="1">
        <f t="shared" si="118"/>
        <v>32.508333333333333</v>
      </c>
      <c r="BT220" s="1">
        <f t="shared" si="118"/>
        <v>33.016666666666666</v>
      </c>
      <c r="BU220" s="1">
        <f t="shared" si="118"/>
        <v>33.524999999999999</v>
      </c>
      <c r="BV220" s="1">
        <f t="shared" si="118"/>
        <v>33.524999999999999</v>
      </c>
      <c r="BW220" s="1">
        <f t="shared" si="118"/>
        <v>34.030555555555559</v>
      </c>
      <c r="BX220" s="1">
        <f t="shared" si="118"/>
        <v>34.538888888888891</v>
      </c>
      <c r="BY220" s="1">
        <f t="shared" si="118"/>
        <v>35.044444444444444</v>
      </c>
      <c r="BZ220" s="1">
        <f t="shared" si="118"/>
        <v>35.552777777777777</v>
      </c>
      <c r="CA220" s="1">
        <f t="shared" si="118"/>
        <v>36.05833333333333</v>
      </c>
      <c r="CB220" s="1">
        <f t="shared" si="118"/>
        <v>36.56666666666667</v>
      </c>
      <c r="CC220" s="1">
        <f t="shared" si="118"/>
        <v>37.075000000000003</v>
      </c>
      <c r="CD220" s="1">
        <f t="shared" si="118"/>
        <v>37.583333333333336</v>
      </c>
      <c r="CE220" s="1">
        <f t="shared" si="123"/>
        <v>38.088888888888889</v>
      </c>
      <c r="CF220" s="1">
        <f t="shared" si="123"/>
        <v>38.597222222222221</v>
      </c>
      <c r="CG220" s="1">
        <f t="shared" si="123"/>
        <v>39.102777777777774</v>
      </c>
      <c r="CH220" s="1">
        <f t="shared" si="123"/>
        <v>39.611111111111114</v>
      </c>
      <c r="CI220" s="1">
        <f t="shared" si="123"/>
        <v>40.116666666666667</v>
      </c>
      <c r="CJ220" s="1">
        <f t="shared" si="123"/>
        <v>40.625</v>
      </c>
      <c r="CK220" s="1">
        <f t="shared" si="123"/>
        <v>41.133333333333333</v>
      </c>
      <c r="CL220" s="1">
        <f t="shared" si="123"/>
        <v>41.641666666666666</v>
      </c>
      <c r="CM220" s="1">
        <f t="shared" si="123"/>
        <v>42.147222222222226</v>
      </c>
      <c r="CN220" s="1">
        <f t="shared" si="123"/>
        <v>42.655555555555559</v>
      </c>
      <c r="CO220" s="1">
        <f t="shared" si="123"/>
        <v>43.161111111111111</v>
      </c>
      <c r="CP220" s="1">
        <f t="shared" si="123"/>
        <v>43.669444444444444</v>
      </c>
      <c r="CQ220" s="1">
        <f t="shared" si="123"/>
        <v>44.174999999999997</v>
      </c>
      <c r="CR220" s="1">
        <f t="shared" si="123"/>
        <v>44.68333333333333</v>
      </c>
      <c r="CS220" s="1">
        <f t="shared" si="119"/>
        <v>45.19166666666667</v>
      </c>
      <c r="CT220" s="1">
        <f t="shared" si="119"/>
        <v>45.7</v>
      </c>
      <c r="CU220" s="1">
        <f t="shared" si="119"/>
        <v>46.205555555555556</v>
      </c>
      <c r="CV220" s="1">
        <f t="shared" si="119"/>
        <v>46.713888888888889</v>
      </c>
      <c r="CW220" s="1">
        <f t="shared" si="119"/>
        <v>47.219444444444441</v>
      </c>
      <c r="CX220" s="1">
        <f t="shared" si="119"/>
        <v>47.727777777777774</v>
      </c>
      <c r="CY220" s="1">
        <f t="shared" si="119"/>
        <v>48.233333333333334</v>
      </c>
      <c r="CZ220" s="1">
        <f t="shared" si="119"/>
        <v>48.741666666666667</v>
      </c>
      <c r="DA220" s="1">
        <f t="shared" si="119"/>
        <v>49.25</v>
      </c>
      <c r="DB220" s="1">
        <f t="shared" si="119"/>
        <v>49.758333333333333</v>
      </c>
      <c r="DC220" s="1">
        <f t="shared" si="119"/>
        <v>49.758333333333333</v>
      </c>
    </row>
    <row r="221" spans="1:107" x14ac:dyDescent="0.25">
      <c r="A221">
        <f t="shared" si="114"/>
        <v>3</v>
      </c>
      <c r="B221" s="2">
        <f>yields_BRUTE!B221</f>
        <v>42325</v>
      </c>
      <c r="C221" s="1">
        <f t="shared" si="124"/>
        <v>-0.72499999999999998</v>
      </c>
      <c r="D221" s="1">
        <f t="shared" si="124"/>
        <v>-0.68611111111111112</v>
      </c>
      <c r="E221" s="1">
        <f t="shared" si="124"/>
        <v>-0.46944444444444444</v>
      </c>
      <c r="F221" s="1">
        <f t="shared" si="124"/>
        <v>-0.21388888888888888</v>
      </c>
      <c r="G221" s="1">
        <f t="shared" si="124"/>
        <v>-0.17499999999999999</v>
      </c>
      <c r="H221" s="1">
        <f t="shared" si="124"/>
        <v>3.888888888888889E-2</v>
      </c>
      <c r="I221" s="1">
        <f t="shared" si="124"/>
        <v>3.888888888888889E-2</v>
      </c>
      <c r="J221" s="1">
        <f t="shared" si="124"/>
        <v>0.29166666666666669</v>
      </c>
      <c r="K221" s="1">
        <f t="shared" si="124"/>
        <v>0.33055555555555555</v>
      </c>
      <c r="L221" s="1">
        <f t="shared" si="124"/>
        <v>0.54722222222222228</v>
      </c>
      <c r="M221" s="1">
        <f t="shared" si="124"/>
        <v>0.80277777777777781</v>
      </c>
      <c r="N221" s="1">
        <f t="shared" si="124"/>
        <v>0.80277777777777781</v>
      </c>
      <c r="O221" s="1">
        <f t="shared" si="124"/>
        <v>0.84166666666666667</v>
      </c>
      <c r="P221" s="1">
        <f t="shared" si="124"/>
        <v>1.0555555555555556</v>
      </c>
      <c r="Q221" s="1">
        <f t="shared" si="124"/>
        <v>1.3444444444444446</v>
      </c>
      <c r="R221" s="1">
        <f t="shared" si="124"/>
        <v>1.5611111111111111</v>
      </c>
      <c r="S221" s="1">
        <f t="shared" si="120"/>
        <v>1.8555555555555556</v>
      </c>
      <c r="T221" s="1">
        <f t="shared" si="120"/>
        <v>2.0694444444444446</v>
      </c>
      <c r="U221" s="1">
        <f t="shared" si="120"/>
        <v>2.3583333333333334</v>
      </c>
      <c r="V221" s="1">
        <f t="shared" si="120"/>
        <v>2.5750000000000002</v>
      </c>
      <c r="W221" s="1">
        <f t="shared" si="120"/>
        <v>2.8694444444444445</v>
      </c>
      <c r="X221" s="1">
        <f t="shared" si="120"/>
        <v>3.0833333333333335</v>
      </c>
      <c r="Y221" s="1">
        <f t="shared" si="120"/>
        <v>3.3722222222222222</v>
      </c>
      <c r="Z221" s="1">
        <f t="shared" si="120"/>
        <v>3.588888888888889</v>
      </c>
      <c r="AA221" s="1">
        <f t="shared" si="120"/>
        <v>3.8833333333333333</v>
      </c>
      <c r="AB221" s="1">
        <f t="shared" si="120"/>
        <v>4.0972222222222223</v>
      </c>
      <c r="AC221" s="1">
        <f t="shared" si="120"/>
        <v>4.3888888888888893</v>
      </c>
      <c r="AD221" s="1">
        <f t="shared" si="120"/>
        <v>4.6055555555555552</v>
      </c>
      <c r="AE221" s="1">
        <f t="shared" si="120"/>
        <v>4.6055555555555552</v>
      </c>
      <c r="AF221" s="3">
        <f t="shared" si="120"/>
        <v>4.9000000000000004</v>
      </c>
      <c r="AG221" s="1">
        <f t="shared" si="116"/>
        <v>5.1138888888888889</v>
      </c>
      <c r="AH221" s="1">
        <f t="shared" si="116"/>
        <v>5.4027777777777777</v>
      </c>
      <c r="AI221" s="1">
        <f t="shared" si="116"/>
        <v>5.4027777777777777</v>
      </c>
      <c r="AJ221" s="1">
        <f t="shared" si="116"/>
        <v>5.6194444444444445</v>
      </c>
      <c r="AK221" s="1">
        <f t="shared" si="116"/>
        <v>5.6194444444444445</v>
      </c>
      <c r="AL221" s="1">
        <f t="shared" si="116"/>
        <v>6.1277777777777782</v>
      </c>
      <c r="AM221" s="1">
        <f t="shared" si="116"/>
        <v>6.6333333333333337</v>
      </c>
      <c r="AN221" s="1">
        <f t="shared" si="116"/>
        <v>6.6333333333333337</v>
      </c>
      <c r="AO221" s="1">
        <f t="shared" si="116"/>
        <v>7.1416666666666666</v>
      </c>
      <c r="AP221" s="1">
        <f t="shared" si="116"/>
        <v>7.6472222222222221</v>
      </c>
      <c r="AQ221" s="1">
        <f t="shared" si="116"/>
        <v>7.6472222222222221</v>
      </c>
      <c r="AR221" s="1">
        <f t="shared" si="116"/>
        <v>8.155555555555555</v>
      </c>
      <c r="AS221" s="1">
        <f t="shared" si="116"/>
        <v>8.6638888888888896</v>
      </c>
      <c r="AT221" s="1">
        <f t="shared" si="116"/>
        <v>9.1722222222222225</v>
      </c>
      <c r="AU221" s="1">
        <f t="shared" si="116"/>
        <v>9.6777777777777771</v>
      </c>
      <c r="AV221" s="1">
        <f t="shared" si="116"/>
        <v>9.6777777777777771</v>
      </c>
      <c r="AW221" s="1">
        <f t="shared" si="121"/>
        <v>14.244444444444444</v>
      </c>
      <c r="AX221" s="1">
        <f t="shared" si="117"/>
        <v>14.75</v>
      </c>
      <c r="AY221" s="1">
        <f t="shared" si="117"/>
        <v>15.258333333333333</v>
      </c>
      <c r="AZ221" s="1">
        <f t="shared" si="117"/>
        <v>15.763888888888889</v>
      </c>
      <c r="BA221" s="1">
        <f t="shared" si="117"/>
        <v>16.272222222222222</v>
      </c>
      <c r="BB221" s="1">
        <f t="shared" si="117"/>
        <v>16.780555555555555</v>
      </c>
      <c r="BC221" s="1">
        <f t="shared" si="117"/>
        <v>17.288888888888888</v>
      </c>
      <c r="BD221" s="1">
        <f t="shared" si="117"/>
        <v>17.794444444444444</v>
      </c>
      <c r="BE221" s="1">
        <f t="shared" si="117"/>
        <v>17.794444444444444</v>
      </c>
      <c r="BF221" s="1">
        <f t="shared" si="117"/>
        <v>26.419444444444444</v>
      </c>
      <c r="BG221" s="1">
        <f t="shared" si="117"/>
        <v>26.925000000000001</v>
      </c>
      <c r="BH221" s="1">
        <f t="shared" si="117"/>
        <v>27.433333333333334</v>
      </c>
      <c r="BI221" s="1">
        <f t="shared" si="117"/>
        <v>27.93888888888889</v>
      </c>
      <c r="BJ221" s="1">
        <f t="shared" si="117"/>
        <v>28.447222222222223</v>
      </c>
      <c r="BK221" s="1">
        <f t="shared" si="117"/>
        <v>28.955555555555556</v>
      </c>
      <c r="BL221" s="1">
        <f t="shared" si="117"/>
        <v>29.463888888888889</v>
      </c>
      <c r="BM221" s="1">
        <f t="shared" si="117"/>
        <v>29.969444444444445</v>
      </c>
      <c r="BN221" s="1">
        <f t="shared" si="122"/>
        <v>30.477777777777778</v>
      </c>
      <c r="BO221" s="1">
        <f t="shared" si="118"/>
        <v>30.477777777777778</v>
      </c>
      <c r="BP221" s="1">
        <f t="shared" si="118"/>
        <v>30.983333333333334</v>
      </c>
      <c r="BQ221" s="1">
        <f t="shared" si="118"/>
        <v>31.491666666666667</v>
      </c>
      <c r="BR221" s="1">
        <f t="shared" si="118"/>
        <v>31.997222222222224</v>
      </c>
      <c r="BS221" s="1">
        <f t="shared" si="118"/>
        <v>32.505555555555553</v>
      </c>
      <c r="BT221" s="1">
        <f t="shared" si="118"/>
        <v>33.013888888888886</v>
      </c>
      <c r="BU221" s="1">
        <f t="shared" si="118"/>
        <v>33.522222222222226</v>
      </c>
      <c r="BV221" s="1">
        <f t="shared" si="118"/>
        <v>33.522222222222226</v>
      </c>
      <c r="BW221" s="1">
        <f t="shared" si="118"/>
        <v>34.027777777777779</v>
      </c>
      <c r="BX221" s="1">
        <f t="shared" si="118"/>
        <v>34.536111111111111</v>
      </c>
      <c r="BY221" s="1">
        <f t="shared" si="118"/>
        <v>35.041666666666664</v>
      </c>
      <c r="BZ221" s="1">
        <f t="shared" si="118"/>
        <v>35.549999999999997</v>
      </c>
      <c r="CA221" s="1">
        <f t="shared" si="118"/>
        <v>36.055555555555557</v>
      </c>
      <c r="CB221" s="1">
        <f t="shared" si="118"/>
        <v>36.56388888888889</v>
      </c>
      <c r="CC221" s="1">
        <f t="shared" si="118"/>
        <v>37.072222222222223</v>
      </c>
      <c r="CD221" s="1">
        <f t="shared" si="118"/>
        <v>37.580555555555556</v>
      </c>
      <c r="CE221" s="1">
        <f t="shared" si="123"/>
        <v>38.086111111111109</v>
      </c>
      <c r="CF221" s="1">
        <f t="shared" si="123"/>
        <v>38.594444444444441</v>
      </c>
      <c r="CG221" s="1">
        <f t="shared" si="123"/>
        <v>39.1</v>
      </c>
      <c r="CH221" s="1">
        <f t="shared" si="123"/>
        <v>39.608333333333334</v>
      </c>
      <c r="CI221" s="1">
        <f t="shared" si="123"/>
        <v>40.113888888888887</v>
      </c>
      <c r="CJ221" s="1">
        <f t="shared" si="123"/>
        <v>40.62222222222222</v>
      </c>
      <c r="CK221" s="1">
        <f t="shared" si="123"/>
        <v>41.130555555555553</v>
      </c>
      <c r="CL221" s="1">
        <f t="shared" si="123"/>
        <v>41.638888888888886</v>
      </c>
      <c r="CM221" s="1">
        <f t="shared" si="123"/>
        <v>42.144444444444446</v>
      </c>
      <c r="CN221" s="1">
        <f t="shared" si="123"/>
        <v>42.652777777777779</v>
      </c>
      <c r="CO221" s="1">
        <f t="shared" si="123"/>
        <v>43.158333333333331</v>
      </c>
      <c r="CP221" s="1">
        <f t="shared" si="123"/>
        <v>43.666666666666664</v>
      </c>
      <c r="CQ221" s="1">
        <f t="shared" si="123"/>
        <v>44.172222222222224</v>
      </c>
      <c r="CR221" s="1">
        <f t="shared" si="123"/>
        <v>44.680555555555557</v>
      </c>
      <c r="CS221" s="1">
        <f t="shared" si="119"/>
        <v>45.18888888888889</v>
      </c>
      <c r="CT221" s="1">
        <f t="shared" si="119"/>
        <v>45.697222222222223</v>
      </c>
      <c r="CU221" s="1">
        <f t="shared" si="119"/>
        <v>46.202777777777776</v>
      </c>
      <c r="CV221" s="1">
        <f t="shared" si="119"/>
        <v>46.711111111111109</v>
      </c>
      <c r="CW221" s="1">
        <f t="shared" si="119"/>
        <v>47.216666666666669</v>
      </c>
      <c r="CX221" s="1">
        <f t="shared" si="119"/>
        <v>47.725000000000001</v>
      </c>
      <c r="CY221" s="1">
        <f t="shared" si="119"/>
        <v>48.230555555555554</v>
      </c>
      <c r="CZ221" s="1">
        <f t="shared" si="119"/>
        <v>48.738888888888887</v>
      </c>
      <c r="DA221" s="1">
        <f t="shared" si="119"/>
        <v>49.24722222222222</v>
      </c>
      <c r="DB221" s="1">
        <f t="shared" si="119"/>
        <v>49.755555555555553</v>
      </c>
      <c r="DC221" s="1">
        <f t="shared" si="119"/>
        <v>49.755555555555553</v>
      </c>
    </row>
    <row r="222" spans="1:107" x14ac:dyDescent="0.25">
      <c r="A222">
        <f t="shared" si="114"/>
        <v>4</v>
      </c>
      <c r="B222" s="2">
        <f>yields_BRUTE!B222</f>
        <v>42326</v>
      </c>
      <c r="C222" s="1">
        <f t="shared" si="124"/>
        <v>-0.72777777777777775</v>
      </c>
      <c r="D222" s="1">
        <f t="shared" si="124"/>
        <v>-0.68888888888888888</v>
      </c>
      <c r="E222" s="1">
        <f t="shared" si="124"/>
        <v>-0.47222222222222221</v>
      </c>
      <c r="F222" s="1">
        <f t="shared" si="124"/>
        <v>-0.21666666666666667</v>
      </c>
      <c r="G222" s="1">
        <f t="shared" si="124"/>
        <v>-0.17777777777777778</v>
      </c>
      <c r="H222" s="1">
        <f t="shared" si="124"/>
        <v>3.6111111111111108E-2</v>
      </c>
      <c r="I222" s="1">
        <f t="shared" si="124"/>
        <v>3.6111111111111108E-2</v>
      </c>
      <c r="J222" s="1">
        <f t="shared" si="124"/>
        <v>0.28888888888888886</v>
      </c>
      <c r="K222" s="1">
        <f t="shared" si="124"/>
        <v>0.32777777777777778</v>
      </c>
      <c r="L222" s="1">
        <f t="shared" si="124"/>
        <v>0.5444444444444444</v>
      </c>
      <c r="M222" s="1">
        <f t="shared" si="124"/>
        <v>0.8</v>
      </c>
      <c r="N222" s="1">
        <f t="shared" si="124"/>
        <v>0.8</v>
      </c>
      <c r="O222" s="1">
        <f t="shared" si="124"/>
        <v>0.83888888888888891</v>
      </c>
      <c r="P222" s="1">
        <f t="shared" si="124"/>
        <v>1.0527777777777778</v>
      </c>
      <c r="Q222" s="1">
        <f t="shared" si="124"/>
        <v>1.3416666666666666</v>
      </c>
      <c r="R222" s="1">
        <f t="shared" si="124"/>
        <v>1.5583333333333333</v>
      </c>
      <c r="S222" s="1">
        <f t="shared" si="120"/>
        <v>1.8527777777777779</v>
      </c>
      <c r="T222" s="1">
        <f t="shared" si="120"/>
        <v>2.0666666666666669</v>
      </c>
      <c r="U222" s="1">
        <f t="shared" si="120"/>
        <v>2.3555555555555556</v>
      </c>
      <c r="V222" s="1">
        <f t="shared" si="120"/>
        <v>2.5722222222222224</v>
      </c>
      <c r="W222" s="1">
        <f t="shared" si="120"/>
        <v>2.8666666666666667</v>
      </c>
      <c r="X222" s="1">
        <f t="shared" si="120"/>
        <v>3.0805555555555557</v>
      </c>
      <c r="Y222" s="1">
        <f t="shared" si="120"/>
        <v>3.3694444444444445</v>
      </c>
      <c r="Z222" s="1">
        <f t="shared" si="120"/>
        <v>3.5861111111111112</v>
      </c>
      <c r="AA222" s="1">
        <f t="shared" si="120"/>
        <v>3.8805555555555555</v>
      </c>
      <c r="AB222" s="1">
        <f t="shared" si="120"/>
        <v>4.0944444444444441</v>
      </c>
      <c r="AC222" s="1">
        <f t="shared" si="120"/>
        <v>4.3861111111111111</v>
      </c>
      <c r="AD222" s="1">
        <f t="shared" si="120"/>
        <v>4.6027777777777779</v>
      </c>
      <c r="AE222" s="1">
        <f t="shared" si="120"/>
        <v>4.6027777777777779</v>
      </c>
      <c r="AF222" s="3">
        <f t="shared" si="120"/>
        <v>4.8972222222222221</v>
      </c>
      <c r="AG222" s="1">
        <f t="shared" si="116"/>
        <v>5.1111111111111107</v>
      </c>
      <c r="AH222" s="1">
        <f t="shared" si="116"/>
        <v>5.4</v>
      </c>
      <c r="AI222" s="1">
        <f t="shared" si="116"/>
        <v>5.4</v>
      </c>
      <c r="AJ222" s="1">
        <f t="shared" si="116"/>
        <v>5.6166666666666663</v>
      </c>
      <c r="AK222" s="1">
        <f t="shared" si="116"/>
        <v>5.6166666666666663</v>
      </c>
      <c r="AL222" s="1">
        <f t="shared" si="116"/>
        <v>6.125</v>
      </c>
      <c r="AM222" s="1">
        <f t="shared" si="116"/>
        <v>6.6305555555555555</v>
      </c>
      <c r="AN222" s="1">
        <f t="shared" si="116"/>
        <v>6.6305555555555555</v>
      </c>
      <c r="AO222" s="1">
        <f t="shared" si="116"/>
        <v>7.1388888888888893</v>
      </c>
      <c r="AP222" s="1">
        <f t="shared" si="116"/>
        <v>7.6444444444444448</v>
      </c>
      <c r="AQ222" s="1">
        <f t="shared" si="116"/>
        <v>7.6444444444444448</v>
      </c>
      <c r="AR222" s="1">
        <f t="shared" si="116"/>
        <v>8.1527777777777786</v>
      </c>
      <c r="AS222" s="1">
        <f t="shared" si="116"/>
        <v>8.6611111111111114</v>
      </c>
      <c r="AT222" s="1">
        <f t="shared" si="116"/>
        <v>9.1694444444444443</v>
      </c>
      <c r="AU222" s="1">
        <f t="shared" si="116"/>
        <v>9.6750000000000007</v>
      </c>
      <c r="AV222" s="1">
        <f t="shared" si="116"/>
        <v>9.6750000000000007</v>
      </c>
      <c r="AW222" s="1">
        <f t="shared" si="121"/>
        <v>14.241666666666667</v>
      </c>
      <c r="AX222" s="1">
        <f t="shared" si="117"/>
        <v>14.747222222222222</v>
      </c>
      <c r="AY222" s="1">
        <f t="shared" si="117"/>
        <v>15.255555555555556</v>
      </c>
      <c r="AZ222" s="1">
        <f t="shared" si="117"/>
        <v>15.761111111111111</v>
      </c>
      <c r="BA222" s="1">
        <f t="shared" si="117"/>
        <v>16.269444444444446</v>
      </c>
      <c r="BB222" s="1">
        <f t="shared" si="117"/>
        <v>16.777777777777779</v>
      </c>
      <c r="BC222" s="1">
        <f t="shared" si="117"/>
        <v>17.286111111111111</v>
      </c>
      <c r="BD222" s="1">
        <f t="shared" si="117"/>
        <v>17.791666666666668</v>
      </c>
      <c r="BE222" s="1">
        <f t="shared" si="117"/>
        <v>17.791666666666668</v>
      </c>
      <c r="BF222" s="1">
        <f t="shared" si="117"/>
        <v>26.416666666666668</v>
      </c>
      <c r="BG222" s="1">
        <f t="shared" si="117"/>
        <v>26.922222222222221</v>
      </c>
      <c r="BH222" s="1">
        <f t="shared" si="117"/>
        <v>27.430555555555557</v>
      </c>
      <c r="BI222" s="1">
        <f t="shared" si="117"/>
        <v>27.93611111111111</v>
      </c>
      <c r="BJ222" s="1">
        <f t="shared" si="117"/>
        <v>28.444444444444443</v>
      </c>
      <c r="BK222" s="1">
        <f t="shared" si="117"/>
        <v>28.952777777777779</v>
      </c>
      <c r="BL222" s="1">
        <f t="shared" si="117"/>
        <v>29.461111111111112</v>
      </c>
      <c r="BM222" s="1">
        <f t="shared" si="117"/>
        <v>29.966666666666665</v>
      </c>
      <c r="BN222" s="1">
        <f t="shared" si="122"/>
        <v>30.475000000000001</v>
      </c>
      <c r="BO222" s="1">
        <f t="shared" si="118"/>
        <v>30.475000000000001</v>
      </c>
      <c r="BP222" s="1">
        <f t="shared" si="118"/>
        <v>30.980555555555554</v>
      </c>
      <c r="BQ222" s="1">
        <f t="shared" si="118"/>
        <v>31.488888888888887</v>
      </c>
      <c r="BR222" s="1">
        <f t="shared" si="118"/>
        <v>31.994444444444444</v>
      </c>
      <c r="BS222" s="1">
        <f t="shared" si="118"/>
        <v>32.50277777777778</v>
      </c>
      <c r="BT222" s="1">
        <f t="shared" si="118"/>
        <v>33.011111111111113</v>
      </c>
      <c r="BU222" s="1">
        <f t="shared" si="118"/>
        <v>33.519444444444446</v>
      </c>
      <c r="BV222" s="1">
        <f t="shared" si="118"/>
        <v>33.519444444444446</v>
      </c>
      <c r="BW222" s="1">
        <f t="shared" si="118"/>
        <v>34.024999999999999</v>
      </c>
      <c r="BX222" s="1">
        <f t="shared" si="118"/>
        <v>34.533333333333331</v>
      </c>
      <c r="BY222" s="1">
        <f t="shared" si="118"/>
        <v>35.038888888888891</v>
      </c>
      <c r="BZ222" s="1">
        <f t="shared" si="118"/>
        <v>35.547222222222224</v>
      </c>
      <c r="CA222" s="1">
        <f t="shared" si="118"/>
        <v>36.052777777777777</v>
      </c>
      <c r="CB222" s="1">
        <f t="shared" si="118"/>
        <v>36.56111111111111</v>
      </c>
      <c r="CC222" s="1">
        <f t="shared" si="118"/>
        <v>37.069444444444443</v>
      </c>
      <c r="CD222" s="1">
        <f t="shared" si="118"/>
        <v>37.577777777777776</v>
      </c>
      <c r="CE222" s="1">
        <f t="shared" si="123"/>
        <v>38.083333333333336</v>
      </c>
      <c r="CF222" s="1">
        <f t="shared" si="123"/>
        <v>38.591666666666669</v>
      </c>
      <c r="CG222" s="1">
        <f t="shared" si="123"/>
        <v>39.097222222222221</v>
      </c>
      <c r="CH222" s="1">
        <f t="shared" si="123"/>
        <v>39.605555555555554</v>
      </c>
      <c r="CI222" s="1">
        <f t="shared" si="123"/>
        <v>40.111111111111114</v>
      </c>
      <c r="CJ222" s="1">
        <f t="shared" si="123"/>
        <v>40.619444444444447</v>
      </c>
      <c r="CK222" s="1">
        <f t="shared" si="123"/>
        <v>41.12777777777778</v>
      </c>
      <c r="CL222" s="1">
        <f t="shared" si="123"/>
        <v>41.636111111111113</v>
      </c>
      <c r="CM222" s="1">
        <f t="shared" si="123"/>
        <v>42.141666666666666</v>
      </c>
      <c r="CN222" s="1">
        <f t="shared" si="123"/>
        <v>42.65</v>
      </c>
      <c r="CO222" s="1">
        <f t="shared" si="123"/>
        <v>43.155555555555559</v>
      </c>
      <c r="CP222" s="1">
        <f t="shared" si="123"/>
        <v>43.663888888888891</v>
      </c>
      <c r="CQ222" s="1">
        <f t="shared" si="123"/>
        <v>44.169444444444444</v>
      </c>
      <c r="CR222" s="1">
        <f t="shared" si="123"/>
        <v>44.677777777777777</v>
      </c>
      <c r="CS222" s="1">
        <f t="shared" si="119"/>
        <v>45.18611111111111</v>
      </c>
      <c r="CT222" s="1">
        <f t="shared" si="119"/>
        <v>45.694444444444443</v>
      </c>
      <c r="CU222" s="1">
        <f t="shared" si="119"/>
        <v>46.2</v>
      </c>
      <c r="CV222" s="1">
        <f t="shared" si="119"/>
        <v>46.708333333333336</v>
      </c>
      <c r="CW222" s="1">
        <f t="shared" si="119"/>
        <v>47.213888888888889</v>
      </c>
      <c r="CX222" s="1">
        <f t="shared" si="119"/>
        <v>47.722222222222221</v>
      </c>
      <c r="CY222" s="1">
        <f t="shared" si="119"/>
        <v>48.227777777777774</v>
      </c>
      <c r="CZ222" s="1">
        <f t="shared" si="119"/>
        <v>48.736111111111114</v>
      </c>
      <c r="DA222" s="1">
        <f t="shared" si="119"/>
        <v>49.244444444444447</v>
      </c>
      <c r="DB222" s="1">
        <f t="shared" si="119"/>
        <v>49.75277777777778</v>
      </c>
      <c r="DC222" s="1">
        <f t="shared" si="119"/>
        <v>49.75277777777778</v>
      </c>
    </row>
    <row r="223" spans="1:107" x14ac:dyDescent="0.25">
      <c r="A223">
        <f t="shared" si="114"/>
        <v>5</v>
      </c>
      <c r="B223" s="2">
        <f>yields_BRUTE!B223</f>
        <v>42327</v>
      </c>
      <c r="C223" s="1">
        <f t="shared" si="124"/>
        <v>-0.73055555555555551</v>
      </c>
      <c r="D223" s="1">
        <f t="shared" si="124"/>
        <v>-0.69166666666666665</v>
      </c>
      <c r="E223" s="1">
        <f t="shared" si="124"/>
        <v>-0.47499999999999998</v>
      </c>
      <c r="F223" s="1">
        <f t="shared" si="124"/>
        <v>-0.21944444444444444</v>
      </c>
      <c r="G223" s="1">
        <f t="shared" si="124"/>
        <v>-0.18055555555555555</v>
      </c>
      <c r="H223" s="1">
        <f t="shared" si="124"/>
        <v>3.3333333333333333E-2</v>
      </c>
      <c r="I223" s="1">
        <f t="shared" si="124"/>
        <v>3.3333333333333333E-2</v>
      </c>
      <c r="J223" s="1">
        <f t="shared" si="124"/>
        <v>0.28611111111111109</v>
      </c>
      <c r="K223" s="1">
        <f t="shared" si="124"/>
        <v>0.32500000000000001</v>
      </c>
      <c r="L223" s="1">
        <f t="shared" si="124"/>
        <v>0.54166666666666663</v>
      </c>
      <c r="M223" s="1">
        <f t="shared" si="124"/>
        <v>0.79722222222222228</v>
      </c>
      <c r="N223" s="1">
        <f t="shared" si="124"/>
        <v>0.79722222222222228</v>
      </c>
      <c r="O223" s="1">
        <f t="shared" si="124"/>
        <v>0.83611111111111114</v>
      </c>
      <c r="P223" s="1">
        <f t="shared" si="124"/>
        <v>1.05</v>
      </c>
      <c r="Q223" s="1">
        <f t="shared" si="124"/>
        <v>1.3388888888888888</v>
      </c>
      <c r="R223" s="1">
        <f t="shared" si="124"/>
        <v>1.5555555555555556</v>
      </c>
      <c r="S223" s="1">
        <f t="shared" si="120"/>
        <v>1.85</v>
      </c>
      <c r="T223" s="1">
        <f t="shared" si="120"/>
        <v>2.0638888888888891</v>
      </c>
      <c r="U223" s="1">
        <f t="shared" si="120"/>
        <v>2.3527777777777779</v>
      </c>
      <c r="V223" s="1">
        <f t="shared" si="120"/>
        <v>2.5694444444444446</v>
      </c>
      <c r="W223" s="1">
        <f t="shared" si="120"/>
        <v>2.8638888888888889</v>
      </c>
      <c r="X223" s="1">
        <f t="shared" si="120"/>
        <v>3.0777777777777779</v>
      </c>
      <c r="Y223" s="1">
        <f t="shared" si="120"/>
        <v>3.3666666666666667</v>
      </c>
      <c r="Z223" s="1">
        <f t="shared" si="120"/>
        <v>3.5833333333333335</v>
      </c>
      <c r="AA223" s="1">
        <f t="shared" si="120"/>
        <v>3.8777777777777778</v>
      </c>
      <c r="AB223" s="1">
        <f t="shared" si="120"/>
        <v>4.0916666666666668</v>
      </c>
      <c r="AC223" s="1">
        <f t="shared" si="120"/>
        <v>4.3833333333333337</v>
      </c>
      <c r="AD223" s="1">
        <f t="shared" si="120"/>
        <v>4.5999999999999996</v>
      </c>
      <c r="AE223" s="1">
        <f t="shared" si="120"/>
        <v>4.5999999999999996</v>
      </c>
      <c r="AF223" s="3">
        <f t="shared" si="120"/>
        <v>4.8944444444444448</v>
      </c>
      <c r="AG223" s="1">
        <f t="shared" si="116"/>
        <v>5.1083333333333334</v>
      </c>
      <c r="AH223" s="1">
        <f t="shared" si="116"/>
        <v>5.3972222222222221</v>
      </c>
      <c r="AI223" s="1">
        <f t="shared" si="116"/>
        <v>5.3972222222222221</v>
      </c>
      <c r="AJ223" s="1">
        <f t="shared" si="116"/>
        <v>5.6138888888888889</v>
      </c>
      <c r="AK223" s="1">
        <f t="shared" si="116"/>
        <v>5.6138888888888889</v>
      </c>
      <c r="AL223" s="1">
        <f t="shared" si="116"/>
        <v>6.1222222222222218</v>
      </c>
      <c r="AM223" s="1">
        <f t="shared" si="116"/>
        <v>6.6277777777777782</v>
      </c>
      <c r="AN223" s="1">
        <f t="shared" si="116"/>
        <v>6.6277777777777782</v>
      </c>
      <c r="AO223" s="1">
        <f t="shared" si="116"/>
        <v>7.1361111111111111</v>
      </c>
      <c r="AP223" s="1">
        <f t="shared" si="116"/>
        <v>7.6416666666666666</v>
      </c>
      <c r="AQ223" s="1">
        <f t="shared" si="116"/>
        <v>7.6416666666666666</v>
      </c>
      <c r="AR223" s="1">
        <f t="shared" si="116"/>
        <v>8.15</v>
      </c>
      <c r="AS223" s="1">
        <f t="shared" si="116"/>
        <v>8.6583333333333332</v>
      </c>
      <c r="AT223" s="1">
        <f t="shared" si="116"/>
        <v>9.1666666666666661</v>
      </c>
      <c r="AU223" s="1">
        <f t="shared" si="116"/>
        <v>9.6722222222222225</v>
      </c>
      <c r="AV223" s="1">
        <f t="shared" si="116"/>
        <v>9.6722222222222225</v>
      </c>
      <c r="AW223" s="1">
        <f t="shared" si="121"/>
        <v>14.238888888888889</v>
      </c>
      <c r="AX223" s="1">
        <f t="shared" si="117"/>
        <v>14.744444444444444</v>
      </c>
      <c r="AY223" s="1">
        <f t="shared" si="117"/>
        <v>15.252777777777778</v>
      </c>
      <c r="AZ223" s="1">
        <f t="shared" si="117"/>
        <v>15.758333333333333</v>
      </c>
      <c r="BA223" s="1">
        <f t="shared" si="117"/>
        <v>16.266666666666666</v>
      </c>
      <c r="BB223" s="1">
        <f t="shared" si="117"/>
        <v>16.774999999999999</v>
      </c>
      <c r="BC223" s="1">
        <f t="shared" si="117"/>
        <v>17.283333333333335</v>
      </c>
      <c r="BD223" s="1">
        <f t="shared" si="117"/>
        <v>17.788888888888888</v>
      </c>
      <c r="BE223" s="1">
        <f t="shared" si="117"/>
        <v>17.788888888888888</v>
      </c>
      <c r="BF223" s="1">
        <f t="shared" si="117"/>
        <v>26.413888888888888</v>
      </c>
      <c r="BG223" s="1">
        <f t="shared" si="117"/>
        <v>26.919444444444444</v>
      </c>
      <c r="BH223" s="1">
        <f t="shared" si="117"/>
        <v>27.427777777777777</v>
      </c>
      <c r="BI223" s="1">
        <f t="shared" si="117"/>
        <v>27.933333333333334</v>
      </c>
      <c r="BJ223" s="1">
        <f t="shared" si="117"/>
        <v>28.441666666666666</v>
      </c>
      <c r="BK223" s="1">
        <f t="shared" si="117"/>
        <v>28.95</v>
      </c>
      <c r="BL223" s="1">
        <f t="shared" si="117"/>
        <v>29.458333333333332</v>
      </c>
      <c r="BM223" s="1">
        <f t="shared" si="117"/>
        <v>29.963888888888889</v>
      </c>
      <c r="BN223" s="1">
        <f t="shared" si="122"/>
        <v>30.472222222222221</v>
      </c>
      <c r="BO223" s="1">
        <f t="shared" si="118"/>
        <v>30.472222222222221</v>
      </c>
      <c r="BP223" s="1">
        <f t="shared" si="118"/>
        <v>30.977777777777778</v>
      </c>
      <c r="BQ223" s="1">
        <f t="shared" si="118"/>
        <v>31.486111111111111</v>
      </c>
      <c r="BR223" s="1">
        <f t="shared" si="118"/>
        <v>31.991666666666667</v>
      </c>
      <c r="BS223" s="1">
        <f t="shared" si="118"/>
        <v>32.5</v>
      </c>
      <c r="BT223" s="1">
        <f t="shared" si="118"/>
        <v>33.008333333333333</v>
      </c>
      <c r="BU223" s="1">
        <f t="shared" si="118"/>
        <v>33.516666666666666</v>
      </c>
      <c r="BV223" s="1">
        <f t="shared" si="118"/>
        <v>33.516666666666666</v>
      </c>
      <c r="BW223" s="1">
        <f t="shared" si="118"/>
        <v>34.022222222222226</v>
      </c>
      <c r="BX223" s="1">
        <f t="shared" si="118"/>
        <v>34.530555555555559</v>
      </c>
      <c r="BY223" s="1">
        <f t="shared" si="118"/>
        <v>35.036111111111111</v>
      </c>
      <c r="BZ223" s="1">
        <f t="shared" si="118"/>
        <v>35.544444444444444</v>
      </c>
      <c r="CA223" s="1">
        <f t="shared" si="118"/>
        <v>36.049999999999997</v>
      </c>
      <c r="CB223" s="1">
        <f t="shared" si="118"/>
        <v>36.55833333333333</v>
      </c>
      <c r="CC223" s="1">
        <f t="shared" si="118"/>
        <v>37.06666666666667</v>
      </c>
      <c r="CD223" s="1">
        <f t="shared" si="118"/>
        <v>37.575000000000003</v>
      </c>
      <c r="CE223" s="1">
        <f t="shared" si="123"/>
        <v>38.080555555555556</v>
      </c>
      <c r="CF223" s="1">
        <f t="shared" si="123"/>
        <v>38.588888888888889</v>
      </c>
      <c r="CG223" s="1">
        <f t="shared" si="123"/>
        <v>39.094444444444441</v>
      </c>
      <c r="CH223" s="1">
        <f t="shared" si="123"/>
        <v>39.602777777777774</v>
      </c>
      <c r="CI223" s="1">
        <f t="shared" si="123"/>
        <v>40.108333333333334</v>
      </c>
      <c r="CJ223" s="1">
        <f t="shared" si="123"/>
        <v>40.616666666666667</v>
      </c>
      <c r="CK223" s="1">
        <f t="shared" si="123"/>
        <v>41.125</v>
      </c>
      <c r="CL223" s="1">
        <f t="shared" si="123"/>
        <v>41.633333333333333</v>
      </c>
      <c r="CM223" s="1">
        <f t="shared" si="123"/>
        <v>42.138888888888886</v>
      </c>
      <c r="CN223" s="1">
        <f t="shared" si="123"/>
        <v>42.647222222222226</v>
      </c>
      <c r="CO223" s="1">
        <f t="shared" si="123"/>
        <v>43.152777777777779</v>
      </c>
      <c r="CP223" s="1">
        <f t="shared" si="123"/>
        <v>43.661111111111111</v>
      </c>
      <c r="CQ223" s="1">
        <f t="shared" si="123"/>
        <v>44.166666666666664</v>
      </c>
      <c r="CR223" s="1">
        <f t="shared" si="123"/>
        <v>44.674999999999997</v>
      </c>
      <c r="CS223" s="1">
        <f t="shared" si="119"/>
        <v>45.18333333333333</v>
      </c>
      <c r="CT223" s="1">
        <f t="shared" si="119"/>
        <v>45.69166666666667</v>
      </c>
      <c r="CU223" s="1">
        <f t="shared" si="119"/>
        <v>46.197222222222223</v>
      </c>
      <c r="CV223" s="1">
        <f t="shared" si="119"/>
        <v>46.705555555555556</v>
      </c>
      <c r="CW223" s="1">
        <f t="shared" si="119"/>
        <v>47.211111111111109</v>
      </c>
      <c r="CX223" s="1">
        <f t="shared" si="119"/>
        <v>47.719444444444441</v>
      </c>
      <c r="CY223" s="1">
        <f t="shared" si="119"/>
        <v>48.225000000000001</v>
      </c>
      <c r="CZ223" s="1">
        <f t="shared" si="119"/>
        <v>48.733333333333334</v>
      </c>
      <c r="DA223" s="1">
        <f t="shared" si="119"/>
        <v>49.241666666666667</v>
      </c>
      <c r="DB223" s="1">
        <f t="shared" si="119"/>
        <v>49.75</v>
      </c>
      <c r="DC223" s="1">
        <f t="shared" si="119"/>
        <v>49.75</v>
      </c>
    </row>
    <row r="224" spans="1:107" x14ac:dyDescent="0.25">
      <c r="A224">
        <f t="shared" si="114"/>
        <v>6</v>
      </c>
      <c r="B224" s="2">
        <f>yields_BRUTE!B224</f>
        <v>42328</v>
      </c>
      <c r="C224" s="1">
        <f t="shared" si="124"/>
        <v>-0.73333333333333328</v>
      </c>
      <c r="D224" s="1">
        <f t="shared" si="124"/>
        <v>-0.69444444444444442</v>
      </c>
      <c r="E224" s="1">
        <f t="shared" si="124"/>
        <v>-0.4777777777777778</v>
      </c>
      <c r="F224" s="1">
        <f t="shared" si="124"/>
        <v>-0.22222222222222221</v>
      </c>
      <c r="G224" s="1">
        <f t="shared" si="124"/>
        <v>-0.18333333333333332</v>
      </c>
      <c r="H224" s="1">
        <f t="shared" si="124"/>
        <v>3.0555555555555555E-2</v>
      </c>
      <c r="I224" s="1">
        <f t="shared" si="124"/>
        <v>3.0555555555555555E-2</v>
      </c>
      <c r="J224" s="1">
        <f t="shared" si="124"/>
        <v>0.28333333333333333</v>
      </c>
      <c r="K224" s="1">
        <f t="shared" si="124"/>
        <v>0.32222222222222224</v>
      </c>
      <c r="L224" s="1">
        <f t="shared" si="124"/>
        <v>0.53888888888888886</v>
      </c>
      <c r="M224" s="1">
        <f t="shared" si="124"/>
        <v>0.7944444444444444</v>
      </c>
      <c r="N224" s="1">
        <f t="shared" si="124"/>
        <v>0.7944444444444444</v>
      </c>
      <c r="O224" s="1">
        <f t="shared" si="124"/>
        <v>0.83333333333333337</v>
      </c>
      <c r="P224" s="1">
        <f t="shared" si="124"/>
        <v>1.0472222222222223</v>
      </c>
      <c r="Q224" s="1">
        <f t="shared" si="124"/>
        <v>1.336111111111111</v>
      </c>
      <c r="R224" s="1">
        <f t="shared" si="124"/>
        <v>1.5527777777777778</v>
      </c>
      <c r="S224" s="1">
        <f t="shared" si="120"/>
        <v>1.8472222222222223</v>
      </c>
      <c r="T224" s="1">
        <f t="shared" si="120"/>
        <v>2.0611111111111109</v>
      </c>
      <c r="U224" s="1">
        <f t="shared" si="120"/>
        <v>2.35</v>
      </c>
      <c r="V224" s="1">
        <f t="shared" si="120"/>
        <v>2.5666666666666669</v>
      </c>
      <c r="W224" s="1">
        <f t="shared" si="120"/>
        <v>2.8611111111111112</v>
      </c>
      <c r="X224" s="1">
        <f t="shared" si="120"/>
        <v>3.0750000000000002</v>
      </c>
      <c r="Y224" s="1">
        <f t="shared" si="120"/>
        <v>3.3638888888888889</v>
      </c>
      <c r="Z224" s="1">
        <f t="shared" si="120"/>
        <v>3.5805555555555557</v>
      </c>
      <c r="AA224" s="1">
        <f t="shared" si="120"/>
        <v>3.875</v>
      </c>
      <c r="AB224" s="1">
        <f t="shared" si="120"/>
        <v>4.0888888888888886</v>
      </c>
      <c r="AC224" s="1">
        <f t="shared" si="120"/>
        <v>4.3805555555555555</v>
      </c>
      <c r="AD224" s="1">
        <f t="shared" si="120"/>
        <v>4.5972222222222223</v>
      </c>
      <c r="AE224" s="1">
        <f t="shared" si="120"/>
        <v>4.5972222222222223</v>
      </c>
      <c r="AF224" s="3">
        <f t="shared" si="120"/>
        <v>4.8916666666666666</v>
      </c>
      <c r="AG224" s="1">
        <f t="shared" si="116"/>
        <v>5.1055555555555552</v>
      </c>
      <c r="AH224" s="1">
        <f t="shared" si="116"/>
        <v>5.3944444444444448</v>
      </c>
      <c r="AI224" s="1">
        <f t="shared" si="116"/>
        <v>5.3944444444444448</v>
      </c>
      <c r="AJ224" s="1">
        <f t="shared" si="116"/>
        <v>5.6111111111111107</v>
      </c>
      <c r="AK224" s="1">
        <f t="shared" si="116"/>
        <v>5.6111111111111107</v>
      </c>
      <c r="AL224" s="1">
        <f t="shared" si="116"/>
        <v>6.1194444444444445</v>
      </c>
      <c r="AM224" s="1">
        <f t="shared" si="116"/>
        <v>6.625</v>
      </c>
      <c r="AN224" s="1">
        <f t="shared" si="116"/>
        <v>6.625</v>
      </c>
      <c r="AO224" s="1">
        <f t="shared" si="116"/>
        <v>7.1333333333333337</v>
      </c>
      <c r="AP224" s="1">
        <f t="shared" si="116"/>
        <v>7.6388888888888893</v>
      </c>
      <c r="AQ224" s="1">
        <f t="shared" si="116"/>
        <v>7.6388888888888893</v>
      </c>
      <c r="AR224" s="1">
        <f t="shared" si="116"/>
        <v>8.1472222222222221</v>
      </c>
      <c r="AS224" s="1">
        <f t="shared" si="116"/>
        <v>8.655555555555555</v>
      </c>
      <c r="AT224" s="1">
        <f t="shared" si="116"/>
        <v>9.1638888888888896</v>
      </c>
      <c r="AU224" s="1">
        <f t="shared" si="116"/>
        <v>9.6694444444444443</v>
      </c>
      <c r="AV224" s="1">
        <f t="shared" si="116"/>
        <v>9.6694444444444443</v>
      </c>
      <c r="AW224" s="1">
        <f t="shared" si="121"/>
        <v>14.236111111111111</v>
      </c>
      <c r="AX224" s="1">
        <f t="shared" si="117"/>
        <v>14.741666666666667</v>
      </c>
      <c r="AY224" s="1">
        <f t="shared" si="117"/>
        <v>15.25</v>
      </c>
      <c r="AZ224" s="1">
        <f t="shared" si="117"/>
        <v>15.755555555555556</v>
      </c>
      <c r="BA224" s="1">
        <f t="shared" si="117"/>
        <v>16.263888888888889</v>
      </c>
      <c r="BB224" s="1">
        <f t="shared" si="117"/>
        <v>16.772222222222222</v>
      </c>
      <c r="BC224" s="1">
        <f t="shared" si="117"/>
        <v>17.280555555555555</v>
      </c>
      <c r="BD224" s="1">
        <f t="shared" si="117"/>
        <v>17.786111111111111</v>
      </c>
      <c r="BE224" s="1">
        <f t="shared" si="117"/>
        <v>17.786111111111111</v>
      </c>
      <c r="BF224" s="1">
        <f t="shared" si="117"/>
        <v>26.411111111111111</v>
      </c>
      <c r="BG224" s="1">
        <f t="shared" si="117"/>
        <v>26.916666666666668</v>
      </c>
      <c r="BH224" s="1">
        <f t="shared" si="117"/>
        <v>27.425000000000001</v>
      </c>
      <c r="BI224" s="1">
        <f t="shared" si="117"/>
        <v>27.930555555555557</v>
      </c>
      <c r="BJ224" s="1">
        <f t="shared" si="117"/>
        <v>28.43888888888889</v>
      </c>
      <c r="BK224" s="1">
        <f t="shared" si="117"/>
        <v>28.947222222222223</v>
      </c>
      <c r="BL224" s="1">
        <f t="shared" si="117"/>
        <v>29.455555555555556</v>
      </c>
      <c r="BM224" s="1">
        <f t="shared" si="117"/>
        <v>29.961111111111112</v>
      </c>
      <c r="BN224" s="1">
        <f t="shared" si="122"/>
        <v>30.469444444444445</v>
      </c>
      <c r="BO224" s="1">
        <f t="shared" si="118"/>
        <v>30.469444444444445</v>
      </c>
      <c r="BP224" s="1">
        <f t="shared" si="118"/>
        <v>30.975000000000001</v>
      </c>
      <c r="BQ224" s="1">
        <f t="shared" si="118"/>
        <v>31.483333333333334</v>
      </c>
      <c r="BR224" s="1">
        <f t="shared" si="118"/>
        <v>31.988888888888887</v>
      </c>
      <c r="BS224" s="1">
        <f t="shared" si="118"/>
        <v>32.49722222222222</v>
      </c>
      <c r="BT224" s="1">
        <f t="shared" si="118"/>
        <v>33.005555555555553</v>
      </c>
      <c r="BU224" s="1">
        <f t="shared" si="118"/>
        <v>33.513888888888886</v>
      </c>
      <c r="BV224" s="1">
        <f t="shared" si="118"/>
        <v>33.513888888888886</v>
      </c>
      <c r="BW224" s="1">
        <f t="shared" si="118"/>
        <v>34.019444444444446</v>
      </c>
      <c r="BX224" s="1">
        <f t="shared" si="118"/>
        <v>34.527777777777779</v>
      </c>
      <c r="BY224" s="1">
        <f t="shared" si="118"/>
        <v>35.033333333333331</v>
      </c>
      <c r="BZ224" s="1">
        <f t="shared" si="118"/>
        <v>35.541666666666664</v>
      </c>
      <c r="CA224" s="1">
        <f t="shared" si="118"/>
        <v>36.047222222222224</v>
      </c>
      <c r="CB224" s="1">
        <f t="shared" si="118"/>
        <v>36.555555555555557</v>
      </c>
      <c r="CC224" s="1">
        <f t="shared" si="118"/>
        <v>37.06388888888889</v>
      </c>
      <c r="CD224" s="1">
        <f t="shared" si="118"/>
        <v>37.572222222222223</v>
      </c>
      <c r="CE224" s="1">
        <f t="shared" si="123"/>
        <v>38.077777777777776</v>
      </c>
      <c r="CF224" s="1">
        <f t="shared" si="123"/>
        <v>38.586111111111109</v>
      </c>
      <c r="CG224" s="1">
        <f t="shared" si="123"/>
        <v>39.091666666666669</v>
      </c>
      <c r="CH224" s="1">
        <f t="shared" si="123"/>
        <v>39.6</v>
      </c>
      <c r="CI224" s="1">
        <f t="shared" si="123"/>
        <v>40.105555555555554</v>
      </c>
      <c r="CJ224" s="1">
        <f t="shared" si="123"/>
        <v>40.613888888888887</v>
      </c>
      <c r="CK224" s="1">
        <f t="shared" si="123"/>
        <v>41.12222222222222</v>
      </c>
      <c r="CL224" s="1">
        <f t="shared" si="123"/>
        <v>41.630555555555553</v>
      </c>
      <c r="CM224" s="1">
        <f t="shared" si="123"/>
        <v>42.136111111111113</v>
      </c>
      <c r="CN224" s="1">
        <f t="shared" si="123"/>
        <v>42.644444444444446</v>
      </c>
      <c r="CO224" s="1">
        <f t="shared" si="123"/>
        <v>43.15</v>
      </c>
      <c r="CP224" s="1">
        <f t="shared" si="123"/>
        <v>43.658333333333331</v>
      </c>
      <c r="CQ224" s="1">
        <f t="shared" si="123"/>
        <v>44.163888888888891</v>
      </c>
      <c r="CR224" s="1">
        <f t="shared" si="123"/>
        <v>44.672222222222224</v>
      </c>
      <c r="CS224" s="1">
        <f t="shared" si="119"/>
        <v>45.180555555555557</v>
      </c>
      <c r="CT224" s="1">
        <f t="shared" si="119"/>
        <v>45.68888888888889</v>
      </c>
      <c r="CU224" s="1">
        <f t="shared" si="119"/>
        <v>46.194444444444443</v>
      </c>
      <c r="CV224" s="1">
        <f t="shared" si="119"/>
        <v>46.702777777777776</v>
      </c>
      <c r="CW224" s="1">
        <f t="shared" si="119"/>
        <v>47.208333333333336</v>
      </c>
      <c r="CX224" s="1">
        <f t="shared" si="119"/>
        <v>47.716666666666669</v>
      </c>
      <c r="CY224" s="1">
        <f t="shared" si="119"/>
        <v>48.222222222222221</v>
      </c>
      <c r="CZ224" s="1">
        <f t="shared" si="119"/>
        <v>48.730555555555554</v>
      </c>
      <c r="DA224" s="1">
        <f t="shared" si="119"/>
        <v>49.238888888888887</v>
      </c>
      <c r="DB224" s="1">
        <f t="shared" si="119"/>
        <v>49.74722222222222</v>
      </c>
      <c r="DC224" s="1">
        <f t="shared" si="119"/>
        <v>49.74722222222222</v>
      </c>
    </row>
    <row r="225" spans="1:107" x14ac:dyDescent="0.25">
      <c r="A225">
        <f t="shared" si="114"/>
        <v>2</v>
      </c>
      <c r="B225" s="2">
        <f>yields_BRUTE!B225</f>
        <v>42331</v>
      </c>
      <c r="C225" s="1">
        <f t="shared" si="124"/>
        <v>-0.7416666666666667</v>
      </c>
      <c r="D225" s="1">
        <f t="shared" si="124"/>
        <v>-0.70277777777777772</v>
      </c>
      <c r="E225" s="1">
        <f t="shared" si="124"/>
        <v>-0.4861111111111111</v>
      </c>
      <c r="F225" s="1">
        <f t="shared" si="124"/>
        <v>-0.23055555555555557</v>
      </c>
      <c r="G225" s="1">
        <f t="shared" si="124"/>
        <v>-0.19166666666666668</v>
      </c>
      <c r="H225" s="1">
        <f t="shared" si="124"/>
        <v>2.2222222222222223E-2</v>
      </c>
      <c r="I225" s="1">
        <f t="shared" si="124"/>
        <v>2.2222222222222223E-2</v>
      </c>
      <c r="J225" s="1">
        <f t="shared" si="124"/>
        <v>0.27500000000000002</v>
      </c>
      <c r="K225" s="1">
        <f t="shared" si="124"/>
        <v>0.31388888888888888</v>
      </c>
      <c r="L225" s="1">
        <f t="shared" si="124"/>
        <v>0.53055555555555556</v>
      </c>
      <c r="M225" s="1">
        <f t="shared" si="124"/>
        <v>0.78611111111111109</v>
      </c>
      <c r="N225" s="1">
        <f t="shared" si="124"/>
        <v>0.78611111111111109</v>
      </c>
      <c r="O225" s="1">
        <f t="shared" si="124"/>
        <v>0.82499999999999996</v>
      </c>
      <c r="P225" s="1">
        <f t="shared" si="124"/>
        <v>1.038888888888889</v>
      </c>
      <c r="Q225" s="1">
        <f t="shared" si="124"/>
        <v>1.3277777777777777</v>
      </c>
      <c r="R225" s="1">
        <f t="shared" si="124"/>
        <v>1.5444444444444445</v>
      </c>
      <c r="S225" s="1">
        <f t="shared" si="120"/>
        <v>1.8388888888888888</v>
      </c>
      <c r="T225" s="1">
        <f t="shared" si="120"/>
        <v>2.0527777777777776</v>
      </c>
      <c r="U225" s="1">
        <f t="shared" si="120"/>
        <v>2.3416666666666668</v>
      </c>
      <c r="V225" s="1">
        <f t="shared" si="120"/>
        <v>2.5583333333333331</v>
      </c>
      <c r="W225" s="1">
        <f t="shared" si="120"/>
        <v>2.8527777777777779</v>
      </c>
      <c r="X225" s="1">
        <f t="shared" si="120"/>
        <v>3.0666666666666669</v>
      </c>
      <c r="Y225" s="1">
        <f t="shared" si="120"/>
        <v>3.3555555555555556</v>
      </c>
      <c r="Z225" s="1">
        <f t="shared" si="120"/>
        <v>3.5722222222222224</v>
      </c>
      <c r="AA225" s="1">
        <f t="shared" si="120"/>
        <v>3.8666666666666667</v>
      </c>
      <c r="AB225" s="1">
        <f t="shared" si="120"/>
        <v>4.0805555555555557</v>
      </c>
      <c r="AC225" s="1">
        <f t="shared" si="120"/>
        <v>4.3722222222222218</v>
      </c>
      <c r="AD225" s="1">
        <f t="shared" si="120"/>
        <v>4.5888888888888886</v>
      </c>
      <c r="AE225" s="1">
        <f t="shared" si="120"/>
        <v>4.5888888888888886</v>
      </c>
      <c r="AF225" s="3">
        <f t="shared" si="120"/>
        <v>4.8833333333333337</v>
      </c>
      <c r="AG225" s="1">
        <f t="shared" si="120"/>
        <v>5.0972222222222223</v>
      </c>
      <c r="AH225" s="1">
        <f t="shared" si="120"/>
        <v>5.3861111111111111</v>
      </c>
      <c r="AI225" s="1">
        <f t="shared" ref="AI225:AX240" si="125">(AI$1-$B225)/360</f>
        <v>5.3861111111111111</v>
      </c>
      <c r="AJ225" s="1">
        <f t="shared" si="125"/>
        <v>5.6027777777777779</v>
      </c>
      <c r="AK225" s="1">
        <f t="shared" si="125"/>
        <v>5.6027777777777779</v>
      </c>
      <c r="AL225" s="1">
        <f t="shared" si="125"/>
        <v>6.1111111111111107</v>
      </c>
      <c r="AM225" s="1">
        <f t="shared" si="125"/>
        <v>6.6166666666666663</v>
      </c>
      <c r="AN225" s="1">
        <f t="shared" si="125"/>
        <v>6.6166666666666663</v>
      </c>
      <c r="AO225" s="1">
        <f t="shared" si="125"/>
        <v>7.125</v>
      </c>
      <c r="AP225" s="1">
        <f t="shared" si="125"/>
        <v>7.6305555555555555</v>
      </c>
      <c r="AQ225" s="1">
        <f t="shared" si="125"/>
        <v>7.6305555555555555</v>
      </c>
      <c r="AR225" s="1">
        <f t="shared" si="125"/>
        <v>8.1388888888888893</v>
      </c>
      <c r="AS225" s="1">
        <f t="shared" si="125"/>
        <v>8.6472222222222221</v>
      </c>
      <c r="AT225" s="1">
        <f t="shared" si="125"/>
        <v>9.155555555555555</v>
      </c>
      <c r="AU225" s="1">
        <f t="shared" si="125"/>
        <v>9.6611111111111114</v>
      </c>
      <c r="AV225" s="1">
        <f t="shared" si="125"/>
        <v>9.6611111111111114</v>
      </c>
      <c r="AW225" s="1">
        <f t="shared" si="121"/>
        <v>14.227777777777778</v>
      </c>
      <c r="AX225" s="1">
        <f t="shared" si="121"/>
        <v>14.733333333333333</v>
      </c>
      <c r="AY225" s="1">
        <f t="shared" si="121"/>
        <v>15.241666666666667</v>
      </c>
      <c r="AZ225" s="1">
        <f t="shared" si="121"/>
        <v>15.747222222222222</v>
      </c>
      <c r="BA225" s="1">
        <f t="shared" si="121"/>
        <v>16.255555555555556</v>
      </c>
      <c r="BB225" s="1">
        <f t="shared" si="121"/>
        <v>16.763888888888889</v>
      </c>
      <c r="BC225" s="1">
        <f t="shared" si="121"/>
        <v>17.272222222222222</v>
      </c>
      <c r="BD225" s="1">
        <f t="shared" si="121"/>
        <v>17.777777777777779</v>
      </c>
      <c r="BE225" s="1">
        <f t="shared" si="121"/>
        <v>17.777777777777779</v>
      </c>
      <c r="BF225" s="1">
        <f t="shared" si="121"/>
        <v>26.402777777777779</v>
      </c>
      <c r="BG225" s="1">
        <f t="shared" si="121"/>
        <v>26.908333333333335</v>
      </c>
      <c r="BH225" s="1">
        <f t="shared" si="121"/>
        <v>27.416666666666668</v>
      </c>
      <c r="BI225" s="1">
        <f t="shared" si="121"/>
        <v>27.922222222222221</v>
      </c>
      <c r="BJ225" s="1">
        <f t="shared" si="121"/>
        <v>28.430555555555557</v>
      </c>
      <c r="BK225" s="1">
        <f t="shared" si="121"/>
        <v>28.93888888888889</v>
      </c>
      <c r="BL225" s="1">
        <f t="shared" si="121"/>
        <v>29.447222222222223</v>
      </c>
      <c r="BM225" s="1">
        <f t="shared" ref="BM225:CB240" si="126">(BM$1-$B225)/360</f>
        <v>29.952777777777779</v>
      </c>
      <c r="BN225" s="1">
        <f t="shared" si="122"/>
        <v>30.461111111111112</v>
      </c>
      <c r="BO225" s="1">
        <f t="shared" si="122"/>
        <v>30.461111111111112</v>
      </c>
      <c r="BP225" s="1">
        <f t="shared" si="122"/>
        <v>30.966666666666665</v>
      </c>
      <c r="BQ225" s="1">
        <f t="shared" si="122"/>
        <v>31.475000000000001</v>
      </c>
      <c r="BR225" s="1">
        <f t="shared" si="122"/>
        <v>31.980555555555554</v>
      </c>
      <c r="BS225" s="1">
        <f t="shared" si="122"/>
        <v>32.488888888888887</v>
      </c>
      <c r="BT225" s="1">
        <f t="shared" si="122"/>
        <v>32.99722222222222</v>
      </c>
      <c r="BU225" s="1">
        <f t="shared" si="122"/>
        <v>33.505555555555553</v>
      </c>
      <c r="BV225" s="1">
        <f t="shared" si="122"/>
        <v>33.505555555555553</v>
      </c>
      <c r="BW225" s="1">
        <f t="shared" si="122"/>
        <v>34.011111111111113</v>
      </c>
      <c r="BX225" s="1">
        <f t="shared" si="122"/>
        <v>34.519444444444446</v>
      </c>
      <c r="BY225" s="1">
        <f t="shared" si="122"/>
        <v>35.024999999999999</v>
      </c>
      <c r="BZ225" s="1">
        <f t="shared" si="122"/>
        <v>35.533333333333331</v>
      </c>
      <c r="CA225" s="1">
        <f t="shared" si="122"/>
        <v>36.038888888888891</v>
      </c>
      <c r="CB225" s="1">
        <f t="shared" si="122"/>
        <v>36.547222222222224</v>
      </c>
      <c r="CC225" s="1">
        <f t="shared" si="122"/>
        <v>37.055555555555557</v>
      </c>
      <c r="CD225" s="1">
        <f t="shared" ref="CD225:CS240" si="127">(CD$1-$B225)/360</f>
        <v>37.56388888888889</v>
      </c>
      <c r="CE225" s="1">
        <f t="shared" si="123"/>
        <v>38.069444444444443</v>
      </c>
      <c r="CF225" s="1">
        <f t="shared" si="123"/>
        <v>38.577777777777776</v>
      </c>
      <c r="CG225" s="1">
        <f t="shared" si="123"/>
        <v>39.083333333333336</v>
      </c>
      <c r="CH225" s="1">
        <f t="shared" si="123"/>
        <v>39.591666666666669</v>
      </c>
      <c r="CI225" s="1">
        <f t="shared" si="123"/>
        <v>40.097222222222221</v>
      </c>
      <c r="CJ225" s="1">
        <f t="shared" si="123"/>
        <v>40.605555555555554</v>
      </c>
      <c r="CK225" s="1">
        <f t="shared" si="123"/>
        <v>41.113888888888887</v>
      </c>
      <c r="CL225" s="1">
        <f t="shared" si="123"/>
        <v>41.62222222222222</v>
      </c>
      <c r="CM225" s="1">
        <f t="shared" si="123"/>
        <v>42.12777777777778</v>
      </c>
      <c r="CN225" s="1">
        <f t="shared" si="123"/>
        <v>42.636111111111113</v>
      </c>
      <c r="CO225" s="1">
        <f t="shared" si="123"/>
        <v>43.141666666666666</v>
      </c>
      <c r="CP225" s="1">
        <f t="shared" si="123"/>
        <v>43.65</v>
      </c>
      <c r="CQ225" s="1">
        <f t="shared" si="123"/>
        <v>44.155555555555559</v>
      </c>
      <c r="CR225" s="1">
        <f t="shared" si="123"/>
        <v>44.663888888888891</v>
      </c>
      <c r="CS225" s="1">
        <f t="shared" si="123"/>
        <v>45.172222222222224</v>
      </c>
      <c r="CT225" s="1">
        <f t="shared" si="123"/>
        <v>45.680555555555557</v>
      </c>
      <c r="CU225" s="1">
        <f t="shared" ref="CU225:DC240" si="128">(CU$1-$B225)/360</f>
        <v>46.18611111111111</v>
      </c>
      <c r="CV225" s="1">
        <f t="shared" si="128"/>
        <v>46.694444444444443</v>
      </c>
      <c r="CW225" s="1">
        <f t="shared" si="128"/>
        <v>47.2</v>
      </c>
      <c r="CX225" s="1">
        <f t="shared" si="128"/>
        <v>47.708333333333336</v>
      </c>
      <c r="CY225" s="1">
        <f t="shared" si="128"/>
        <v>48.213888888888889</v>
      </c>
      <c r="CZ225" s="1">
        <f t="shared" si="128"/>
        <v>48.722222222222221</v>
      </c>
      <c r="DA225" s="1">
        <f t="shared" si="128"/>
        <v>49.230555555555554</v>
      </c>
      <c r="DB225" s="1">
        <f t="shared" si="128"/>
        <v>49.738888888888887</v>
      </c>
      <c r="DC225" s="1">
        <f t="shared" si="128"/>
        <v>49.738888888888887</v>
      </c>
    </row>
    <row r="226" spans="1:107" x14ac:dyDescent="0.25">
      <c r="A226">
        <f t="shared" si="114"/>
        <v>3</v>
      </c>
      <c r="B226" s="2">
        <f>yields_BRUTE!B226</f>
        <v>42332</v>
      </c>
      <c r="C226" s="1">
        <f t="shared" si="124"/>
        <v>-0.74444444444444446</v>
      </c>
      <c r="D226" s="1">
        <f t="shared" si="124"/>
        <v>-0.7055555555555556</v>
      </c>
      <c r="E226" s="1">
        <f t="shared" si="124"/>
        <v>-0.48888888888888887</v>
      </c>
      <c r="F226" s="1">
        <f t="shared" si="124"/>
        <v>-0.23333333333333334</v>
      </c>
      <c r="G226" s="1">
        <f t="shared" si="124"/>
        <v>-0.19444444444444445</v>
      </c>
      <c r="H226" s="1">
        <f t="shared" si="124"/>
        <v>1.9444444444444445E-2</v>
      </c>
      <c r="I226" s="1">
        <f t="shared" si="124"/>
        <v>1.9444444444444445E-2</v>
      </c>
      <c r="J226" s="1">
        <f t="shared" si="124"/>
        <v>0.2722222222222222</v>
      </c>
      <c r="K226" s="1">
        <f t="shared" si="124"/>
        <v>0.31111111111111112</v>
      </c>
      <c r="L226" s="1">
        <f t="shared" si="124"/>
        <v>0.52777777777777779</v>
      </c>
      <c r="M226" s="1">
        <f t="shared" si="124"/>
        <v>0.78333333333333333</v>
      </c>
      <c r="N226" s="1">
        <f t="shared" si="124"/>
        <v>0.78333333333333333</v>
      </c>
      <c r="O226" s="1">
        <f t="shared" si="124"/>
        <v>0.82222222222222219</v>
      </c>
      <c r="P226" s="1">
        <f t="shared" si="124"/>
        <v>1.0361111111111112</v>
      </c>
      <c r="Q226" s="1">
        <f t="shared" si="124"/>
        <v>1.325</v>
      </c>
      <c r="R226" s="1">
        <f t="shared" ref="R226:AG241" si="129">(R$1-$B226)/360</f>
        <v>1.5416666666666667</v>
      </c>
      <c r="S226" s="1">
        <f t="shared" si="129"/>
        <v>1.836111111111111</v>
      </c>
      <c r="T226" s="1">
        <f t="shared" si="129"/>
        <v>2.0499999999999998</v>
      </c>
      <c r="U226" s="1">
        <f t="shared" si="129"/>
        <v>2.338888888888889</v>
      </c>
      <c r="V226" s="1">
        <f t="shared" si="129"/>
        <v>2.5555555555555554</v>
      </c>
      <c r="W226" s="1">
        <f t="shared" si="129"/>
        <v>2.85</v>
      </c>
      <c r="X226" s="1">
        <f t="shared" si="129"/>
        <v>3.0638888888888891</v>
      </c>
      <c r="Y226" s="1">
        <f t="shared" si="129"/>
        <v>3.3527777777777779</v>
      </c>
      <c r="Z226" s="1">
        <f t="shared" si="129"/>
        <v>3.5694444444444446</v>
      </c>
      <c r="AA226" s="1">
        <f t="shared" si="129"/>
        <v>3.8638888888888889</v>
      </c>
      <c r="AB226" s="1">
        <f t="shared" si="129"/>
        <v>4.0777777777777775</v>
      </c>
      <c r="AC226" s="1">
        <f t="shared" si="129"/>
        <v>4.3694444444444445</v>
      </c>
      <c r="AD226" s="1">
        <f t="shared" si="129"/>
        <v>4.5861111111111112</v>
      </c>
      <c r="AE226" s="1">
        <f t="shared" si="129"/>
        <v>4.5861111111111112</v>
      </c>
      <c r="AF226" s="3">
        <f t="shared" si="129"/>
        <v>4.8805555555555555</v>
      </c>
      <c r="AG226" s="1">
        <f t="shared" si="129"/>
        <v>5.0944444444444441</v>
      </c>
      <c r="AH226" s="1">
        <f t="shared" ref="AH226:AW241" si="130">(AH$1-$B226)/360</f>
        <v>5.3833333333333337</v>
      </c>
      <c r="AI226" s="1">
        <f t="shared" si="125"/>
        <v>5.3833333333333337</v>
      </c>
      <c r="AJ226" s="1">
        <f t="shared" si="125"/>
        <v>5.6</v>
      </c>
      <c r="AK226" s="1">
        <f t="shared" si="125"/>
        <v>5.6</v>
      </c>
      <c r="AL226" s="1">
        <f t="shared" si="125"/>
        <v>6.1083333333333334</v>
      </c>
      <c r="AM226" s="1">
        <f t="shared" si="125"/>
        <v>6.6138888888888889</v>
      </c>
      <c r="AN226" s="1">
        <f t="shared" si="125"/>
        <v>6.6138888888888889</v>
      </c>
      <c r="AO226" s="1">
        <f t="shared" si="125"/>
        <v>7.1222222222222218</v>
      </c>
      <c r="AP226" s="1">
        <f t="shared" si="125"/>
        <v>7.6277777777777782</v>
      </c>
      <c r="AQ226" s="1">
        <f t="shared" si="125"/>
        <v>7.6277777777777782</v>
      </c>
      <c r="AR226" s="1">
        <f t="shared" si="125"/>
        <v>8.1361111111111111</v>
      </c>
      <c r="AS226" s="1">
        <f t="shared" si="125"/>
        <v>8.6444444444444439</v>
      </c>
      <c r="AT226" s="1">
        <f t="shared" si="125"/>
        <v>9.1527777777777786</v>
      </c>
      <c r="AU226" s="1">
        <f t="shared" si="125"/>
        <v>9.6583333333333332</v>
      </c>
      <c r="AV226" s="1">
        <f t="shared" si="125"/>
        <v>9.6583333333333332</v>
      </c>
      <c r="AW226" s="1">
        <f t="shared" si="125"/>
        <v>14.225</v>
      </c>
      <c r="AX226" s="1">
        <f t="shared" si="125"/>
        <v>14.730555555555556</v>
      </c>
      <c r="AY226" s="1">
        <f t="shared" ref="AY226:BN241" si="131">(AY$1-$B226)/360</f>
        <v>15.238888888888889</v>
      </c>
      <c r="AZ226" s="1">
        <f t="shared" si="131"/>
        <v>15.744444444444444</v>
      </c>
      <c r="BA226" s="1">
        <f t="shared" si="131"/>
        <v>16.252777777777776</v>
      </c>
      <c r="BB226" s="1">
        <f t="shared" si="131"/>
        <v>16.761111111111113</v>
      </c>
      <c r="BC226" s="1">
        <f t="shared" si="131"/>
        <v>17.269444444444446</v>
      </c>
      <c r="BD226" s="1">
        <f t="shared" si="131"/>
        <v>17.774999999999999</v>
      </c>
      <c r="BE226" s="1">
        <f t="shared" si="131"/>
        <v>17.774999999999999</v>
      </c>
      <c r="BF226" s="1">
        <f t="shared" si="131"/>
        <v>26.4</v>
      </c>
      <c r="BG226" s="1">
        <f t="shared" si="131"/>
        <v>26.905555555555555</v>
      </c>
      <c r="BH226" s="1">
        <f t="shared" si="131"/>
        <v>27.413888888888888</v>
      </c>
      <c r="BI226" s="1">
        <f t="shared" si="131"/>
        <v>27.919444444444444</v>
      </c>
      <c r="BJ226" s="1">
        <f t="shared" si="131"/>
        <v>28.427777777777777</v>
      </c>
      <c r="BK226" s="1">
        <f t="shared" si="131"/>
        <v>28.93611111111111</v>
      </c>
      <c r="BL226" s="1">
        <f t="shared" si="131"/>
        <v>29.444444444444443</v>
      </c>
      <c r="BM226" s="1">
        <f t="shared" si="126"/>
        <v>29.95</v>
      </c>
      <c r="BN226" s="1">
        <f t="shared" si="126"/>
        <v>30.458333333333332</v>
      </c>
      <c r="BO226" s="1">
        <f t="shared" si="126"/>
        <v>30.458333333333332</v>
      </c>
      <c r="BP226" s="1">
        <f t="shared" si="126"/>
        <v>30.963888888888889</v>
      </c>
      <c r="BQ226" s="1">
        <f t="shared" si="126"/>
        <v>31.472222222222221</v>
      </c>
      <c r="BR226" s="1">
        <f t="shared" si="126"/>
        <v>31.977777777777778</v>
      </c>
      <c r="BS226" s="1">
        <f t="shared" si="126"/>
        <v>32.486111111111114</v>
      </c>
      <c r="BT226" s="1">
        <f t="shared" si="126"/>
        <v>32.994444444444447</v>
      </c>
      <c r="BU226" s="1">
        <f t="shared" si="126"/>
        <v>33.50277777777778</v>
      </c>
      <c r="BV226" s="1">
        <f t="shared" si="126"/>
        <v>33.50277777777778</v>
      </c>
      <c r="BW226" s="1">
        <f t="shared" si="126"/>
        <v>34.008333333333333</v>
      </c>
      <c r="BX226" s="1">
        <f t="shared" si="126"/>
        <v>34.516666666666666</v>
      </c>
      <c r="BY226" s="1">
        <f t="shared" si="126"/>
        <v>35.022222222222226</v>
      </c>
      <c r="BZ226" s="1">
        <f t="shared" si="126"/>
        <v>35.530555555555559</v>
      </c>
      <c r="CA226" s="1">
        <f t="shared" si="126"/>
        <v>36.036111111111111</v>
      </c>
      <c r="CB226" s="1">
        <f t="shared" si="126"/>
        <v>36.544444444444444</v>
      </c>
      <c r="CC226" s="1">
        <f t="shared" ref="CC226:CR241" si="132">(CC$1-$B226)/360</f>
        <v>37.052777777777777</v>
      </c>
      <c r="CD226" s="1">
        <f t="shared" si="127"/>
        <v>37.56111111111111</v>
      </c>
      <c r="CE226" s="1">
        <f t="shared" si="127"/>
        <v>38.06666666666667</v>
      </c>
      <c r="CF226" s="1">
        <f t="shared" si="127"/>
        <v>38.575000000000003</v>
      </c>
      <c r="CG226" s="1">
        <f t="shared" si="127"/>
        <v>39.080555555555556</v>
      </c>
      <c r="CH226" s="1">
        <f t="shared" si="127"/>
        <v>39.588888888888889</v>
      </c>
      <c r="CI226" s="1">
        <f t="shared" si="127"/>
        <v>40.094444444444441</v>
      </c>
      <c r="CJ226" s="1">
        <f t="shared" si="127"/>
        <v>40.602777777777774</v>
      </c>
      <c r="CK226" s="1">
        <f t="shared" si="127"/>
        <v>41.111111111111114</v>
      </c>
      <c r="CL226" s="1">
        <f t="shared" si="127"/>
        <v>41.619444444444447</v>
      </c>
      <c r="CM226" s="1">
        <f t="shared" si="127"/>
        <v>42.125</v>
      </c>
      <c r="CN226" s="1">
        <f t="shared" si="127"/>
        <v>42.633333333333333</v>
      </c>
      <c r="CO226" s="1">
        <f t="shared" si="127"/>
        <v>43.138888888888886</v>
      </c>
      <c r="CP226" s="1">
        <f t="shared" si="127"/>
        <v>43.647222222222226</v>
      </c>
      <c r="CQ226" s="1">
        <f t="shared" si="127"/>
        <v>44.152777777777779</v>
      </c>
      <c r="CR226" s="1">
        <f t="shared" si="127"/>
        <v>44.661111111111111</v>
      </c>
      <c r="CS226" s="1">
        <f t="shared" si="127"/>
        <v>45.169444444444444</v>
      </c>
      <c r="CT226" s="1">
        <f t="shared" ref="CT226:DC241" si="133">(CT$1-$B226)/360</f>
        <v>45.677777777777777</v>
      </c>
      <c r="CU226" s="1">
        <f t="shared" si="128"/>
        <v>46.18333333333333</v>
      </c>
      <c r="CV226" s="1">
        <f t="shared" si="128"/>
        <v>46.69166666666667</v>
      </c>
      <c r="CW226" s="1">
        <f t="shared" si="128"/>
        <v>47.197222222222223</v>
      </c>
      <c r="CX226" s="1">
        <f t="shared" si="128"/>
        <v>47.705555555555556</v>
      </c>
      <c r="CY226" s="1">
        <f t="shared" si="128"/>
        <v>48.211111111111109</v>
      </c>
      <c r="CZ226" s="1">
        <f t="shared" si="128"/>
        <v>48.719444444444441</v>
      </c>
      <c r="DA226" s="1">
        <f t="shared" si="128"/>
        <v>49.227777777777774</v>
      </c>
      <c r="DB226" s="1">
        <f t="shared" si="128"/>
        <v>49.736111111111114</v>
      </c>
      <c r="DC226" s="1">
        <f t="shared" si="128"/>
        <v>49.736111111111114</v>
      </c>
    </row>
    <row r="227" spans="1:107" x14ac:dyDescent="0.25">
      <c r="A227">
        <f t="shared" si="114"/>
        <v>4</v>
      </c>
      <c r="B227" s="2">
        <f>yields_BRUTE!B227</f>
        <v>42333</v>
      </c>
      <c r="C227" s="1">
        <f t="shared" ref="C227:R242" si="134">(C$1-$B227)/360</f>
        <v>-0.74722222222222223</v>
      </c>
      <c r="D227" s="1">
        <f t="shared" si="134"/>
        <v>-0.70833333333333337</v>
      </c>
      <c r="E227" s="1">
        <f t="shared" si="134"/>
        <v>-0.49166666666666664</v>
      </c>
      <c r="F227" s="1">
        <f t="shared" si="134"/>
        <v>-0.2361111111111111</v>
      </c>
      <c r="G227" s="1">
        <f t="shared" si="134"/>
        <v>-0.19722222222222222</v>
      </c>
      <c r="H227" s="1">
        <f t="shared" si="134"/>
        <v>1.6666666666666666E-2</v>
      </c>
      <c r="I227" s="1">
        <f t="shared" si="134"/>
        <v>1.6666666666666666E-2</v>
      </c>
      <c r="J227" s="1">
        <f t="shared" si="134"/>
        <v>0.26944444444444443</v>
      </c>
      <c r="K227" s="1">
        <f t="shared" si="134"/>
        <v>0.30833333333333335</v>
      </c>
      <c r="L227" s="1">
        <f t="shared" si="134"/>
        <v>0.52500000000000002</v>
      </c>
      <c r="M227" s="1">
        <f t="shared" si="134"/>
        <v>0.78055555555555556</v>
      </c>
      <c r="N227" s="1">
        <f t="shared" si="134"/>
        <v>0.78055555555555556</v>
      </c>
      <c r="O227" s="1">
        <f t="shared" si="134"/>
        <v>0.81944444444444442</v>
      </c>
      <c r="P227" s="1">
        <f t="shared" si="134"/>
        <v>1.0333333333333334</v>
      </c>
      <c r="Q227" s="1">
        <f t="shared" si="134"/>
        <v>1.3222222222222222</v>
      </c>
      <c r="R227" s="1">
        <f t="shared" si="129"/>
        <v>1.538888888888889</v>
      </c>
      <c r="S227" s="1">
        <f t="shared" si="129"/>
        <v>1.8333333333333333</v>
      </c>
      <c r="T227" s="1">
        <f t="shared" si="129"/>
        <v>2.0472222222222221</v>
      </c>
      <c r="U227" s="1">
        <f t="shared" si="129"/>
        <v>2.3361111111111112</v>
      </c>
      <c r="V227" s="1">
        <f t="shared" si="129"/>
        <v>2.5527777777777776</v>
      </c>
      <c r="W227" s="1">
        <f t="shared" si="129"/>
        <v>2.8472222222222223</v>
      </c>
      <c r="X227" s="1">
        <f t="shared" si="129"/>
        <v>3.0611111111111109</v>
      </c>
      <c r="Y227" s="1">
        <f t="shared" si="129"/>
        <v>3.35</v>
      </c>
      <c r="Z227" s="1">
        <f t="shared" si="129"/>
        <v>3.5666666666666669</v>
      </c>
      <c r="AA227" s="1">
        <f t="shared" si="129"/>
        <v>3.8611111111111112</v>
      </c>
      <c r="AB227" s="1">
        <f t="shared" si="129"/>
        <v>4.0750000000000002</v>
      </c>
      <c r="AC227" s="1">
        <f t="shared" si="129"/>
        <v>4.3666666666666663</v>
      </c>
      <c r="AD227" s="1">
        <f t="shared" si="129"/>
        <v>4.583333333333333</v>
      </c>
      <c r="AE227" s="1">
        <f t="shared" si="129"/>
        <v>4.583333333333333</v>
      </c>
      <c r="AF227" s="3">
        <f t="shared" si="129"/>
        <v>4.8777777777777782</v>
      </c>
      <c r="AG227" s="1">
        <f t="shared" si="129"/>
        <v>5.0916666666666668</v>
      </c>
      <c r="AH227" s="1">
        <f t="shared" si="130"/>
        <v>5.3805555555555555</v>
      </c>
      <c r="AI227" s="1">
        <f t="shared" si="125"/>
        <v>5.3805555555555555</v>
      </c>
      <c r="AJ227" s="1">
        <f t="shared" si="125"/>
        <v>5.5972222222222223</v>
      </c>
      <c r="AK227" s="1">
        <f t="shared" si="125"/>
        <v>5.5972222222222223</v>
      </c>
      <c r="AL227" s="1">
        <f t="shared" si="125"/>
        <v>6.1055555555555552</v>
      </c>
      <c r="AM227" s="1">
        <f t="shared" si="125"/>
        <v>6.6111111111111107</v>
      </c>
      <c r="AN227" s="1">
        <f t="shared" si="125"/>
        <v>6.6111111111111107</v>
      </c>
      <c r="AO227" s="1">
        <f t="shared" si="125"/>
        <v>7.1194444444444445</v>
      </c>
      <c r="AP227" s="1">
        <f t="shared" si="125"/>
        <v>7.625</v>
      </c>
      <c r="AQ227" s="1">
        <f t="shared" si="125"/>
        <v>7.625</v>
      </c>
      <c r="AR227" s="1">
        <f t="shared" si="125"/>
        <v>8.1333333333333329</v>
      </c>
      <c r="AS227" s="1">
        <f t="shared" si="125"/>
        <v>8.6416666666666675</v>
      </c>
      <c r="AT227" s="1">
        <f t="shared" si="125"/>
        <v>9.15</v>
      </c>
      <c r="AU227" s="1">
        <f t="shared" si="125"/>
        <v>9.655555555555555</v>
      </c>
      <c r="AV227" s="1">
        <f t="shared" si="125"/>
        <v>9.655555555555555</v>
      </c>
      <c r="AW227" s="1">
        <f t="shared" si="125"/>
        <v>14.222222222222221</v>
      </c>
      <c r="AX227" s="1">
        <f t="shared" si="125"/>
        <v>14.727777777777778</v>
      </c>
      <c r="AY227" s="1">
        <f t="shared" si="131"/>
        <v>15.236111111111111</v>
      </c>
      <c r="AZ227" s="1">
        <f t="shared" si="131"/>
        <v>15.741666666666667</v>
      </c>
      <c r="BA227" s="1">
        <f t="shared" si="131"/>
        <v>16.25</v>
      </c>
      <c r="BB227" s="1">
        <f t="shared" si="131"/>
        <v>16.758333333333333</v>
      </c>
      <c r="BC227" s="1">
        <f t="shared" si="131"/>
        <v>17.266666666666666</v>
      </c>
      <c r="BD227" s="1">
        <f t="shared" si="131"/>
        <v>17.772222222222222</v>
      </c>
      <c r="BE227" s="1">
        <f t="shared" si="131"/>
        <v>17.772222222222222</v>
      </c>
      <c r="BF227" s="1">
        <f t="shared" si="131"/>
        <v>26.397222222222222</v>
      </c>
      <c r="BG227" s="1">
        <f t="shared" si="131"/>
        <v>26.902777777777779</v>
      </c>
      <c r="BH227" s="1">
        <f t="shared" si="131"/>
        <v>27.411111111111111</v>
      </c>
      <c r="BI227" s="1">
        <f t="shared" si="131"/>
        <v>27.916666666666668</v>
      </c>
      <c r="BJ227" s="1">
        <f t="shared" si="131"/>
        <v>28.425000000000001</v>
      </c>
      <c r="BK227" s="1">
        <f t="shared" si="131"/>
        <v>28.933333333333334</v>
      </c>
      <c r="BL227" s="1">
        <f t="shared" si="131"/>
        <v>29.441666666666666</v>
      </c>
      <c r="BM227" s="1">
        <f t="shared" si="126"/>
        <v>29.947222222222223</v>
      </c>
      <c r="BN227" s="1">
        <f t="shared" si="126"/>
        <v>30.455555555555556</v>
      </c>
      <c r="BO227" s="1">
        <f t="shared" si="126"/>
        <v>30.455555555555556</v>
      </c>
      <c r="BP227" s="1">
        <f t="shared" si="126"/>
        <v>30.961111111111112</v>
      </c>
      <c r="BQ227" s="1">
        <f t="shared" si="126"/>
        <v>31.469444444444445</v>
      </c>
      <c r="BR227" s="1">
        <f t="shared" si="126"/>
        <v>31.975000000000001</v>
      </c>
      <c r="BS227" s="1">
        <f t="shared" si="126"/>
        <v>32.483333333333334</v>
      </c>
      <c r="BT227" s="1">
        <f t="shared" si="126"/>
        <v>32.991666666666667</v>
      </c>
      <c r="BU227" s="1">
        <f t="shared" si="126"/>
        <v>33.5</v>
      </c>
      <c r="BV227" s="1">
        <f t="shared" si="126"/>
        <v>33.5</v>
      </c>
      <c r="BW227" s="1">
        <f t="shared" si="126"/>
        <v>34.005555555555553</v>
      </c>
      <c r="BX227" s="1">
        <f t="shared" si="126"/>
        <v>34.513888888888886</v>
      </c>
      <c r="BY227" s="1">
        <f t="shared" si="126"/>
        <v>35.019444444444446</v>
      </c>
      <c r="BZ227" s="1">
        <f t="shared" si="126"/>
        <v>35.527777777777779</v>
      </c>
      <c r="CA227" s="1">
        <f t="shared" si="126"/>
        <v>36.033333333333331</v>
      </c>
      <c r="CB227" s="1">
        <f t="shared" si="126"/>
        <v>36.541666666666664</v>
      </c>
      <c r="CC227" s="1">
        <f t="shared" si="132"/>
        <v>37.049999999999997</v>
      </c>
      <c r="CD227" s="1">
        <f t="shared" si="127"/>
        <v>37.55833333333333</v>
      </c>
      <c r="CE227" s="1">
        <f t="shared" si="127"/>
        <v>38.06388888888889</v>
      </c>
      <c r="CF227" s="1">
        <f t="shared" si="127"/>
        <v>38.572222222222223</v>
      </c>
      <c r="CG227" s="1">
        <f t="shared" si="127"/>
        <v>39.077777777777776</v>
      </c>
      <c r="CH227" s="1">
        <f t="shared" si="127"/>
        <v>39.586111111111109</v>
      </c>
      <c r="CI227" s="1">
        <f t="shared" si="127"/>
        <v>40.091666666666669</v>
      </c>
      <c r="CJ227" s="1">
        <f t="shared" si="127"/>
        <v>40.6</v>
      </c>
      <c r="CK227" s="1">
        <f t="shared" si="127"/>
        <v>41.108333333333334</v>
      </c>
      <c r="CL227" s="1">
        <f t="shared" si="127"/>
        <v>41.616666666666667</v>
      </c>
      <c r="CM227" s="1">
        <f t="shared" si="127"/>
        <v>42.12222222222222</v>
      </c>
      <c r="CN227" s="1">
        <f t="shared" si="127"/>
        <v>42.630555555555553</v>
      </c>
      <c r="CO227" s="1">
        <f t="shared" si="127"/>
        <v>43.136111111111113</v>
      </c>
      <c r="CP227" s="1">
        <f t="shared" si="127"/>
        <v>43.644444444444446</v>
      </c>
      <c r="CQ227" s="1">
        <f t="shared" si="127"/>
        <v>44.15</v>
      </c>
      <c r="CR227" s="1">
        <f t="shared" si="127"/>
        <v>44.658333333333331</v>
      </c>
      <c r="CS227" s="1">
        <f t="shared" si="127"/>
        <v>45.166666666666664</v>
      </c>
      <c r="CT227" s="1">
        <f t="shared" si="133"/>
        <v>45.674999999999997</v>
      </c>
      <c r="CU227" s="1">
        <f t="shared" si="128"/>
        <v>46.180555555555557</v>
      </c>
      <c r="CV227" s="1">
        <f t="shared" si="128"/>
        <v>46.68888888888889</v>
      </c>
      <c r="CW227" s="1">
        <f t="shared" si="128"/>
        <v>47.194444444444443</v>
      </c>
      <c r="CX227" s="1">
        <f t="shared" si="128"/>
        <v>47.702777777777776</v>
      </c>
      <c r="CY227" s="1">
        <f t="shared" si="128"/>
        <v>48.208333333333336</v>
      </c>
      <c r="CZ227" s="1">
        <f t="shared" si="128"/>
        <v>48.716666666666669</v>
      </c>
      <c r="DA227" s="1">
        <f t="shared" si="128"/>
        <v>49.225000000000001</v>
      </c>
      <c r="DB227" s="1">
        <f t="shared" si="128"/>
        <v>49.733333333333334</v>
      </c>
      <c r="DC227" s="1">
        <f t="shared" si="128"/>
        <v>49.733333333333334</v>
      </c>
    </row>
    <row r="228" spans="1:107" x14ac:dyDescent="0.25">
      <c r="A228">
        <f t="shared" si="114"/>
        <v>5</v>
      </c>
      <c r="B228" s="2">
        <f>yields_BRUTE!B228</f>
        <v>42334</v>
      </c>
      <c r="C228" s="1">
        <f t="shared" si="134"/>
        <v>-0.75</v>
      </c>
      <c r="D228" s="1">
        <f t="shared" si="134"/>
        <v>-0.71111111111111114</v>
      </c>
      <c r="E228" s="1">
        <f t="shared" si="134"/>
        <v>-0.49444444444444446</v>
      </c>
      <c r="F228" s="1">
        <f t="shared" si="134"/>
        <v>-0.2388888888888889</v>
      </c>
      <c r="G228" s="1">
        <f t="shared" si="134"/>
        <v>-0.2</v>
      </c>
      <c r="H228" s="1">
        <f t="shared" si="134"/>
        <v>1.3888888888888888E-2</v>
      </c>
      <c r="I228" s="1">
        <f t="shared" si="134"/>
        <v>1.3888888888888888E-2</v>
      </c>
      <c r="J228" s="1">
        <f t="shared" si="134"/>
        <v>0.26666666666666666</v>
      </c>
      <c r="K228" s="1">
        <f t="shared" si="134"/>
        <v>0.30555555555555558</v>
      </c>
      <c r="L228" s="1">
        <f t="shared" si="134"/>
        <v>0.52222222222222225</v>
      </c>
      <c r="M228" s="1">
        <f t="shared" si="134"/>
        <v>0.77777777777777779</v>
      </c>
      <c r="N228" s="1">
        <f t="shared" si="134"/>
        <v>0.77777777777777779</v>
      </c>
      <c r="O228" s="1">
        <f t="shared" si="134"/>
        <v>0.81666666666666665</v>
      </c>
      <c r="P228" s="1">
        <f t="shared" si="134"/>
        <v>1.0305555555555554</v>
      </c>
      <c r="Q228" s="1">
        <f t="shared" si="134"/>
        <v>1.3194444444444444</v>
      </c>
      <c r="R228" s="1">
        <f t="shared" si="129"/>
        <v>1.5361111111111112</v>
      </c>
      <c r="S228" s="1">
        <f t="shared" si="129"/>
        <v>1.8305555555555555</v>
      </c>
      <c r="T228" s="1">
        <f t="shared" si="129"/>
        <v>2.0444444444444443</v>
      </c>
      <c r="U228" s="1">
        <f t="shared" si="129"/>
        <v>2.3333333333333335</v>
      </c>
      <c r="V228" s="1">
        <f t="shared" si="129"/>
        <v>2.5499999999999998</v>
      </c>
      <c r="W228" s="1">
        <f t="shared" si="129"/>
        <v>2.8444444444444446</v>
      </c>
      <c r="X228" s="1">
        <f t="shared" si="129"/>
        <v>3.0583333333333331</v>
      </c>
      <c r="Y228" s="1">
        <f t="shared" si="129"/>
        <v>3.3472222222222223</v>
      </c>
      <c r="Z228" s="1">
        <f t="shared" si="129"/>
        <v>3.5638888888888891</v>
      </c>
      <c r="AA228" s="1">
        <f t="shared" si="129"/>
        <v>3.8583333333333334</v>
      </c>
      <c r="AB228" s="1">
        <f t="shared" si="129"/>
        <v>4.072222222222222</v>
      </c>
      <c r="AC228" s="1">
        <f t="shared" si="129"/>
        <v>4.3638888888888889</v>
      </c>
      <c r="AD228" s="1">
        <f t="shared" si="129"/>
        <v>4.5805555555555557</v>
      </c>
      <c r="AE228" s="1">
        <f t="shared" si="129"/>
        <v>4.5805555555555557</v>
      </c>
      <c r="AF228" s="3">
        <f t="shared" si="129"/>
        <v>4.875</v>
      </c>
      <c r="AG228" s="1">
        <f t="shared" si="129"/>
        <v>5.0888888888888886</v>
      </c>
      <c r="AH228" s="1">
        <f t="shared" si="130"/>
        <v>5.3777777777777782</v>
      </c>
      <c r="AI228" s="1">
        <f t="shared" si="125"/>
        <v>5.3777777777777782</v>
      </c>
      <c r="AJ228" s="1">
        <f t="shared" si="125"/>
        <v>5.5944444444444441</v>
      </c>
      <c r="AK228" s="1">
        <f t="shared" si="125"/>
        <v>5.5944444444444441</v>
      </c>
      <c r="AL228" s="1">
        <f t="shared" si="125"/>
        <v>6.1027777777777779</v>
      </c>
      <c r="AM228" s="1">
        <f t="shared" si="125"/>
        <v>6.6083333333333334</v>
      </c>
      <c r="AN228" s="1">
        <f t="shared" si="125"/>
        <v>6.6083333333333334</v>
      </c>
      <c r="AO228" s="1">
        <f t="shared" si="125"/>
        <v>7.1166666666666663</v>
      </c>
      <c r="AP228" s="1">
        <f t="shared" si="125"/>
        <v>7.6222222222222218</v>
      </c>
      <c r="AQ228" s="1">
        <f t="shared" si="125"/>
        <v>7.6222222222222218</v>
      </c>
      <c r="AR228" s="1">
        <f t="shared" si="125"/>
        <v>8.1305555555555564</v>
      </c>
      <c r="AS228" s="1">
        <f t="shared" si="125"/>
        <v>8.6388888888888893</v>
      </c>
      <c r="AT228" s="1">
        <f t="shared" si="125"/>
        <v>9.1472222222222221</v>
      </c>
      <c r="AU228" s="1">
        <f t="shared" si="125"/>
        <v>9.6527777777777786</v>
      </c>
      <c r="AV228" s="1">
        <f t="shared" si="125"/>
        <v>9.6527777777777786</v>
      </c>
      <c r="AW228" s="1">
        <f t="shared" si="125"/>
        <v>14.219444444444445</v>
      </c>
      <c r="AX228" s="1">
        <f t="shared" si="125"/>
        <v>14.725</v>
      </c>
      <c r="AY228" s="1">
        <f t="shared" si="131"/>
        <v>15.233333333333333</v>
      </c>
      <c r="AZ228" s="1">
        <f t="shared" si="131"/>
        <v>15.738888888888889</v>
      </c>
      <c r="BA228" s="1">
        <f t="shared" si="131"/>
        <v>16.247222222222224</v>
      </c>
      <c r="BB228" s="1">
        <f t="shared" si="131"/>
        <v>16.755555555555556</v>
      </c>
      <c r="BC228" s="1">
        <f t="shared" si="131"/>
        <v>17.263888888888889</v>
      </c>
      <c r="BD228" s="1">
        <f t="shared" si="131"/>
        <v>17.769444444444446</v>
      </c>
      <c r="BE228" s="1">
        <f t="shared" si="131"/>
        <v>17.769444444444446</v>
      </c>
      <c r="BF228" s="1">
        <f t="shared" si="131"/>
        <v>26.394444444444446</v>
      </c>
      <c r="BG228" s="1">
        <f t="shared" si="131"/>
        <v>26.9</v>
      </c>
      <c r="BH228" s="1">
        <f t="shared" si="131"/>
        <v>27.408333333333335</v>
      </c>
      <c r="BI228" s="1">
        <f t="shared" si="131"/>
        <v>27.913888888888888</v>
      </c>
      <c r="BJ228" s="1">
        <f t="shared" si="131"/>
        <v>28.422222222222221</v>
      </c>
      <c r="BK228" s="1">
        <f t="shared" si="131"/>
        <v>28.930555555555557</v>
      </c>
      <c r="BL228" s="1">
        <f t="shared" si="131"/>
        <v>29.43888888888889</v>
      </c>
      <c r="BM228" s="1">
        <f t="shared" si="126"/>
        <v>29.944444444444443</v>
      </c>
      <c r="BN228" s="1">
        <f t="shared" si="126"/>
        <v>30.452777777777779</v>
      </c>
      <c r="BO228" s="1">
        <f t="shared" si="126"/>
        <v>30.452777777777779</v>
      </c>
      <c r="BP228" s="1">
        <f t="shared" si="126"/>
        <v>30.958333333333332</v>
      </c>
      <c r="BQ228" s="1">
        <f t="shared" si="126"/>
        <v>31.466666666666665</v>
      </c>
      <c r="BR228" s="1">
        <f t="shared" si="126"/>
        <v>31.972222222222221</v>
      </c>
      <c r="BS228" s="1">
        <f t="shared" si="126"/>
        <v>32.480555555555554</v>
      </c>
      <c r="BT228" s="1">
        <f t="shared" si="126"/>
        <v>32.988888888888887</v>
      </c>
      <c r="BU228" s="1">
        <f t="shared" si="126"/>
        <v>33.49722222222222</v>
      </c>
      <c r="BV228" s="1">
        <f t="shared" si="126"/>
        <v>33.49722222222222</v>
      </c>
      <c r="BW228" s="1">
        <f t="shared" si="126"/>
        <v>34.00277777777778</v>
      </c>
      <c r="BX228" s="1">
        <f t="shared" si="126"/>
        <v>34.511111111111113</v>
      </c>
      <c r="BY228" s="1">
        <f t="shared" si="126"/>
        <v>35.016666666666666</v>
      </c>
      <c r="BZ228" s="1">
        <f t="shared" si="126"/>
        <v>35.524999999999999</v>
      </c>
      <c r="CA228" s="1">
        <f t="shared" si="126"/>
        <v>36.030555555555559</v>
      </c>
      <c r="CB228" s="1">
        <f t="shared" si="126"/>
        <v>36.538888888888891</v>
      </c>
      <c r="CC228" s="1">
        <f t="shared" si="132"/>
        <v>37.047222222222224</v>
      </c>
      <c r="CD228" s="1">
        <f t="shared" si="127"/>
        <v>37.555555555555557</v>
      </c>
      <c r="CE228" s="1">
        <f t="shared" si="127"/>
        <v>38.06111111111111</v>
      </c>
      <c r="CF228" s="1">
        <f t="shared" si="127"/>
        <v>38.569444444444443</v>
      </c>
      <c r="CG228" s="1">
        <f t="shared" si="127"/>
        <v>39.075000000000003</v>
      </c>
      <c r="CH228" s="1">
        <f t="shared" si="127"/>
        <v>39.583333333333336</v>
      </c>
      <c r="CI228" s="1">
        <f t="shared" si="127"/>
        <v>40.088888888888889</v>
      </c>
      <c r="CJ228" s="1">
        <f t="shared" si="127"/>
        <v>40.597222222222221</v>
      </c>
      <c r="CK228" s="1">
        <f t="shared" si="127"/>
        <v>41.105555555555554</v>
      </c>
      <c r="CL228" s="1">
        <f t="shared" si="127"/>
        <v>41.613888888888887</v>
      </c>
      <c r="CM228" s="1">
        <f t="shared" si="127"/>
        <v>42.119444444444447</v>
      </c>
      <c r="CN228" s="1">
        <f t="shared" si="127"/>
        <v>42.62777777777778</v>
      </c>
      <c r="CO228" s="1">
        <f t="shared" si="127"/>
        <v>43.133333333333333</v>
      </c>
      <c r="CP228" s="1">
        <f t="shared" si="127"/>
        <v>43.641666666666666</v>
      </c>
      <c r="CQ228" s="1">
        <f t="shared" si="127"/>
        <v>44.147222222222226</v>
      </c>
      <c r="CR228" s="1">
        <f t="shared" si="127"/>
        <v>44.655555555555559</v>
      </c>
      <c r="CS228" s="1">
        <f t="shared" si="127"/>
        <v>45.163888888888891</v>
      </c>
      <c r="CT228" s="1">
        <f t="shared" si="133"/>
        <v>45.672222222222224</v>
      </c>
      <c r="CU228" s="1">
        <f t="shared" si="128"/>
        <v>46.177777777777777</v>
      </c>
      <c r="CV228" s="1">
        <f t="shared" si="128"/>
        <v>46.68611111111111</v>
      </c>
      <c r="CW228" s="1">
        <f t="shared" si="128"/>
        <v>47.19166666666667</v>
      </c>
      <c r="CX228" s="1">
        <f t="shared" si="128"/>
        <v>47.7</v>
      </c>
      <c r="CY228" s="1">
        <f t="shared" si="128"/>
        <v>48.205555555555556</v>
      </c>
      <c r="CZ228" s="1">
        <f t="shared" si="128"/>
        <v>48.713888888888889</v>
      </c>
      <c r="DA228" s="1">
        <f t="shared" si="128"/>
        <v>49.222222222222221</v>
      </c>
      <c r="DB228" s="1">
        <f t="shared" si="128"/>
        <v>49.730555555555554</v>
      </c>
      <c r="DC228" s="1">
        <f t="shared" si="128"/>
        <v>49.730555555555554</v>
      </c>
    </row>
    <row r="229" spans="1:107" x14ac:dyDescent="0.25">
      <c r="A229">
        <f t="shared" si="114"/>
        <v>6</v>
      </c>
      <c r="B229" s="2">
        <f>yields_BRUTE!B229</f>
        <v>42335</v>
      </c>
      <c r="C229" s="1">
        <f t="shared" si="134"/>
        <v>-0.75277777777777777</v>
      </c>
      <c r="D229" s="1">
        <f t="shared" si="134"/>
        <v>-0.71388888888888891</v>
      </c>
      <c r="E229" s="1">
        <f t="shared" si="134"/>
        <v>-0.49722222222222223</v>
      </c>
      <c r="F229" s="1">
        <f t="shared" si="134"/>
        <v>-0.24166666666666667</v>
      </c>
      <c r="G229" s="1">
        <f t="shared" si="134"/>
        <v>-0.20277777777777778</v>
      </c>
      <c r="H229" s="1">
        <f t="shared" si="134"/>
        <v>1.1111111111111112E-2</v>
      </c>
      <c r="I229" s="1">
        <f t="shared" si="134"/>
        <v>1.1111111111111112E-2</v>
      </c>
      <c r="J229" s="1">
        <f t="shared" si="134"/>
        <v>0.2638888888888889</v>
      </c>
      <c r="K229" s="1">
        <f t="shared" si="134"/>
        <v>0.30277777777777776</v>
      </c>
      <c r="L229" s="1">
        <f t="shared" si="134"/>
        <v>0.51944444444444449</v>
      </c>
      <c r="M229" s="1">
        <f t="shared" si="134"/>
        <v>0.77500000000000002</v>
      </c>
      <c r="N229" s="1">
        <f t="shared" si="134"/>
        <v>0.77500000000000002</v>
      </c>
      <c r="O229" s="1">
        <f t="shared" si="134"/>
        <v>0.81388888888888888</v>
      </c>
      <c r="P229" s="1">
        <f t="shared" si="134"/>
        <v>1.0277777777777777</v>
      </c>
      <c r="Q229" s="1">
        <f t="shared" si="134"/>
        <v>1.3166666666666667</v>
      </c>
      <c r="R229" s="1">
        <f t="shared" si="129"/>
        <v>1.5333333333333334</v>
      </c>
      <c r="S229" s="1">
        <f t="shared" si="129"/>
        <v>1.8277777777777777</v>
      </c>
      <c r="T229" s="1">
        <f t="shared" si="129"/>
        <v>2.0416666666666665</v>
      </c>
      <c r="U229" s="1">
        <f t="shared" si="129"/>
        <v>2.3305555555555557</v>
      </c>
      <c r="V229" s="1">
        <f t="shared" si="129"/>
        <v>2.5472222222222221</v>
      </c>
      <c r="W229" s="1">
        <f t="shared" si="129"/>
        <v>2.8416666666666668</v>
      </c>
      <c r="X229" s="1">
        <f t="shared" si="129"/>
        <v>3.0555555555555554</v>
      </c>
      <c r="Y229" s="1">
        <f t="shared" si="129"/>
        <v>3.3444444444444446</v>
      </c>
      <c r="Z229" s="1">
        <f t="shared" si="129"/>
        <v>3.5611111111111109</v>
      </c>
      <c r="AA229" s="1">
        <f t="shared" si="129"/>
        <v>3.8555555555555556</v>
      </c>
      <c r="AB229" s="1">
        <f t="shared" si="129"/>
        <v>4.0694444444444446</v>
      </c>
      <c r="AC229" s="1">
        <f t="shared" si="129"/>
        <v>4.3611111111111107</v>
      </c>
      <c r="AD229" s="1">
        <f t="shared" si="129"/>
        <v>4.5777777777777775</v>
      </c>
      <c r="AE229" s="1">
        <f t="shared" si="129"/>
        <v>4.5777777777777775</v>
      </c>
      <c r="AF229" s="3">
        <f t="shared" si="129"/>
        <v>4.8722222222222218</v>
      </c>
      <c r="AG229" s="1">
        <f t="shared" si="129"/>
        <v>5.0861111111111112</v>
      </c>
      <c r="AH229" s="1">
        <f t="shared" si="130"/>
        <v>5.375</v>
      </c>
      <c r="AI229" s="1">
        <f t="shared" si="125"/>
        <v>5.375</v>
      </c>
      <c r="AJ229" s="1">
        <f t="shared" si="125"/>
        <v>5.5916666666666668</v>
      </c>
      <c r="AK229" s="1">
        <f t="shared" si="125"/>
        <v>5.5916666666666668</v>
      </c>
      <c r="AL229" s="1">
        <f t="shared" si="125"/>
        <v>6.1</v>
      </c>
      <c r="AM229" s="1">
        <f t="shared" si="125"/>
        <v>6.6055555555555552</v>
      </c>
      <c r="AN229" s="1">
        <f t="shared" si="125"/>
        <v>6.6055555555555552</v>
      </c>
      <c r="AO229" s="1">
        <f t="shared" si="125"/>
        <v>7.1138888888888889</v>
      </c>
      <c r="AP229" s="1">
        <f t="shared" si="125"/>
        <v>7.6194444444444445</v>
      </c>
      <c r="AQ229" s="1">
        <f t="shared" si="125"/>
        <v>7.6194444444444445</v>
      </c>
      <c r="AR229" s="1">
        <f t="shared" si="125"/>
        <v>8.1277777777777782</v>
      </c>
      <c r="AS229" s="1">
        <f t="shared" si="125"/>
        <v>8.6361111111111111</v>
      </c>
      <c r="AT229" s="1">
        <f t="shared" si="125"/>
        <v>9.1444444444444439</v>
      </c>
      <c r="AU229" s="1">
        <f t="shared" si="125"/>
        <v>9.65</v>
      </c>
      <c r="AV229" s="1">
        <f t="shared" si="125"/>
        <v>9.65</v>
      </c>
      <c r="AW229" s="1">
        <f t="shared" si="125"/>
        <v>14.216666666666667</v>
      </c>
      <c r="AX229" s="1">
        <f t="shared" si="125"/>
        <v>14.722222222222221</v>
      </c>
      <c r="AY229" s="1">
        <f t="shared" si="131"/>
        <v>15.230555555555556</v>
      </c>
      <c r="AZ229" s="1">
        <f t="shared" si="131"/>
        <v>15.736111111111111</v>
      </c>
      <c r="BA229" s="1">
        <f t="shared" si="131"/>
        <v>16.244444444444444</v>
      </c>
      <c r="BB229" s="1">
        <f t="shared" si="131"/>
        <v>16.752777777777776</v>
      </c>
      <c r="BC229" s="1">
        <f t="shared" si="131"/>
        <v>17.261111111111113</v>
      </c>
      <c r="BD229" s="1">
        <f t="shared" si="131"/>
        <v>17.766666666666666</v>
      </c>
      <c r="BE229" s="1">
        <f t="shared" si="131"/>
        <v>17.766666666666666</v>
      </c>
      <c r="BF229" s="1">
        <f t="shared" si="131"/>
        <v>26.391666666666666</v>
      </c>
      <c r="BG229" s="1">
        <f t="shared" si="131"/>
        <v>26.897222222222222</v>
      </c>
      <c r="BH229" s="1">
        <f t="shared" si="131"/>
        <v>27.405555555555555</v>
      </c>
      <c r="BI229" s="1">
        <f t="shared" si="131"/>
        <v>27.911111111111111</v>
      </c>
      <c r="BJ229" s="1">
        <f t="shared" si="131"/>
        <v>28.419444444444444</v>
      </c>
      <c r="BK229" s="1">
        <f t="shared" si="131"/>
        <v>28.927777777777777</v>
      </c>
      <c r="BL229" s="1">
        <f t="shared" si="131"/>
        <v>29.43611111111111</v>
      </c>
      <c r="BM229" s="1">
        <f t="shared" si="126"/>
        <v>29.941666666666666</v>
      </c>
      <c r="BN229" s="1">
        <f t="shared" si="126"/>
        <v>30.45</v>
      </c>
      <c r="BO229" s="1">
        <f t="shared" si="126"/>
        <v>30.45</v>
      </c>
      <c r="BP229" s="1">
        <f t="shared" si="126"/>
        <v>30.955555555555556</v>
      </c>
      <c r="BQ229" s="1">
        <f t="shared" si="126"/>
        <v>31.463888888888889</v>
      </c>
      <c r="BR229" s="1">
        <f t="shared" si="126"/>
        <v>31.969444444444445</v>
      </c>
      <c r="BS229" s="1">
        <f t="shared" si="126"/>
        <v>32.477777777777774</v>
      </c>
      <c r="BT229" s="1">
        <f t="shared" si="126"/>
        <v>32.986111111111114</v>
      </c>
      <c r="BU229" s="1">
        <f t="shared" si="126"/>
        <v>33.494444444444447</v>
      </c>
      <c r="BV229" s="1">
        <f t="shared" si="126"/>
        <v>33.494444444444447</v>
      </c>
      <c r="BW229" s="1">
        <f t="shared" si="126"/>
        <v>34</v>
      </c>
      <c r="BX229" s="1">
        <f t="shared" si="126"/>
        <v>34.508333333333333</v>
      </c>
      <c r="BY229" s="1">
        <f t="shared" si="126"/>
        <v>35.013888888888886</v>
      </c>
      <c r="BZ229" s="1">
        <f t="shared" si="126"/>
        <v>35.522222222222226</v>
      </c>
      <c r="CA229" s="1">
        <f t="shared" si="126"/>
        <v>36.027777777777779</v>
      </c>
      <c r="CB229" s="1">
        <f t="shared" si="126"/>
        <v>36.536111111111111</v>
      </c>
      <c r="CC229" s="1">
        <f t="shared" si="132"/>
        <v>37.044444444444444</v>
      </c>
      <c r="CD229" s="1">
        <f t="shared" si="127"/>
        <v>37.552777777777777</v>
      </c>
      <c r="CE229" s="1">
        <f t="shared" si="127"/>
        <v>38.05833333333333</v>
      </c>
      <c r="CF229" s="1">
        <f t="shared" si="127"/>
        <v>38.56666666666667</v>
      </c>
      <c r="CG229" s="1">
        <f t="shared" si="127"/>
        <v>39.072222222222223</v>
      </c>
      <c r="CH229" s="1">
        <f t="shared" si="127"/>
        <v>39.580555555555556</v>
      </c>
      <c r="CI229" s="1">
        <f t="shared" si="127"/>
        <v>40.086111111111109</v>
      </c>
      <c r="CJ229" s="1">
        <f t="shared" si="127"/>
        <v>40.594444444444441</v>
      </c>
      <c r="CK229" s="1">
        <f t="shared" si="127"/>
        <v>41.102777777777774</v>
      </c>
      <c r="CL229" s="1">
        <f t="shared" si="127"/>
        <v>41.611111111111114</v>
      </c>
      <c r="CM229" s="1">
        <f t="shared" si="127"/>
        <v>42.116666666666667</v>
      </c>
      <c r="CN229" s="1">
        <f t="shared" si="127"/>
        <v>42.625</v>
      </c>
      <c r="CO229" s="1">
        <f t="shared" si="127"/>
        <v>43.130555555555553</v>
      </c>
      <c r="CP229" s="1">
        <f t="shared" si="127"/>
        <v>43.638888888888886</v>
      </c>
      <c r="CQ229" s="1">
        <f t="shared" si="127"/>
        <v>44.144444444444446</v>
      </c>
      <c r="CR229" s="1">
        <f t="shared" si="127"/>
        <v>44.652777777777779</v>
      </c>
      <c r="CS229" s="1">
        <f t="shared" si="127"/>
        <v>45.161111111111111</v>
      </c>
      <c r="CT229" s="1">
        <f t="shared" si="133"/>
        <v>45.669444444444444</v>
      </c>
      <c r="CU229" s="1">
        <f t="shared" si="128"/>
        <v>46.174999999999997</v>
      </c>
      <c r="CV229" s="1">
        <f t="shared" si="128"/>
        <v>46.68333333333333</v>
      </c>
      <c r="CW229" s="1">
        <f t="shared" si="128"/>
        <v>47.18888888888889</v>
      </c>
      <c r="CX229" s="1">
        <f t="shared" si="128"/>
        <v>47.697222222222223</v>
      </c>
      <c r="CY229" s="1">
        <f t="shared" si="128"/>
        <v>48.202777777777776</v>
      </c>
      <c r="CZ229" s="1">
        <f t="shared" si="128"/>
        <v>48.711111111111109</v>
      </c>
      <c r="DA229" s="1">
        <f t="shared" si="128"/>
        <v>49.219444444444441</v>
      </c>
      <c r="DB229" s="1">
        <f t="shared" si="128"/>
        <v>49.727777777777774</v>
      </c>
      <c r="DC229" s="1">
        <f t="shared" si="128"/>
        <v>49.727777777777774</v>
      </c>
    </row>
    <row r="230" spans="1:107" x14ac:dyDescent="0.25">
      <c r="A230">
        <f t="shared" si="114"/>
        <v>2</v>
      </c>
      <c r="B230" s="2">
        <f>yields_BRUTE!B230</f>
        <v>42338</v>
      </c>
      <c r="C230" s="1">
        <f t="shared" si="134"/>
        <v>-0.76111111111111107</v>
      </c>
      <c r="D230" s="1">
        <f t="shared" si="134"/>
        <v>-0.72222222222222221</v>
      </c>
      <c r="E230" s="1">
        <f t="shared" si="134"/>
        <v>-0.50555555555555554</v>
      </c>
      <c r="F230" s="1">
        <f t="shared" si="134"/>
        <v>-0.25</v>
      </c>
      <c r="G230" s="1">
        <f t="shared" si="134"/>
        <v>-0.21111111111111111</v>
      </c>
      <c r="H230" s="1">
        <f t="shared" si="134"/>
        <v>2.7777777777777779E-3</v>
      </c>
      <c r="I230" s="1">
        <f t="shared" si="134"/>
        <v>2.7777777777777779E-3</v>
      </c>
      <c r="J230" s="1">
        <f t="shared" si="134"/>
        <v>0.25555555555555554</v>
      </c>
      <c r="K230" s="1">
        <f t="shared" si="134"/>
        <v>0.29444444444444445</v>
      </c>
      <c r="L230" s="1">
        <f t="shared" si="134"/>
        <v>0.51111111111111107</v>
      </c>
      <c r="M230" s="1">
        <f t="shared" si="134"/>
        <v>0.76666666666666672</v>
      </c>
      <c r="N230" s="1">
        <f t="shared" si="134"/>
        <v>0.76666666666666672</v>
      </c>
      <c r="O230" s="1">
        <f t="shared" si="134"/>
        <v>0.80555555555555558</v>
      </c>
      <c r="P230" s="1">
        <f t="shared" si="134"/>
        <v>1.0194444444444444</v>
      </c>
      <c r="Q230" s="1">
        <f t="shared" si="134"/>
        <v>1.3083333333333333</v>
      </c>
      <c r="R230" s="1">
        <f t="shared" si="129"/>
        <v>1.5249999999999999</v>
      </c>
      <c r="S230" s="1">
        <f t="shared" si="129"/>
        <v>1.8194444444444444</v>
      </c>
      <c r="T230" s="1">
        <f t="shared" si="129"/>
        <v>2.0333333333333332</v>
      </c>
      <c r="U230" s="1">
        <f t="shared" si="129"/>
        <v>2.3222222222222224</v>
      </c>
      <c r="V230" s="1">
        <f t="shared" si="129"/>
        <v>2.5388888888888888</v>
      </c>
      <c r="W230" s="1">
        <f t="shared" si="129"/>
        <v>2.8333333333333335</v>
      </c>
      <c r="X230" s="1">
        <f t="shared" si="129"/>
        <v>3.0472222222222221</v>
      </c>
      <c r="Y230" s="1">
        <f t="shared" si="129"/>
        <v>3.3361111111111112</v>
      </c>
      <c r="Z230" s="1">
        <f t="shared" si="129"/>
        <v>3.5527777777777776</v>
      </c>
      <c r="AA230" s="1">
        <f t="shared" si="129"/>
        <v>3.8472222222222223</v>
      </c>
      <c r="AB230" s="1">
        <f t="shared" si="129"/>
        <v>4.0611111111111109</v>
      </c>
      <c r="AC230" s="1">
        <f t="shared" si="129"/>
        <v>4.3527777777777779</v>
      </c>
      <c r="AD230" s="1">
        <f t="shared" si="129"/>
        <v>4.5694444444444446</v>
      </c>
      <c r="AE230" s="1">
        <f t="shared" si="129"/>
        <v>4.5694444444444446</v>
      </c>
      <c r="AF230" s="3">
        <f t="shared" si="129"/>
        <v>4.8638888888888889</v>
      </c>
      <c r="AG230" s="1">
        <f t="shared" si="129"/>
        <v>5.0777777777777775</v>
      </c>
      <c r="AH230" s="1">
        <f t="shared" si="130"/>
        <v>5.3666666666666663</v>
      </c>
      <c r="AI230" s="1">
        <f t="shared" si="125"/>
        <v>5.3666666666666663</v>
      </c>
      <c r="AJ230" s="1">
        <f t="shared" si="125"/>
        <v>5.583333333333333</v>
      </c>
      <c r="AK230" s="1">
        <f t="shared" si="125"/>
        <v>5.583333333333333</v>
      </c>
      <c r="AL230" s="1">
        <f t="shared" si="125"/>
        <v>6.0916666666666668</v>
      </c>
      <c r="AM230" s="1">
        <f t="shared" si="125"/>
        <v>6.5972222222222223</v>
      </c>
      <c r="AN230" s="1">
        <f t="shared" si="125"/>
        <v>6.5972222222222223</v>
      </c>
      <c r="AO230" s="1">
        <f t="shared" si="125"/>
        <v>7.1055555555555552</v>
      </c>
      <c r="AP230" s="1">
        <f t="shared" si="125"/>
        <v>7.6111111111111107</v>
      </c>
      <c r="AQ230" s="1">
        <f t="shared" si="125"/>
        <v>7.6111111111111107</v>
      </c>
      <c r="AR230" s="1">
        <f t="shared" si="125"/>
        <v>8.1194444444444436</v>
      </c>
      <c r="AS230" s="1">
        <f t="shared" si="125"/>
        <v>8.6277777777777782</v>
      </c>
      <c r="AT230" s="1">
        <f t="shared" si="125"/>
        <v>9.1361111111111111</v>
      </c>
      <c r="AU230" s="1">
        <f t="shared" si="125"/>
        <v>9.6416666666666675</v>
      </c>
      <c r="AV230" s="1">
        <f t="shared" si="125"/>
        <v>9.6416666666666675</v>
      </c>
      <c r="AW230" s="1">
        <f t="shared" si="125"/>
        <v>14.208333333333334</v>
      </c>
      <c r="AX230" s="1">
        <f t="shared" si="125"/>
        <v>14.713888888888889</v>
      </c>
      <c r="AY230" s="1">
        <f t="shared" si="131"/>
        <v>15.222222222222221</v>
      </c>
      <c r="AZ230" s="1">
        <f t="shared" si="131"/>
        <v>15.727777777777778</v>
      </c>
      <c r="BA230" s="1">
        <f t="shared" si="131"/>
        <v>16.236111111111111</v>
      </c>
      <c r="BB230" s="1">
        <f t="shared" si="131"/>
        <v>16.744444444444444</v>
      </c>
      <c r="BC230" s="1">
        <f t="shared" si="131"/>
        <v>17.252777777777776</v>
      </c>
      <c r="BD230" s="1">
        <f t="shared" si="131"/>
        <v>17.758333333333333</v>
      </c>
      <c r="BE230" s="1">
        <f t="shared" si="131"/>
        <v>17.758333333333333</v>
      </c>
      <c r="BF230" s="1">
        <f t="shared" si="131"/>
        <v>26.383333333333333</v>
      </c>
      <c r="BG230" s="1">
        <f t="shared" si="131"/>
        <v>26.888888888888889</v>
      </c>
      <c r="BH230" s="1">
        <f t="shared" si="131"/>
        <v>27.397222222222222</v>
      </c>
      <c r="BI230" s="1">
        <f t="shared" si="131"/>
        <v>27.902777777777779</v>
      </c>
      <c r="BJ230" s="1">
        <f t="shared" si="131"/>
        <v>28.411111111111111</v>
      </c>
      <c r="BK230" s="1">
        <f t="shared" si="131"/>
        <v>28.919444444444444</v>
      </c>
      <c r="BL230" s="1">
        <f t="shared" si="131"/>
        <v>29.427777777777777</v>
      </c>
      <c r="BM230" s="1">
        <f t="shared" si="126"/>
        <v>29.933333333333334</v>
      </c>
      <c r="BN230" s="1">
        <f t="shared" si="126"/>
        <v>30.441666666666666</v>
      </c>
      <c r="BO230" s="1">
        <f t="shared" si="126"/>
        <v>30.441666666666666</v>
      </c>
      <c r="BP230" s="1">
        <f t="shared" si="126"/>
        <v>30.947222222222223</v>
      </c>
      <c r="BQ230" s="1">
        <f t="shared" si="126"/>
        <v>31.455555555555556</v>
      </c>
      <c r="BR230" s="1">
        <f t="shared" si="126"/>
        <v>31.961111111111112</v>
      </c>
      <c r="BS230" s="1">
        <f t="shared" si="126"/>
        <v>32.469444444444441</v>
      </c>
      <c r="BT230" s="1">
        <f t="shared" si="126"/>
        <v>32.977777777777774</v>
      </c>
      <c r="BU230" s="1">
        <f t="shared" si="126"/>
        <v>33.486111111111114</v>
      </c>
      <c r="BV230" s="1">
        <f t="shared" si="126"/>
        <v>33.486111111111114</v>
      </c>
      <c r="BW230" s="1">
        <f t="shared" si="126"/>
        <v>33.991666666666667</v>
      </c>
      <c r="BX230" s="1">
        <f t="shared" si="126"/>
        <v>34.5</v>
      </c>
      <c r="BY230" s="1">
        <f t="shared" si="126"/>
        <v>35.005555555555553</v>
      </c>
      <c r="BZ230" s="1">
        <f t="shared" si="126"/>
        <v>35.513888888888886</v>
      </c>
      <c r="CA230" s="1">
        <f t="shared" si="126"/>
        <v>36.019444444444446</v>
      </c>
      <c r="CB230" s="1">
        <f t="shared" si="126"/>
        <v>36.527777777777779</v>
      </c>
      <c r="CC230" s="1">
        <f t="shared" si="132"/>
        <v>37.036111111111111</v>
      </c>
      <c r="CD230" s="1">
        <f t="shared" si="127"/>
        <v>37.544444444444444</v>
      </c>
      <c r="CE230" s="1">
        <f t="shared" si="127"/>
        <v>38.049999999999997</v>
      </c>
      <c r="CF230" s="1">
        <f t="shared" si="127"/>
        <v>38.55833333333333</v>
      </c>
      <c r="CG230" s="1">
        <f t="shared" si="127"/>
        <v>39.06388888888889</v>
      </c>
      <c r="CH230" s="1">
        <f t="shared" si="127"/>
        <v>39.572222222222223</v>
      </c>
      <c r="CI230" s="1">
        <f t="shared" si="127"/>
        <v>40.077777777777776</v>
      </c>
      <c r="CJ230" s="1">
        <f t="shared" si="127"/>
        <v>40.586111111111109</v>
      </c>
      <c r="CK230" s="1">
        <f t="shared" si="127"/>
        <v>41.094444444444441</v>
      </c>
      <c r="CL230" s="1">
        <f t="shared" si="127"/>
        <v>41.602777777777774</v>
      </c>
      <c r="CM230" s="1">
        <f t="shared" si="127"/>
        <v>42.108333333333334</v>
      </c>
      <c r="CN230" s="1">
        <f t="shared" si="127"/>
        <v>42.616666666666667</v>
      </c>
      <c r="CO230" s="1">
        <f t="shared" si="127"/>
        <v>43.12222222222222</v>
      </c>
      <c r="CP230" s="1">
        <f t="shared" si="127"/>
        <v>43.630555555555553</v>
      </c>
      <c r="CQ230" s="1">
        <f t="shared" si="127"/>
        <v>44.136111111111113</v>
      </c>
      <c r="CR230" s="1">
        <f t="shared" si="127"/>
        <v>44.644444444444446</v>
      </c>
      <c r="CS230" s="1">
        <f t="shared" si="127"/>
        <v>45.152777777777779</v>
      </c>
      <c r="CT230" s="1">
        <f t="shared" si="133"/>
        <v>45.661111111111111</v>
      </c>
      <c r="CU230" s="1">
        <f t="shared" si="128"/>
        <v>46.166666666666664</v>
      </c>
      <c r="CV230" s="1">
        <f t="shared" si="128"/>
        <v>46.674999999999997</v>
      </c>
      <c r="CW230" s="1">
        <f t="shared" si="128"/>
        <v>47.180555555555557</v>
      </c>
      <c r="CX230" s="1">
        <f t="shared" si="128"/>
        <v>47.68888888888889</v>
      </c>
      <c r="CY230" s="1">
        <f t="shared" si="128"/>
        <v>48.194444444444443</v>
      </c>
      <c r="CZ230" s="1">
        <f t="shared" si="128"/>
        <v>48.702777777777776</v>
      </c>
      <c r="DA230" s="1">
        <f t="shared" si="128"/>
        <v>49.211111111111109</v>
      </c>
      <c r="DB230" s="1">
        <f t="shared" si="128"/>
        <v>49.719444444444441</v>
      </c>
      <c r="DC230" s="1">
        <f t="shared" si="128"/>
        <v>49.719444444444441</v>
      </c>
    </row>
    <row r="231" spans="1:107" x14ac:dyDescent="0.25">
      <c r="A231">
        <f t="shared" si="114"/>
        <v>3</v>
      </c>
      <c r="B231" s="2">
        <f>yields_BRUTE!B231</f>
        <v>42339</v>
      </c>
      <c r="C231" s="1">
        <f t="shared" si="134"/>
        <v>-0.76388888888888884</v>
      </c>
      <c r="D231" s="1">
        <f t="shared" si="134"/>
        <v>-0.72499999999999998</v>
      </c>
      <c r="E231" s="1">
        <f t="shared" si="134"/>
        <v>-0.5083333333333333</v>
      </c>
      <c r="F231" s="1">
        <f t="shared" si="134"/>
        <v>-0.25277777777777777</v>
      </c>
      <c r="G231" s="1">
        <f t="shared" si="134"/>
        <v>-0.21388888888888888</v>
      </c>
      <c r="H231" s="1">
        <f t="shared" si="134"/>
        <v>0</v>
      </c>
      <c r="I231" s="1">
        <f t="shared" si="134"/>
        <v>0</v>
      </c>
      <c r="J231" s="1">
        <f t="shared" si="134"/>
        <v>0.25277777777777777</v>
      </c>
      <c r="K231" s="1">
        <f t="shared" si="134"/>
        <v>0.29166666666666669</v>
      </c>
      <c r="L231" s="1">
        <f t="shared" si="134"/>
        <v>0.5083333333333333</v>
      </c>
      <c r="M231" s="1">
        <f t="shared" si="134"/>
        <v>0.76388888888888884</v>
      </c>
      <c r="N231" s="1">
        <f t="shared" si="134"/>
        <v>0.76388888888888884</v>
      </c>
      <c r="O231" s="1">
        <f t="shared" si="134"/>
        <v>0.80277777777777781</v>
      </c>
      <c r="P231" s="1">
        <f t="shared" si="134"/>
        <v>1.0166666666666666</v>
      </c>
      <c r="Q231" s="1">
        <f t="shared" si="134"/>
        <v>1.3055555555555556</v>
      </c>
      <c r="R231" s="1">
        <f t="shared" si="129"/>
        <v>1.5222222222222221</v>
      </c>
      <c r="S231" s="1">
        <f t="shared" si="129"/>
        <v>1.8166666666666667</v>
      </c>
      <c r="T231" s="1">
        <f t="shared" si="129"/>
        <v>2.0305555555555554</v>
      </c>
      <c r="U231" s="1">
        <f t="shared" si="129"/>
        <v>2.3194444444444446</v>
      </c>
      <c r="V231" s="1">
        <f t="shared" si="129"/>
        <v>2.536111111111111</v>
      </c>
      <c r="W231" s="1">
        <f t="shared" si="129"/>
        <v>2.8305555555555557</v>
      </c>
      <c r="X231" s="1">
        <f t="shared" si="129"/>
        <v>3.0444444444444443</v>
      </c>
      <c r="Y231" s="1">
        <f t="shared" si="129"/>
        <v>3.3333333333333335</v>
      </c>
      <c r="Z231" s="1">
        <f t="shared" si="129"/>
        <v>3.55</v>
      </c>
      <c r="AA231" s="1">
        <f t="shared" si="129"/>
        <v>3.8444444444444446</v>
      </c>
      <c r="AB231" s="1">
        <f t="shared" si="129"/>
        <v>4.0583333333333336</v>
      </c>
      <c r="AC231" s="1">
        <f t="shared" si="129"/>
        <v>4.3499999999999996</v>
      </c>
      <c r="AD231" s="1">
        <f t="shared" si="129"/>
        <v>4.5666666666666664</v>
      </c>
      <c r="AE231" s="1">
        <f t="shared" si="129"/>
        <v>4.5666666666666664</v>
      </c>
      <c r="AF231" s="3">
        <f t="shared" si="129"/>
        <v>4.8611111111111107</v>
      </c>
      <c r="AG231" s="1">
        <f t="shared" si="129"/>
        <v>5.0750000000000002</v>
      </c>
      <c r="AH231" s="1">
        <f t="shared" si="130"/>
        <v>5.3638888888888889</v>
      </c>
      <c r="AI231" s="1">
        <f t="shared" si="125"/>
        <v>5.3638888888888889</v>
      </c>
      <c r="AJ231" s="1">
        <f t="shared" si="125"/>
        <v>5.5805555555555557</v>
      </c>
      <c r="AK231" s="1">
        <f t="shared" si="125"/>
        <v>5.5805555555555557</v>
      </c>
      <c r="AL231" s="1">
        <f t="shared" si="125"/>
        <v>6.0888888888888886</v>
      </c>
      <c r="AM231" s="1">
        <f t="shared" si="125"/>
        <v>6.5944444444444441</v>
      </c>
      <c r="AN231" s="1">
        <f t="shared" si="125"/>
        <v>6.5944444444444441</v>
      </c>
      <c r="AO231" s="1">
        <f t="shared" si="125"/>
        <v>7.1027777777777779</v>
      </c>
      <c r="AP231" s="1">
        <f t="shared" si="125"/>
        <v>7.6083333333333334</v>
      </c>
      <c r="AQ231" s="1">
        <f t="shared" si="125"/>
        <v>7.6083333333333334</v>
      </c>
      <c r="AR231" s="1">
        <f t="shared" si="125"/>
        <v>8.1166666666666671</v>
      </c>
      <c r="AS231" s="1">
        <f t="shared" si="125"/>
        <v>8.625</v>
      </c>
      <c r="AT231" s="1">
        <f t="shared" si="125"/>
        <v>9.1333333333333329</v>
      </c>
      <c r="AU231" s="1">
        <f t="shared" si="125"/>
        <v>9.6388888888888893</v>
      </c>
      <c r="AV231" s="1">
        <f t="shared" si="125"/>
        <v>9.6388888888888893</v>
      </c>
      <c r="AW231" s="1">
        <f t="shared" si="125"/>
        <v>14.205555555555556</v>
      </c>
      <c r="AX231" s="1">
        <f t="shared" si="125"/>
        <v>14.71111111111111</v>
      </c>
      <c r="AY231" s="1">
        <f t="shared" si="131"/>
        <v>15.219444444444445</v>
      </c>
      <c r="AZ231" s="1">
        <f t="shared" si="131"/>
        <v>15.725</v>
      </c>
      <c r="BA231" s="1">
        <f t="shared" si="131"/>
        <v>16.233333333333334</v>
      </c>
      <c r="BB231" s="1">
        <f t="shared" si="131"/>
        <v>16.741666666666667</v>
      </c>
      <c r="BC231" s="1">
        <f t="shared" si="131"/>
        <v>17.25</v>
      </c>
      <c r="BD231" s="1">
        <f t="shared" si="131"/>
        <v>17.755555555555556</v>
      </c>
      <c r="BE231" s="1">
        <f t="shared" si="131"/>
        <v>17.755555555555556</v>
      </c>
      <c r="BF231" s="1">
        <f t="shared" si="131"/>
        <v>26.380555555555556</v>
      </c>
      <c r="BG231" s="1">
        <f t="shared" si="131"/>
        <v>26.886111111111113</v>
      </c>
      <c r="BH231" s="1">
        <f t="shared" si="131"/>
        <v>27.394444444444446</v>
      </c>
      <c r="BI231" s="1">
        <f t="shared" si="131"/>
        <v>27.9</v>
      </c>
      <c r="BJ231" s="1">
        <f t="shared" si="131"/>
        <v>28.408333333333335</v>
      </c>
      <c r="BK231" s="1">
        <f t="shared" si="131"/>
        <v>28.916666666666668</v>
      </c>
      <c r="BL231" s="1">
        <f t="shared" si="131"/>
        <v>29.425000000000001</v>
      </c>
      <c r="BM231" s="1">
        <f t="shared" si="126"/>
        <v>29.930555555555557</v>
      </c>
      <c r="BN231" s="1">
        <f t="shared" si="126"/>
        <v>30.43888888888889</v>
      </c>
      <c r="BO231" s="1">
        <f t="shared" si="126"/>
        <v>30.43888888888889</v>
      </c>
      <c r="BP231" s="1">
        <f t="shared" si="126"/>
        <v>30.944444444444443</v>
      </c>
      <c r="BQ231" s="1">
        <f t="shared" si="126"/>
        <v>31.452777777777779</v>
      </c>
      <c r="BR231" s="1">
        <f t="shared" si="126"/>
        <v>31.958333333333332</v>
      </c>
      <c r="BS231" s="1">
        <f t="shared" si="126"/>
        <v>32.466666666666669</v>
      </c>
      <c r="BT231" s="1">
        <f t="shared" si="126"/>
        <v>32.975000000000001</v>
      </c>
      <c r="BU231" s="1">
        <f t="shared" si="126"/>
        <v>33.483333333333334</v>
      </c>
      <c r="BV231" s="1">
        <f t="shared" si="126"/>
        <v>33.483333333333334</v>
      </c>
      <c r="BW231" s="1">
        <f t="shared" si="126"/>
        <v>33.988888888888887</v>
      </c>
      <c r="BX231" s="1">
        <f t="shared" si="126"/>
        <v>34.49722222222222</v>
      </c>
      <c r="BY231" s="1">
        <f t="shared" si="126"/>
        <v>35.00277777777778</v>
      </c>
      <c r="BZ231" s="1">
        <f t="shared" si="126"/>
        <v>35.511111111111113</v>
      </c>
      <c r="CA231" s="1">
        <f t="shared" si="126"/>
        <v>36.016666666666666</v>
      </c>
      <c r="CB231" s="1">
        <f t="shared" si="126"/>
        <v>36.524999999999999</v>
      </c>
      <c r="CC231" s="1">
        <f t="shared" si="132"/>
        <v>37.033333333333331</v>
      </c>
      <c r="CD231" s="1">
        <f t="shared" si="127"/>
        <v>37.541666666666664</v>
      </c>
      <c r="CE231" s="1">
        <f t="shared" si="127"/>
        <v>38.047222222222224</v>
      </c>
      <c r="CF231" s="1">
        <f t="shared" si="127"/>
        <v>38.555555555555557</v>
      </c>
      <c r="CG231" s="1">
        <f t="shared" si="127"/>
        <v>39.06111111111111</v>
      </c>
      <c r="CH231" s="1">
        <f t="shared" si="127"/>
        <v>39.569444444444443</v>
      </c>
      <c r="CI231" s="1">
        <f t="shared" si="127"/>
        <v>40.075000000000003</v>
      </c>
      <c r="CJ231" s="1">
        <f t="shared" si="127"/>
        <v>40.583333333333336</v>
      </c>
      <c r="CK231" s="1">
        <f t="shared" si="127"/>
        <v>41.091666666666669</v>
      </c>
      <c r="CL231" s="1">
        <f t="shared" si="127"/>
        <v>41.6</v>
      </c>
      <c r="CM231" s="1">
        <f t="shared" si="127"/>
        <v>42.105555555555554</v>
      </c>
      <c r="CN231" s="1">
        <f t="shared" si="127"/>
        <v>42.613888888888887</v>
      </c>
      <c r="CO231" s="1">
        <f t="shared" si="127"/>
        <v>43.119444444444447</v>
      </c>
      <c r="CP231" s="1">
        <f t="shared" si="127"/>
        <v>43.62777777777778</v>
      </c>
      <c r="CQ231" s="1">
        <f t="shared" si="127"/>
        <v>44.133333333333333</v>
      </c>
      <c r="CR231" s="1">
        <f t="shared" si="127"/>
        <v>44.641666666666666</v>
      </c>
      <c r="CS231" s="1">
        <f t="shared" si="127"/>
        <v>45.15</v>
      </c>
      <c r="CT231" s="1">
        <f t="shared" si="133"/>
        <v>45.658333333333331</v>
      </c>
      <c r="CU231" s="1">
        <f t="shared" si="128"/>
        <v>46.163888888888891</v>
      </c>
      <c r="CV231" s="1">
        <f t="shared" si="128"/>
        <v>46.672222222222224</v>
      </c>
      <c r="CW231" s="1">
        <f t="shared" si="128"/>
        <v>47.177777777777777</v>
      </c>
      <c r="CX231" s="1">
        <f t="shared" si="128"/>
        <v>47.68611111111111</v>
      </c>
      <c r="CY231" s="1">
        <f t="shared" si="128"/>
        <v>48.19166666666667</v>
      </c>
      <c r="CZ231" s="1">
        <f t="shared" si="128"/>
        <v>48.7</v>
      </c>
      <c r="DA231" s="1">
        <f t="shared" si="128"/>
        <v>49.208333333333336</v>
      </c>
      <c r="DB231" s="1">
        <f t="shared" si="128"/>
        <v>49.716666666666669</v>
      </c>
      <c r="DC231" s="1">
        <f t="shared" si="128"/>
        <v>49.716666666666669</v>
      </c>
    </row>
    <row r="232" spans="1:107" x14ac:dyDescent="0.25">
      <c r="A232">
        <f t="shared" si="114"/>
        <v>4</v>
      </c>
      <c r="B232" s="2">
        <f>yields_BRUTE!B232</f>
        <v>42340</v>
      </c>
      <c r="C232" s="1">
        <f t="shared" si="134"/>
        <v>-0.76666666666666672</v>
      </c>
      <c r="D232" s="1">
        <f t="shared" si="134"/>
        <v>-0.72777777777777775</v>
      </c>
      <c r="E232" s="1">
        <f t="shared" si="134"/>
        <v>-0.51111111111111107</v>
      </c>
      <c r="F232" s="1">
        <f t="shared" si="134"/>
        <v>-0.25555555555555554</v>
      </c>
      <c r="G232" s="1">
        <f t="shared" si="134"/>
        <v>-0.21666666666666667</v>
      </c>
      <c r="H232" s="1">
        <f t="shared" si="134"/>
        <v>-2.7777777777777779E-3</v>
      </c>
      <c r="I232" s="1">
        <f t="shared" si="134"/>
        <v>-2.7777777777777779E-3</v>
      </c>
      <c r="J232" s="1">
        <f t="shared" si="134"/>
        <v>0.25</v>
      </c>
      <c r="K232" s="1">
        <f t="shared" si="134"/>
        <v>0.28888888888888886</v>
      </c>
      <c r="L232" s="1">
        <f t="shared" si="134"/>
        <v>0.50555555555555554</v>
      </c>
      <c r="M232" s="1">
        <f t="shared" si="134"/>
        <v>0.76111111111111107</v>
      </c>
      <c r="N232" s="1">
        <f t="shared" si="134"/>
        <v>0.76111111111111107</v>
      </c>
      <c r="O232" s="1">
        <f t="shared" si="134"/>
        <v>0.8</v>
      </c>
      <c r="P232" s="1">
        <f t="shared" si="134"/>
        <v>1.0138888888888888</v>
      </c>
      <c r="Q232" s="1">
        <f t="shared" si="134"/>
        <v>1.3027777777777778</v>
      </c>
      <c r="R232" s="1">
        <f t="shared" si="129"/>
        <v>1.5194444444444444</v>
      </c>
      <c r="S232" s="1">
        <f t="shared" si="129"/>
        <v>1.8138888888888889</v>
      </c>
      <c r="T232" s="1">
        <f t="shared" si="129"/>
        <v>2.0277777777777777</v>
      </c>
      <c r="U232" s="1">
        <f t="shared" si="129"/>
        <v>2.3166666666666669</v>
      </c>
      <c r="V232" s="1">
        <f t="shared" si="129"/>
        <v>2.5333333333333332</v>
      </c>
      <c r="W232" s="1">
        <f t="shared" si="129"/>
        <v>2.8277777777777779</v>
      </c>
      <c r="X232" s="1">
        <f t="shared" si="129"/>
        <v>3.0416666666666665</v>
      </c>
      <c r="Y232" s="1">
        <f t="shared" si="129"/>
        <v>3.3305555555555557</v>
      </c>
      <c r="Z232" s="1">
        <f t="shared" si="129"/>
        <v>3.5472222222222221</v>
      </c>
      <c r="AA232" s="1">
        <f t="shared" si="129"/>
        <v>3.8416666666666668</v>
      </c>
      <c r="AB232" s="1">
        <f t="shared" si="129"/>
        <v>4.0555555555555554</v>
      </c>
      <c r="AC232" s="1">
        <f t="shared" si="129"/>
        <v>4.3472222222222223</v>
      </c>
      <c r="AD232" s="1">
        <f t="shared" si="129"/>
        <v>4.5638888888888891</v>
      </c>
      <c r="AE232" s="1">
        <f t="shared" si="129"/>
        <v>4.5638888888888891</v>
      </c>
      <c r="AF232" s="3">
        <f t="shared" si="129"/>
        <v>4.8583333333333334</v>
      </c>
      <c r="AG232" s="1">
        <f t="shared" si="129"/>
        <v>5.072222222222222</v>
      </c>
      <c r="AH232" s="1">
        <f t="shared" si="130"/>
        <v>5.3611111111111107</v>
      </c>
      <c r="AI232" s="1">
        <f t="shared" si="125"/>
        <v>5.3611111111111107</v>
      </c>
      <c r="AJ232" s="1">
        <f t="shared" si="125"/>
        <v>5.5777777777777775</v>
      </c>
      <c r="AK232" s="1">
        <f t="shared" si="125"/>
        <v>5.5777777777777775</v>
      </c>
      <c r="AL232" s="1">
        <f t="shared" si="125"/>
        <v>6.0861111111111112</v>
      </c>
      <c r="AM232" s="1">
        <f t="shared" si="125"/>
        <v>6.5916666666666668</v>
      </c>
      <c r="AN232" s="1">
        <f t="shared" si="125"/>
        <v>6.5916666666666668</v>
      </c>
      <c r="AO232" s="1">
        <f t="shared" si="125"/>
        <v>7.1</v>
      </c>
      <c r="AP232" s="1">
        <f t="shared" si="125"/>
        <v>7.6055555555555552</v>
      </c>
      <c r="AQ232" s="1">
        <f t="shared" si="125"/>
        <v>7.6055555555555552</v>
      </c>
      <c r="AR232" s="1">
        <f t="shared" si="125"/>
        <v>8.1138888888888889</v>
      </c>
      <c r="AS232" s="1">
        <f t="shared" si="125"/>
        <v>8.6222222222222218</v>
      </c>
      <c r="AT232" s="1">
        <f t="shared" si="125"/>
        <v>9.1305555555555564</v>
      </c>
      <c r="AU232" s="1">
        <f t="shared" si="125"/>
        <v>9.6361111111111111</v>
      </c>
      <c r="AV232" s="1">
        <f t="shared" si="125"/>
        <v>9.6361111111111111</v>
      </c>
      <c r="AW232" s="1">
        <f t="shared" si="125"/>
        <v>14.202777777777778</v>
      </c>
      <c r="AX232" s="1">
        <f t="shared" si="125"/>
        <v>14.708333333333334</v>
      </c>
      <c r="AY232" s="1">
        <f t="shared" si="131"/>
        <v>15.216666666666667</v>
      </c>
      <c r="AZ232" s="1">
        <f t="shared" si="131"/>
        <v>15.722222222222221</v>
      </c>
      <c r="BA232" s="1">
        <f t="shared" si="131"/>
        <v>16.230555555555554</v>
      </c>
      <c r="BB232" s="1">
        <f t="shared" si="131"/>
        <v>16.738888888888887</v>
      </c>
      <c r="BC232" s="1">
        <f t="shared" si="131"/>
        <v>17.247222222222224</v>
      </c>
      <c r="BD232" s="1">
        <f t="shared" si="131"/>
        <v>17.752777777777776</v>
      </c>
      <c r="BE232" s="1">
        <f t="shared" si="131"/>
        <v>17.752777777777776</v>
      </c>
      <c r="BF232" s="1">
        <f t="shared" si="131"/>
        <v>26.377777777777776</v>
      </c>
      <c r="BG232" s="1">
        <f t="shared" si="131"/>
        <v>26.883333333333333</v>
      </c>
      <c r="BH232" s="1">
        <f t="shared" si="131"/>
        <v>27.391666666666666</v>
      </c>
      <c r="BI232" s="1">
        <f t="shared" si="131"/>
        <v>27.897222222222222</v>
      </c>
      <c r="BJ232" s="1">
        <f t="shared" si="131"/>
        <v>28.405555555555555</v>
      </c>
      <c r="BK232" s="1">
        <f t="shared" si="131"/>
        <v>28.913888888888888</v>
      </c>
      <c r="BL232" s="1">
        <f t="shared" si="131"/>
        <v>29.422222222222221</v>
      </c>
      <c r="BM232" s="1">
        <f t="shared" si="126"/>
        <v>29.927777777777777</v>
      </c>
      <c r="BN232" s="1">
        <f t="shared" si="126"/>
        <v>30.43611111111111</v>
      </c>
      <c r="BO232" s="1">
        <f t="shared" si="126"/>
        <v>30.43611111111111</v>
      </c>
      <c r="BP232" s="1">
        <f t="shared" si="126"/>
        <v>30.941666666666666</v>
      </c>
      <c r="BQ232" s="1">
        <f t="shared" si="126"/>
        <v>31.45</v>
      </c>
      <c r="BR232" s="1">
        <f t="shared" si="126"/>
        <v>31.955555555555556</v>
      </c>
      <c r="BS232" s="1">
        <f t="shared" si="126"/>
        <v>32.463888888888889</v>
      </c>
      <c r="BT232" s="1">
        <f t="shared" si="126"/>
        <v>32.972222222222221</v>
      </c>
      <c r="BU232" s="1">
        <f t="shared" si="126"/>
        <v>33.480555555555554</v>
      </c>
      <c r="BV232" s="1">
        <f t="shared" si="126"/>
        <v>33.480555555555554</v>
      </c>
      <c r="BW232" s="1">
        <f t="shared" si="126"/>
        <v>33.986111111111114</v>
      </c>
      <c r="BX232" s="1">
        <f t="shared" si="126"/>
        <v>34.494444444444447</v>
      </c>
      <c r="BY232" s="1">
        <f t="shared" si="126"/>
        <v>35</v>
      </c>
      <c r="BZ232" s="1">
        <f t="shared" si="126"/>
        <v>35.508333333333333</v>
      </c>
      <c r="CA232" s="1">
        <f t="shared" si="126"/>
        <v>36.013888888888886</v>
      </c>
      <c r="CB232" s="1">
        <f t="shared" si="126"/>
        <v>36.522222222222226</v>
      </c>
      <c r="CC232" s="1">
        <f t="shared" si="132"/>
        <v>37.030555555555559</v>
      </c>
      <c r="CD232" s="1">
        <f t="shared" si="127"/>
        <v>37.538888888888891</v>
      </c>
      <c r="CE232" s="1">
        <f t="shared" si="127"/>
        <v>38.044444444444444</v>
      </c>
      <c r="CF232" s="1">
        <f t="shared" si="127"/>
        <v>38.552777777777777</v>
      </c>
      <c r="CG232" s="1">
        <f t="shared" si="127"/>
        <v>39.05833333333333</v>
      </c>
      <c r="CH232" s="1">
        <f t="shared" si="127"/>
        <v>39.56666666666667</v>
      </c>
      <c r="CI232" s="1">
        <f t="shared" si="127"/>
        <v>40.072222222222223</v>
      </c>
      <c r="CJ232" s="1">
        <f t="shared" si="127"/>
        <v>40.580555555555556</v>
      </c>
      <c r="CK232" s="1">
        <f t="shared" si="127"/>
        <v>41.088888888888889</v>
      </c>
      <c r="CL232" s="1">
        <f t="shared" si="127"/>
        <v>41.597222222222221</v>
      </c>
      <c r="CM232" s="1">
        <f t="shared" si="127"/>
        <v>42.102777777777774</v>
      </c>
      <c r="CN232" s="1">
        <f t="shared" si="127"/>
        <v>42.611111111111114</v>
      </c>
      <c r="CO232" s="1">
        <f t="shared" si="127"/>
        <v>43.116666666666667</v>
      </c>
      <c r="CP232" s="1">
        <f t="shared" si="127"/>
        <v>43.625</v>
      </c>
      <c r="CQ232" s="1">
        <f t="shared" si="127"/>
        <v>44.130555555555553</v>
      </c>
      <c r="CR232" s="1">
        <f t="shared" si="127"/>
        <v>44.638888888888886</v>
      </c>
      <c r="CS232" s="1">
        <f t="shared" si="127"/>
        <v>45.147222222222226</v>
      </c>
      <c r="CT232" s="1">
        <f t="shared" si="133"/>
        <v>45.655555555555559</v>
      </c>
      <c r="CU232" s="1">
        <f t="shared" si="128"/>
        <v>46.161111111111111</v>
      </c>
      <c r="CV232" s="1">
        <f t="shared" si="128"/>
        <v>46.669444444444444</v>
      </c>
      <c r="CW232" s="1">
        <f t="shared" si="128"/>
        <v>47.174999999999997</v>
      </c>
      <c r="CX232" s="1">
        <f t="shared" si="128"/>
        <v>47.68333333333333</v>
      </c>
      <c r="CY232" s="1">
        <f t="shared" si="128"/>
        <v>48.18888888888889</v>
      </c>
      <c r="CZ232" s="1">
        <f t="shared" si="128"/>
        <v>48.697222222222223</v>
      </c>
      <c r="DA232" s="1">
        <f t="shared" si="128"/>
        <v>49.205555555555556</v>
      </c>
      <c r="DB232" s="1">
        <f t="shared" si="128"/>
        <v>49.713888888888889</v>
      </c>
      <c r="DC232" s="1">
        <f t="shared" si="128"/>
        <v>49.713888888888889</v>
      </c>
    </row>
    <row r="233" spans="1:107" x14ac:dyDescent="0.25">
      <c r="A233">
        <f t="shared" si="114"/>
        <v>5</v>
      </c>
      <c r="B233" s="2">
        <f>yields_BRUTE!B233</f>
        <v>42341</v>
      </c>
      <c r="C233" s="1">
        <f t="shared" si="134"/>
        <v>-0.76944444444444449</v>
      </c>
      <c r="D233" s="1">
        <f t="shared" si="134"/>
        <v>-0.73055555555555551</v>
      </c>
      <c r="E233" s="1">
        <f t="shared" si="134"/>
        <v>-0.51388888888888884</v>
      </c>
      <c r="F233" s="1">
        <f t="shared" si="134"/>
        <v>-0.25833333333333336</v>
      </c>
      <c r="G233" s="1">
        <f t="shared" si="134"/>
        <v>-0.21944444444444444</v>
      </c>
      <c r="H233" s="1">
        <f t="shared" si="134"/>
        <v>-5.5555555555555558E-3</v>
      </c>
      <c r="I233" s="1">
        <f t="shared" si="134"/>
        <v>-5.5555555555555558E-3</v>
      </c>
      <c r="J233" s="1">
        <f t="shared" si="134"/>
        <v>0.24722222222222223</v>
      </c>
      <c r="K233" s="1">
        <f t="shared" si="134"/>
        <v>0.28611111111111109</v>
      </c>
      <c r="L233" s="1">
        <f t="shared" si="134"/>
        <v>0.50277777777777777</v>
      </c>
      <c r="M233" s="1">
        <f t="shared" si="134"/>
        <v>0.7583333333333333</v>
      </c>
      <c r="N233" s="1">
        <f t="shared" si="134"/>
        <v>0.7583333333333333</v>
      </c>
      <c r="O233" s="1">
        <f t="shared" si="134"/>
        <v>0.79722222222222228</v>
      </c>
      <c r="P233" s="1">
        <f t="shared" si="134"/>
        <v>1.0111111111111111</v>
      </c>
      <c r="Q233" s="1">
        <f t="shared" si="134"/>
        <v>1.3</v>
      </c>
      <c r="R233" s="1">
        <f t="shared" si="129"/>
        <v>1.5166666666666666</v>
      </c>
      <c r="S233" s="1">
        <f t="shared" si="129"/>
        <v>1.8111111111111111</v>
      </c>
      <c r="T233" s="1">
        <f t="shared" si="129"/>
        <v>2.0249999999999999</v>
      </c>
      <c r="U233" s="1">
        <f t="shared" si="129"/>
        <v>2.3138888888888891</v>
      </c>
      <c r="V233" s="1">
        <f t="shared" si="129"/>
        <v>2.5305555555555554</v>
      </c>
      <c r="W233" s="1">
        <f t="shared" si="129"/>
        <v>2.8250000000000002</v>
      </c>
      <c r="X233" s="1">
        <f t="shared" si="129"/>
        <v>3.0388888888888888</v>
      </c>
      <c r="Y233" s="1">
        <f t="shared" si="129"/>
        <v>3.3277777777777779</v>
      </c>
      <c r="Z233" s="1">
        <f t="shared" si="129"/>
        <v>3.5444444444444443</v>
      </c>
      <c r="AA233" s="1">
        <f t="shared" si="129"/>
        <v>3.838888888888889</v>
      </c>
      <c r="AB233" s="1">
        <f t="shared" si="129"/>
        <v>4.052777777777778</v>
      </c>
      <c r="AC233" s="1">
        <f t="shared" si="129"/>
        <v>4.3444444444444441</v>
      </c>
      <c r="AD233" s="1">
        <f t="shared" si="129"/>
        <v>4.5611111111111109</v>
      </c>
      <c r="AE233" s="1">
        <f t="shared" si="129"/>
        <v>4.5611111111111109</v>
      </c>
      <c r="AF233" s="3">
        <f t="shared" si="129"/>
        <v>4.8555555555555552</v>
      </c>
      <c r="AG233" s="1">
        <f t="shared" si="129"/>
        <v>5.0694444444444446</v>
      </c>
      <c r="AH233" s="1">
        <f t="shared" si="130"/>
        <v>5.3583333333333334</v>
      </c>
      <c r="AI233" s="1">
        <f t="shared" si="125"/>
        <v>5.3583333333333334</v>
      </c>
      <c r="AJ233" s="1">
        <f t="shared" si="125"/>
        <v>5.5750000000000002</v>
      </c>
      <c r="AK233" s="1">
        <f t="shared" si="125"/>
        <v>5.5750000000000002</v>
      </c>
      <c r="AL233" s="1">
        <f t="shared" si="125"/>
        <v>6.083333333333333</v>
      </c>
      <c r="AM233" s="1">
        <f t="shared" si="125"/>
        <v>6.5888888888888886</v>
      </c>
      <c r="AN233" s="1">
        <f t="shared" si="125"/>
        <v>6.5888888888888886</v>
      </c>
      <c r="AO233" s="1">
        <f t="shared" si="125"/>
        <v>7.0972222222222223</v>
      </c>
      <c r="AP233" s="1">
        <f t="shared" si="125"/>
        <v>7.6027777777777779</v>
      </c>
      <c r="AQ233" s="1">
        <f t="shared" si="125"/>
        <v>7.6027777777777779</v>
      </c>
      <c r="AR233" s="1">
        <f t="shared" si="125"/>
        <v>8.1111111111111107</v>
      </c>
      <c r="AS233" s="1">
        <f t="shared" si="125"/>
        <v>8.6194444444444436</v>
      </c>
      <c r="AT233" s="1">
        <f t="shared" si="125"/>
        <v>9.1277777777777782</v>
      </c>
      <c r="AU233" s="1">
        <f t="shared" si="125"/>
        <v>9.6333333333333329</v>
      </c>
      <c r="AV233" s="1">
        <f t="shared" si="125"/>
        <v>9.6333333333333329</v>
      </c>
      <c r="AW233" s="1">
        <f t="shared" si="125"/>
        <v>14.2</v>
      </c>
      <c r="AX233" s="1">
        <f t="shared" si="125"/>
        <v>14.705555555555556</v>
      </c>
      <c r="AY233" s="1">
        <f t="shared" si="131"/>
        <v>15.213888888888889</v>
      </c>
      <c r="AZ233" s="1">
        <f t="shared" si="131"/>
        <v>15.719444444444445</v>
      </c>
      <c r="BA233" s="1">
        <f t="shared" si="131"/>
        <v>16.227777777777778</v>
      </c>
      <c r="BB233" s="1">
        <f t="shared" si="131"/>
        <v>16.736111111111111</v>
      </c>
      <c r="BC233" s="1">
        <f t="shared" si="131"/>
        <v>17.244444444444444</v>
      </c>
      <c r="BD233" s="1">
        <f t="shared" si="131"/>
        <v>17.75</v>
      </c>
      <c r="BE233" s="1">
        <f t="shared" si="131"/>
        <v>17.75</v>
      </c>
      <c r="BF233" s="1">
        <f t="shared" si="131"/>
        <v>26.375</v>
      </c>
      <c r="BG233" s="1">
        <f t="shared" si="131"/>
        <v>26.880555555555556</v>
      </c>
      <c r="BH233" s="1">
        <f t="shared" si="131"/>
        <v>27.388888888888889</v>
      </c>
      <c r="BI233" s="1">
        <f t="shared" si="131"/>
        <v>27.894444444444446</v>
      </c>
      <c r="BJ233" s="1">
        <f t="shared" si="131"/>
        <v>28.402777777777779</v>
      </c>
      <c r="BK233" s="1">
        <f t="shared" si="131"/>
        <v>28.911111111111111</v>
      </c>
      <c r="BL233" s="1">
        <f t="shared" si="131"/>
        <v>29.419444444444444</v>
      </c>
      <c r="BM233" s="1">
        <f t="shared" si="126"/>
        <v>29.925000000000001</v>
      </c>
      <c r="BN233" s="1">
        <f t="shared" si="126"/>
        <v>30.433333333333334</v>
      </c>
      <c r="BO233" s="1">
        <f t="shared" si="126"/>
        <v>30.433333333333334</v>
      </c>
      <c r="BP233" s="1">
        <f t="shared" si="126"/>
        <v>30.93888888888889</v>
      </c>
      <c r="BQ233" s="1">
        <f t="shared" si="126"/>
        <v>31.447222222222223</v>
      </c>
      <c r="BR233" s="1">
        <f t="shared" si="126"/>
        <v>31.952777777777779</v>
      </c>
      <c r="BS233" s="1">
        <f t="shared" si="126"/>
        <v>32.461111111111109</v>
      </c>
      <c r="BT233" s="1">
        <f t="shared" si="126"/>
        <v>32.969444444444441</v>
      </c>
      <c r="BU233" s="1">
        <f t="shared" si="126"/>
        <v>33.477777777777774</v>
      </c>
      <c r="BV233" s="1">
        <f t="shared" si="126"/>
        <v>33.477777777777774</v>
      </c>
      <c r="BW233" s="1">
        <f t="shared" si="126"/>
        <v>33.983333333333334</v>
      </c>
      <c r="BX233" s="1">
        <f t="shared" si="126"/>
        <v>34.491666666666667</v>
      </c>
      <c r="BY233" s="1">
        <f t="shared" si="126"/>
        <v>34.99722222222222</v>
      </c>
      <c r="BZ233" s="1">
        <f t="shared" si="126"/>
        <v>35.505555555555553</v>
      </c>
      <c r="CA233" s="1">
        <f t="shared" si="126"/>
        <v>36.011111111111113</v>
      </c>
      <c r="CB233" s="1">
        <f t="shared" si="126"/>
        <v>36.519444444444446</v>
      </c>
      <c r="CC233" s="1">
        <f t="shared" si="132"/>
        <v>37.027777777777779</v>
      </c>
      <c r="CD233" s="1">
        <f t="shared" si="127"/>
        <v>37.536111111111111</v>
      </c>
      <c r="CE233" s="1">
        <f t="shared" si="127"/>
        <v>38.041666666666664</v>
      </c>
      <c r="CF233" s="1">
        <f t="shared" si="127"/>
        <v>38.549999999999997</v>
      </c>
      <c r="CG233" s="1">
        <f t="shared" si="127"/>
        <v>39.055555555555557</v>
      </c>
      <c r="CH233" s="1">
        <f t="shared" si="127"/>
        <v>39.56388888888889</v>
      </c>
      <c r="CI233" s="1">
        <f t="shared" si="127"/>
        <v>40.069444444444443</v>
      </c>
      <c r="CJ233" s="1">
        <f t="shared" si="127"/>
        <v>40.577777777777776</v>
      </c>
      <c r="CK233" s="1">
        <f t="shared" si="127"/>
        <v>41.086111111111109</v>
      </c>
      <c r="CL233" s="1">
        <f t="shared" si="127"/>
        <v>41.594444444444441</v>
      </c>
      <c r="CM233" s="1">
        <f t="shared" si="127"/>
        <v>42.1</v>
      </c>
      <c r="CN233" s="1">
        <f t="shared" si="127"/>
        <v>42.608333333333334</v>
      </c>
      <c r="CO233" s="1">
        <f t="shared" si="127"/>
        <v>43.113888888888887</v>
      </c>
      <c r="CP233" s="1">
        <f t="shared" si="127"/>
        <v>43.62222222222222</v>
      </c>
      <c r="CQ233" s="1">
        <f t="shared" si="127"/>
        <v>44.12777777777778</v>
      </c>
      <c r="CR233" s="1">
        <f t="shared" si="127"/>
        <v>44.636111111111113</v>
      </c>
      <c r="CS233" s="1">
        <f t="shared" si="127"/>
        <v>45.144444444444446</v>
      </c>
      <c r="CT233" s="1">
        <f t="shared" si="133"/>
        <v>45.652777777777779</v>
      </c>
      <c r="CU233" s="1">
        <f t="shared" si="128"/>
        <v>46.158333333333331</v>
      </c>
      <c r="CV233" s="1">
        <f t="shared" si="128"/>
        <v>46.666666666666664</v>
      </c>
      <c r="CW233" s="1">
        <f t="shared" si="128"/>
        <v>47.172222222222224</v>
      </c>
      <c r="CX233" s="1">
        <f t="shared" si="128"/>
        <v>47.680555555555557</v>
      </c>
      <c r="CY233" s="1">
        <f t="shared" si="128"/>
        <v>48.18611111111111</v>
      </c>
      <c r="CZ233" s="1">
        <f t="shared" si="128"/>
        <v>48.694444444444443</v>
      </c>
      <c r="DA233" s="1">
        <f t="shared" si="128"/>
        <v>49.202777777777776</v>
      </c>
      <c r="DB233" s="1">
        <f t="shared" si="128"/>
        <v>49.711111111111109</v>
      </c>
      <c r="DC233" s="1">
        <f t="shared" si="128"/>
        <v>49.711111111111109</v>
      </c>
    </row>
    <row r="234" spans="1:107" x14ac:dyDescent="0.25">
      <c r="A234">
        <f t="shared" si="114"/>
        <v>6</v>
      </c>
      <c r="B234" s="2">
        <f>yields_BRUTE!B234</f>
        <v>42342</v>
      </c>
      <c r="C234" s="1">
        <f t="shared" si="134"/>
        <v>-0.77222222222222225</v>
      </c>
      <c r="D234" s="1">
        <f t="shared" si="134"/>
        <v>-0.73333333333333328</v>
      </c>
      <c r="E234" s="1">
        <f t="shared" si="134"/>
        <v>-0.51666666666666672</v>
      </c>
      <c r="F234" s="1">
        <f t="shared" si="134"/>
        <v>-0.26111111111111113</v>
      </c>
      <c r="G234" s="1">
        <f t="shared" si="134"/>
        <v>-0.22222222222222221</v>
      </c>
      <c r="H234" s="1">
        <f t="shared" si="134"/>
        <v>-8.3333333333333332E-3</v>
      </c>
      <c r="I234" s="1">
        <f t="shared" si="134"/>
        <v>-8.3333333333333332E-3</v>
      </c>
      <c r="J234" s="1">
        <f t="shared" si="134"/>
        <v>0.24444444444444444</v>
      </c>
      <c r="K234" s="1">
        <f t="shared" si="134"/>
        <v>0.28333333333333333</v>
      </c>
      <c r="L234" s="1">
        <f t="shared" si="134"/>
        <v>0.5</v>
      </c>
      <c r="M234" s="1">
        <f t="shared" si="134"/>
        <v>0.75555555555555554</v>
      </c>
      <c r="N234" s="1">
        <f t="shared" si="134"/>
        <v>0.75555555555555554</v>
      </c>
      <c r="O234" s="1">
        <f t="shared" si="134"/>
        <v>0.7944444444444444</v>
      </c>
      <c r="P234" s="1">
        <f t="shared" si="134"/>
        <v>1.0083333333333333</v>
      </c>
      <c r="Q234" s="1">
        <f t="shared" si="134"/>
        <v>1.2972222222222223</v>
      </c>
      <c r="R234" s="1">
        <f t="shared" si="129"/>
        <v>1.5138888888888888</v>
      </c>
      <c r="S234" s="1">
        <f t="shared" si="129"/>
        <v>1.8083333333333333</v>
      </c>
      <c r="T234" s="1">
        <f t="shared" si="129"/>
        <v>2.0222222222222221</v>
      </c>
      <c r="U234" s="1">
        <f t="shared" si="129"/>
        <v>2.3111111111111109</v>
      </c>
      <c r="V234" s="1">
        <f t="shared" si="129"/>
        <v>2.5277777777777777</v>
      </c>
      <c r="W234" s="1">
        <f t="shared" si="129"/>
        <v>2.8222222222222224</v>
      </c>
      <c r="X234" s="1">
        <f t="shared" si="129"/>
        <v>3.036111111111111</v>
      </c>
      <c r="Y234" s="1">
        <f t="shared" si="129"/>
        <v>3.3250000000000002</v>
      </c>
      <c r="Z234" s="1">
        <f t="shared" si="129"/>
        <v>3.5416666666666665</v>
      </c>
      <c r="AA234" s="1">
        <f t="shared" si="129"/>
        <v>3.8361111111111112</v>
      </c>
      <c r="AB234" s="1">
        <f t="shared" si="129"/>
        <v>4.05</v>
      </c>
      <c r="AC234" s="1">
        <f t="shared" si="129"/>
        <v>4.3416666666666668</v>
      </c>
      <c r="AD234" s="1">
        <f t="shared" si="129"/>
        <v>4.5583333333333336</v>
      </c>
      <c r="AE234" s="1">
        <f t="shared" si="129"/>
        <v>4.5583333333333336</v>
      </c>
      <c r="AF234" s="3">
        <f t="shared" si="129"/>
        <v>4.8527777777777779</v>
      </c>
      <c r="AG234" s="1">
        <f t="shared" si="129"/>
        <v>5.0666666666666664</v>
      </c>
      <c r="AH234" s="1">
        <f t="shared" si="130"/>
        <v>5.3555555555555552</v>
      </c>
      <c r="AI234" s="1">
        <f t="shared" si="125"/>
        <v>5.3555555555555552</v>
      </c>
      <c r="AJ234" s="1">
        <f t="shared" si="125"/>
        <v>5.572222222222222</v>
      </c>
      <c r="AK234" s="1">
        <f t="shared" si="125"/>
        <v>5.572222222222222</v>
      </c>
      <c r="AL234" s="1">
        <f t="shared" si="125"/>
        <v>6.0805555555555557</v>
      </c>
      <c r="AM234" s="1">
        <f t="shared" si="125"/>
        <v>6.5861111111111112</v>
      </c>
      <c r="AN234" s="1">
        <f t="shared" si="125"/>
        <v>6.5861111111111112</v>
      </c>
      <c r="AO234" s="1">
        <f t="shared" si="125"/>
        <v>7.0944444444444441</v>
      </c>
      <c r="AP234" s="1">
        <f t="shared" si="125"/>
        <v>7.6</v>
      </c>
      <c r="AQ234" s="1">
        <f t="shared" si="125"/>
        <v>7.6</v>
      </c>
      <c r="AR234" s="1">
        <f t="shared" si="125"/>
        <v>8.1083333333333325</v>
      </c>
      <c r="AS234" s="1">
        <f t="shared" si="125"/>
        <v>8.6166666666666671</v>
      </c>
      <c r="AT234" s="1">
        <f t="shared" si="125"/>
        <v>9.125</v>
      </c>
      <c r="AU234" s="1">
        <f t="shared" si="125"/>
        <v>9.6305555555555564</v>
      </c>
      <c r="AV234" s="1">
        <f t="shared" si="125"/>
        <v>9.6305555555555564</v>
      </c>
      <c r="AW234" s="1">
        <f t="shared" si="125"/>
        <v>14.197222222222223</v>
      </c>
      <c r="AX234" s="1">
        <f t="shared" si="125"/>
        <v>14.702777777777778</v>
      </c>
      <c r="AY234" s="1">
        <f t="shared" si="131"/>
        <v>15.21111111111111</v>
      </c>
      <c r="AZ234" s="1">
        <f t="shared" si="131"/>
        <v>15.716666666666667</v>
      </c>
      <c r="BA234" s="1">
        <f t="shared" si="131"/>
        <v>16.225000000000001</v>
      </c>
      <c r="BB234" s="1">
        <f t="shared" si="131"/>
        <v>16.733333333333334</v>
      </c>
      <c r="BC234" s="1">
        <f t="shared" si="131"/>
        <v>17.241666666666667</v>
      </c>
      <c r="BD234" s="1">
        <f t="shared" si="131"/>
        <v>17.747222222222224</v>
      </c>
      <c r="BE234" s="1">
        <f t="shared" si="131"/>
        <v>17.747222222222224</v>
      </c>
      <c r="BF234" s="1">
        <f t="shared" si="131"/>
        <v>26.372222222222224</v>
      </c>
      <c r="BG234" s="1">
        <f t="shared" si="131"/>
        <v>26.877777777777776</v>
      </c>
      <c r="BH234" s="1">
        <f t="shared" si="131"/>
        <v>27.386111111111113</v>
      </c>
      <c r="BI234" s="1">
        <f t="shared" si="131"/>
        <v>27.891666666666666</v>
      </c>
      <c r="BJ234" s="1">
        <f t="shared" si="131"/>
        <v>28.4</v>
      </c>
      <c r="BK234" s="1">
        <f t="shared" si="131"/>
        <v>28.908333333333335</v>
      </c>
      <c r="BL234" s="1">
        <f t="shared" si="131"/>
        <v>29.416666666666668</v>
      </c>
      <c r="BM234" s="1">
        <f t="shared" si="126"/>
        <v>29.922222222222221</v>
      </c>
      <c r="BN234" s="1">
        <f t="shared" si="126"/>
        <v>30.430555555555557</v>
      </c>
      <c r="BO234" s="1">
        <f t="shared" si="126"/>
        <v>30.430555555555557</v>
      </c>
      <c r="BP234" s="1">
        <f t="shared" si="126"/>
        <v>30.93611111111111</v>
      </c>
      <c r="BQ234" s="1">
        <f t="shared" si="126"/>
        <v>31.444444444444443</v>
      </c>
      <c r="BR234" s="1">
        <f t="shared" si="126"/>
        <v>31.95</v>
      </c>
      <c r="BS234" s="1">
        <f t="shared" si="126"/>
        <v>32.458333333333336</v>
      </c>
      <c r="BT234" s="1">
        <f t="shared" si="126"/>
        <v>32.966666666666669</v>
      </c>
      <c r="BU234" s="1">
        <f t="shared" si="126"/>
        <v>33.475000000000001</v>
      </c>
      <c r="BV234" s="1">
        <f t="shared" si="126"/>
        <v>33.475000000000001</v>
      </c>
      <c r="BW234" s="1">
        <f t="shared" si="126"/>
        <v>33.980555555555554</v>
      </c>
      <c r="BX234" s="1">
        <f t="shared" si="126"/>
        <v>34.488888888888887</v>
      </c>
      <c r="BY234" s="1">
        <f t="shared" si="126"/>
        <v>34.994444444444447</v>
      </c>
      <c r="BZ234" s="1">
        <f t="shared" si="126"/>
        <v>35.50277777777778</v>
      </c>
      <c r="CA234" s="1">
        <f t="shared" si="126"/>
        <v>36.008333333333333</v>
      </c>
      <c r="CB234" s="1">
        <f t="shared" si="126"/>
        <v>36.516666666666666</v>
      </c>
      <c r="CC234" s="1">
        <f t="shared" si="132"/>
        <v>37.024999999999999</v>
      </c>
      <c r="CD234" s="1">
        <f t="shared" si="127"/>
        <v>37.533333333333331</v>
      </c>
      <c r="CE234" s="1">
        <f t="shared" si="127"/>
        <v>38.038888888888891</v>
      </c>
      <c r="CF234" s="1">
        <f t="shared" si="127"/>
        <v>38.547222222222224</v>
      </c>
      <c r="CG234" s="1">
        <f t="shared" si="127"/>
        <v>39.052777777777777</v>
      </c>
      <c r="CH234" s="1">
        <f t="shared" si="127"/>
        <v>39.56111111111111</v>
      </c>
      <c r="CI234" s="1">
        <f t="shared" si="127"/>
        <v>40.06666666666667</v>
      </c>
      <c r="CJ234" s="1">
        <f t="shared" si="127"/>
        <v>40.575000000000003</v>
      </c>
      <c r="CK234" s="1">
        <f t="shared" si="127"/>
        <v>41.083333333333336</v>
      </c>
      <c r="CL234" s="1">
        <f t="shared" si="127"/>
        <v>41.591666666666669</v>
      </c>
      <c r="CM234" s="1">
        <f t="shared" si="127"/>
        <v>42.097222222222221</v>
      </c>
      <c r="CN234" s="1">
        <f t="shared" si="127"/>
        <v>42.605555555555554</v>
      </c>
      <c r="CO234" s="1">
        <f t="shared" si="127"/>
        <v>43.111111111111114</v>
      </c>
      <c r="CP234" s="1">
        <f t="shared" si="127"/>
        <v>43.619444444444447</v>
      </c>
      <c r="CQ234" s="1">
        <f t="shared" si="127"/>
        <v>44.125</v>
      </c>
      <c r="CR234" s="1">
        <f t="shared" si="127"/>
        <v>44.633333333333333</v>
      </c>
      <c r="CS234" s="1">
        <f t="shared" si="127"/>
        <v>45.141666666666666</v>
      </c>
      <c r="CT234" s="1">
        <f t="shared" si="133"/>
        <v>45.65</v>
      </c>
      <c r="CU234" s="1">
        <f t="shared" si="128"/>
        <v>46.155555555555559</v>
      </c>
      <c r="CV234" s="1">
        <f t="shared" si="128"/>
        <v>46.663888888888891</v>
      </c>
      <c r="CW234" s="1">
        <f t="shared" si="128"/>
        <v>47.169444444444444</v>
      </c>
      <c r="CX234" s="1">
        <f t="shared" si="128"/>
        <v>47.677777777777777</v>
      </c>
      <c r="CY234" s="1">
        <f t="shared" si="128"/>
        <v>48.18333333333333</v>
      </c>
      <c r="CZ234" s="1">
        <f t="shared" si="128"/>
        <v>48.69166666666667</v>
      </c>
      <c r="DA234" s="1">
        <f t="shared" si="128"/>
        <v>49.2</v>
      </c>
      <c r="DB234" s="1">
        <f t="shared" si="128"/>
        <v>49.708333333333336</v>
      </c>
      <c r="DC234" s="1">
        <f t="shared" si="128"/>
        <v>49.708333333333336</v>
      </c>
    </row>
    <row r="235" spans="1:107" x14ac:dyDescent="0.25">
      <c r="A235">
        <f t="shared" si="114"/>
        <v>2</v>
      </c>
      <c r="B235" s="2">
        <f>yields_BRUTE!B235</f>
        <v>42345</v>
      </c>
      <c r="C235" s="1">
        <f t="shared" si="134"/>
        <v>-0.78055555555555556</v>
      </c>
      <c r="D235" s="1">
        <f t="shared" si="134"/>
        <v>-0.7416666666666667</v>
      </c>
      <c r="E235" s="1">
        <f t="shared" si="134"/>
        <v>-0.52500000000000002</v>
      </c>
      <c r="F235" s="1">
        <f t="shared" si="134"/>
        <v>-0.26944444444444443</v>
      </c>
      <c r="G235" s="1">
        <f t="shared" si="134"/>
        <v>-0.23055555555555557</v>
      </c>
      <c r="H235" s="1">
        <f t="shared" si="134"/>
        <v>-1.6666666666666666E-2</v>
      </c>
      <c r="I235" s="1">
        <f t="shared" si="134"/>
        <v>-1.6666666666666666E-2</v>
      </c>
      <c r="J235" s="1">
        <f t="shared" si="134"/>
        <v>0.2361111111111111</v>
      </c>
      <c r="K235" s="1">
        <f t="shared" si="134"/>
        <v>0.27500000000000002</v>
      </c>
      <c r="L235" s="1">
        <f t="shared" si="134"/>
        <v>0.49166666666666664</v>
      </c>
      <c r="M235" s="1">
        <f t="shared" si="134"/>
        <v>0.74722222222222223</v>
      </c>
      <c r="N235" s="1">
        <f t="shared" si="134"/>
        <v>0.74722222222222223</v>
      </c>
      <c r="O235" s="1">
        <f t="shared" si="134"/>
        <v>0.78611111111111109</v>
      </c>
      <c r="P235" s="1">
        <f t="shared" si="134"/>
        <v>1</v>
      </c>
      <c r="Q235" s="1">
        <f t="shared" si="134"/>
        <v>1.288888888888889</v>
      </c>
      <c r="R235" s="1">
        <f t="shared" si="129"/>
        <v>1.5055555555555555</v>
      </c>
      <c r="S235" s="1">
        <f t="shared" si="129"/>
        <v>1.8</v>
      </c>
      <c r="T235" s="1">
        <f t="shared" si="129"/>
        <v>2.0138888888888888</v>
      </c>
      <c r="U235" s="1">
        <f t="shared" si="129"/>
        <v>2.3027777777777776</v>
      </c>
      <c r="V235" s="1">
        <f t="shared" si="129"/>
        <v>2.5194444444444444</v>
      </c>
      <c r="W235" s="1">
        <f t="shared" si="129"/>
        <v>2.8138888888888891</v>
      </c>
      <c r="X235" s="1">
        <f t="shared" si="129"/>
        <v>3.0277777777777777</v>
      </c>
      <c r="Y235" s="1">
        <f t="shared" si="129"/>
        <v>3.3166666666666669</v>
      </c>
      <c r="Z235" s="1">
        <f t="shared" si="129"/>
        <v>3.5333333333333332</v>
      </c>
      <c r="AA235" s="1">
        <f t="shared" si="129"/>
        <v>3.8277777777777779</v>
      </c>
      <c r="AB235" s="1">
        <f t="shared" si="129"/>
        <v>4.041666666666667</v>
      </c>
      <c r="AC235" s="1">
        <f t="shared" si="129"/>
        <v>4.333333333333333</v>
      </c>
      <c r="AD235" s="1">
        <f t="shared" si="129"/>
        <v>4.55</v>
      </c>
      <c r="AE235" s="1">
        <f t="shared" si="129"/>
        <v>4.55</v>
      </c>
      <c r="AF235" s="3">
        <f t="shared" si="129"/>
        <v>4.8444444444444441</v>
      </c>
      <c r="AG235" s="1">
        <f t="shared" si="129"/>
        <v>5.0583333333333336</v>
      </c>
      <c r="AH235" s="1">
        <f t="shared" si="130"/>
        <v>5.3472222222222223</v>
      </c>
      <c r="AI235" s="1">
        <f t="shared" si="125"/>
        <v>5.3472222222222223</v>
      </c>
      <c r="AJ235" s="1">
        <f t="shared" si="125"/>
        <v>5.5638888888888891</v>
      </c>
      <c r="AK235" s="1">
        <f t="shared" si="125"/>
        <v>5.5638888888888891</v>
      </c>
      <c r="AL235" s="1">
        <f t="shared" si="125"/>
        <v>6.072222222222222</v>
      </c>
      <c r="AM235" s="1">
        <f t="shared" si="125"/>
        <v>6.5777777777777775</v>
      </c>
      <c r="AN235" s="1">
        <f t="shared" si="125"/>
        <v>6.5777777777777775</v>
      </c>
      <c r="AO235" s="1">
        <f t="shared" si="125"/>
        <v>7.0861111111111112</v>
      </c>
      <c r="AP235" s="1">
        <f t="shared" si="125"/>
        <v>7.5916666666666668</v>
      </c>
      <c r="AQ235" s="1">
        <f t="shared" si="125"/>
        <v>7.5916666666666668</v>
      </c>
      <c r="AR235" s="1">
        <f t="shared" si="125"/>
        <v>8.1</v>
      </c>
      <c r="AS235" s="1">
        <f t="shared" si="125"/>
        <v>8.6083333333333325</v>
      </c>
      <c r="AT235" s="1">
        <f t="shared" si="125"/>
        <v>9.1166666666666671</v>
      </c>
      <c r="AU235" s="1">
        <f t="shared" si="125"/>
        <v>9.6222222222222218</v>
      </c>
      <c r="AV235" s="1">
        <f t="shared" si="125"/>
        <v>9.6222222222222218</v>
      </c>
      <c r="AW235" s="1">
        <f t="shared" si="125"/>
        <v>14.188888888888888</v>
      </c>
      <c r="AX235" s="1">
        <f t="shared" si="125"/>
        <v>14.694444444444445</v>
      </c>
      <c r="AY235" s="1">
        <f t="shared" si="131"/>
        <v>15.202777777777778</v>
      </c>
      <c r="AZ235" s="1">
        <f t="shared" si="131"/>
        <v>15.708333333333334</v>
      </c>
      <c r="BA235" s="1">
        <f t="shared" si="131"/>
        <v>16.216666666666665</v>
      </c>
      <c r="BB235" s="1">
        <f t="shared" si="131"/>
        <v>16.725000000000001</v>
      </c>
      <c r="BC235" s="1">
        <f t="shared" si="131"/>
        <v>17.233333333333334</v>
      </c>
      <c r="BD235" s="1">
        <f t="shared" si="131"/>
        <v>17.738888888888887</v>
      </c>
      <c r="BE235" s="1">
        <f t="shared" si="131"/>
        <v>17.738888888888887</v>
      </c>
      <c r="BF235" s="1">
        <f t="shared" si="131"/>
        <v>26.363888888888887</v>
      </c>
      <c r="BG235" s="1">
        <f t="shared" si="131"/>
        <v>26.869444444444444</v>
      </c>
      <c r="BH235" s="1">
        <f t="shared" si="131"/>
        <v>27.377777777777776</v>
      </c>
      <c r="BI235" s="1">
        <f t="shared" si="131"/>
        <v>27.883333333333333</v>
      </c>
      <c r="BJ235" s="1">
        <f t="shared" si="131"/>
        <v>28.391666666666666</v>
      </c>
      <c r="BK235" s="1">
        <f t="shared" si="131"/>
        <v>28.9</v>
      </c>
      <c r="BL235" s="1">
        <f t="shared" si="131"/>
        <v>29.408333333333335</v>
      </c>
      <c r="BM235" s="1">
        <f t="shared" si="126"/>
        <v>29.913888888888888</v>
      </c>
      <c r="BN235" s="1">
        <f t="shared" si="126"/>
        <v>30.422222222222221</v>
      </c>
      <c r="BO235" s="1">
        <f t="shared" si="126"/>
        <v>30.422222222222221</v>
      </c>
      <c r="BP235" s="1">
        <f t="shared" si="126"/>
        <v>30.927777777777777</v>
      </c>
      <c r="BQ235" s="1">
        <f t="shared" si="126"/>
        <v>31.43611111111111</v>
      </c>
      <c r="BR235" s="1">
        <f t="shared" si="126"/>
        <v>31.941666666666666</v>
      </c>
      <c r="BS235" s="1">
        <f t="shared" si="126"/>
        <v>32.450000000000003</v>
      </c>
      <c r="BT235" s="1">
        <f t="shared" si="126"/>
        <v>32.958333333333336</v>
      </c>
      <c r="BU235" s="1">
        <f t="shared" si="126"/>
        <v>33.466666666666669</v>
      </c>
      <c r="BV235" s="1">
        <f t="shared" si="126"/>
        <v>33.466666666666669</v>
      </c>
      <c r="BW235" s="1">
        <f t="shared" si="126"/>
        <v>33.972222222222221</v>
      </c>
      <c r="BX235" s="1">
        <f t="shared" si="126"/>
        <v>34.480555555555554</v>
      </c>
      <c r="BY235" s="1">
        <f t="shared" si="126"/>
        <v>34.986111111111114</v>
      </c>
      <c r="BZ235" s="1">
        <f t="shared" si="126"/>
        <v>35.494444444444447</v>
      </c>
      <c r="CA235" s="1">
        <f t="shared" si="126"/>
        <v>36</v>
      </c>
      <c r="CB235" s="1">
        <f t="shared" si="126"/>
        <v>36.508333333333333</v>
      </c>
      <c r="CC235" s="1">
        <f t="shared" si="132"/>
        <v>37.016666666666666</v>
      </c>
      <c r="CD235" s="1">
        <f t="shared" si="127"/>
        <v>37.524999999999999</v>
      </c>
      <c r="CE235" s="1">
        <f t="shared" si="127"/>
        <v>38.030555555555559</v>
      </c>
      <c r="CF235" s="1">
        <f t="shared" si="127"/>
        <v>38.538888888888891</v>
      </c>
      <c r="CG235" s="1">
        <f t="shared" si="127"/>
        <v>39.044444444444444</v>
      </c>
      <c r="CH235" s="1">
        <f t="shared" si="127"/>
        <v>39.552777777777777</v>
      </c>
      <c r="CI235" s="1">
        <f t="shared" si="127"/>
        <v>40.05833333333333</v>
      </c>
      <c r="CJ235" s="1">
        <f t="shared" si="127"/>
        <v>40.56666666666667</v>
      </c>
      <c r="CK235" s="1">
        <f t="shared" si="127"/>
        <v>41.075000000000003</v>
      </c>
      <c r="CL235" s="1">
        <f t="shared" si="127"/>
        <v>41.583333333333336</v>
      </c>
      <c r="CM235" s="1">
        <f t="shared" si="127"/>
        <v>42.088888888888889</v>
      </c>
      <c r="CN235" s="1">
        <f t="shared" si="127"/>
        <v>42.597222222222221</v>
      </c>
      <c r="CO235" s="1">
        <f t="shared" si="127"/>
        <v>43.102777777777774</v>
      </c>
      <c r="CP235" s="1">
        <f t="shared" si="127"/>
        <v>43.611111111111114</v>
      </c>
      <c r="CQ235" s="1">
        <f t="shared" si="127"/>
        <v>44.116666666666667</v>
      </c>
      <c r="CR235" s="1">
        <f t="shared" si="127"/>
        <v>44.625</v>
      </c>
      <c r="CS235" s="1">
        <f t="shared" si="127"/>
        <v>45.133333333333333</v>
      </c>
      <c r="CT235" s="1">
        <f t="shared" si="133"/>
        <v>45.641666666666666</v>
      </c>
      <c r="CU235" s="1">
        <f t="shared" si="128"/>
        <v>46.147222222222226</v>
      </c>
      <c r="CV235" s="1">
        <f t="shared" si="128"/>
        <v>46.655555555555559</v>
      </c>
      <c r="CW235" s="1">
        <f t="shared" si="128"/>
        <v>47.161111111111111</v>
      </c>
      <c r="CX235" s="1">
        <f t="shared" si="128"/>
        <v>47.669444444444444</v>
      </c>
      <c r="CY235" s="1">
        <f t="shared" si="128"/>
        <v>48.174999999999997</v>
      </c>
      <c r="CZ235" s="1">
        <f t="shared" si="128"/>
        <v>48.68333333333333</v>
      </c>
      <c r="DA235" s="1">
        <f t="shared" si="128"/>
        <v>49.19166666666667</v>
      </c>
      <c r="DB235" s="1">
        <f t="shared" si="128"/>
        <v>49.7</v>
      </c>
      <c r="DC235" s="1">
        <f t="shared" si="128"/>
        <v>49.7</v>
      </c>
    </row>
    <row r="236" spans="1:107" x14ac:dyDescent="0.25">
      <c r="A236">
        <f t="shared" si="114"/>
        <v>3</v>
      </c>
      <c r="B236" s="2">
        <f>yields_BRUTE!B236</f>
        <v>42346</v>
      </c>
      <c r="C236" s="1">
        <f t="shared" si="134"/>
        <v>-0.78333333333333333</v>
      </c>
      <c r="D236" s="1">
        <f t="shared" si="134"/>
        <v>-0.74444444444444446</v>
      </c>
      <c r="E236" s="1">
        <f t="shared" si="134"/>
        <v>-0.52777777777777779</v>
      </c>
      <c r="F236" s="1">
        <f t="shared" si="134"/>
        <v>-0.2722222222222222</v>
      </c>
      <c r="G236" s="1">
        <f t="shared" si="134"/>
        <v>-0.23333333333333334</v>
      </c>
      <c r="H236" s="1">
        <f t="shared" si="134"/>
        <v>-1.9444444444444445E-2</v>
      </c>
      <c r="I236" s="1">
        <f t="shared" si="134"/>
        <v>-1.9444444444444445E-2</v>
      </c>
      <c r="J236" s="1">
        <f t="shared" si="134"/>
        <v>0.23333333333333334</v>
      </c>
      <c r="K236" s="1">
        <f t="shared" si="134"/>
        <v>0.2722222222222222</v>
      </c>
      <c r="L236" s="1">
        <f t="shared" si="134"/>
        <v>0.48888888888888887</v>
      </c>
      <c r="M236" s="1">
        <f t="shared" si="134"/>
        <v>0.74444444444444446</v>
      </c>
      <c r="N236" s="1">
        <f t="shared" si="134"/>
        <v>0.74444444444444446</v>
      </c>
      <c r="O236" s="1">
        <f t="shared" si="134"/>
        <v>0.78333333333333333</v>
      </c>
      <c r="P236" s="1">
        <f t="shared" si="134"/>
        <v>0.99722222222222223</v>
      </c>
      <c r="Q236" s="1">
        <f t="shared" si="134"/>
        <v>1.2861111111111112</v>
      </c>
      <c r="R236" s="1">
        <f t="shared" si="129"/>
        <v>1.5027777777777778</v>
      </c>
      <c r="S236" s="1">
        <f t="shared" si="129"/>
        <v>1.7972222222222223</v>
      </c>
      <c r="T236" s="1">
        <f t="shared" si="129"/>
        <v>2.0111111111111111</v>
      </c>
      <c r="U236" s="1">
        <f t="shared" si="129"/>
        <v>2.2999999999999998</v>
      </c>
      <c r="V236" s="1">
        <f t="shared" si="129"/>
        <v>2.5166666666666666</v>
      </c>
      <c r="W236" s="1">
        <f t="shared" si="129"/>
        <v>2.8111111111111109</v>
      </c>
      <c r="X236" s="1">
        <f t="shared" si="129"/>
        <v>3.0249999999999999</v>
      </c>
      <c r="Y236" s="1">
        <f t="shared" si="129"/>
        <v>3.3138888888888891</v>
      </c>
      <c r="Z236" s="1">
        <f t="shared" si="129"/>
        <v>3.5305555555555554</v>
      </c>
      <c r="AA236" s="1">
        <f t="shared" si="129"/>
        <v>3.8250000000000002</v>
      </c>
      <c r="AB236" s="1">
        <f t="shared" si="129"/>
        <v>4.0388888888888888</v>
      </c>
      <c r="AC236" s="1">
        <f t="shared" si="129"/>
        <v>4.3305555555555557</v>
      </c>
      <c r="AD236" s="1">
        <f t="shared" si="129"/>
        <v>4.5472222222222225</v>
      </c>
      <c r="AE236" s="1">
        <f t="shared" si="129"/>
        <v>4.5472222222222225</v>
      </c>
      <c r="AF236" s="3">
        <f t="shared" si="129"/>
        <v>4.8416666666666668</v>
      </c>
      <c r="AG236" s="1">
        <f t="shared" si="129"/>
        <v>5.0555555555555554</v>
      </c>
      <c r="AH236" s="1">
        <f t="shared" si="130"/>
        <v>5.3444444444444441</v>
      </c>
      <c r="AI236" s="1">
        <f t="shared" si="125"/>
        <v>5.3444444444444441</v>
      </c>
      <c r="AJ236" s="1">
        <f t="shared" si="125"/>
        <v>5.5611111111111109</v>
      </c>
      <c r="AK236" s="1">
        <f t="shared" si="125"/>
        <v>5.5611111111111109</v>
      </c>
      <c r="AL236" s="1">
        <f t="shared" si="125"/>
        <v>6.0694444444444446</v>
      </c>
      <c r="AM236" s="1">
        <f t="shared" si="125"/>
        <v>6.5750000000000002</v>
      </c>
      <c r="AN236" s="1">
        <f t="shared" si="125"/>
        <v>6.5750000000000002</v>
      </c>
      <c r="AO236" s="1">
        <f t="shared" si="125"/>
        <v>7.083333333333333</v>
      </c>
      <c r="AP236" s="1">
        <f t="shared" si="125"/>
        <v>7.5888888888888886</v>
      </c>
      <c r="AQ236" s="1">
        <f t="shared" si="125"/>
        <v>7.5888888888888886</v>
      </c>
      <c r="AR236" s="1">
        <f t="shared" si="125"/>
        <v>8.0972222222222214</v>
      </c>
      <c r="AS236" s="1">
        <f t="shared" si="125"/>
        <v>8.6055555555555561</v>
      </c>
      <c r="AT236" s="1">
        <f t="shared" si="125"/>
        <v>9.1138888888888889</v>
      </c>
      <c r="AU236" s="1">
        <f t="shared" si="125"/>
        <v>9.6194444444444436</v>
      </c>
      <c r="AV236" s="1">
        <f t="shared" si="125"/>
        <v>9.6194444444444436</v>
      </c>
      <c r="AW236" s="1">
        <f t="shared" si="125"/>
        <v>14.186111111111112</v>
      </c>
      <c r="AX236" s="1">
        <f t="shared" si="125"/>
        <v>14.691666666666666</v>
      </c>
      <c r="AY236" s="1">
        <f t="shared" si="131"/>
        <v>15.2</v>
      </c>
      <c r="AZ236" s="1">
        <f t="shared" si="131"/>
        <v>15.705555555555556</v>
      </c>
      <c r="BA236" s="1">
        <f t="shared" si="131"/>
        <v>16.213888888888889</v>
      </c>
      <c r="BB236" s="1">
        <f t="shared" si="131"/>
        <v>16.722222222222221</v>
      </c>
      <c r="BC236" s="1">
        <f t="shared" si="131"/>
        <v>17.230555555555554</v>
      </c>
      <c r="BD236" s="1">
        <f t="shared" si="131"/>
        <v>17.736111111111111</v>
      </c>
      <c r="BE236" s="1">
        <f t="shared" si="131"/>
        <v>17.736111111111111</v>
      </c>
      <c r="BF236" s="1">
        <f t="shared" si="131"/>
        <v>26.361111111111111</v>
      </c>
      <c r="BG236" s="1">
        <f t="shared" si="131"/>
        <v>26.866666666666667</v>
      </c>
      <c r="BH236" s="1">
        <f t="shared" si="131"/>
        <v>27.375</v>
      </c>
      <c r="BI236" s="1">
        <f t="shared" si="131"/>
        <v>27.880555555555556</v>
      </c>
      <c r="BJ236" s="1">
        <f t="shared" si="131"/>
        <v>28.388888888888889</v>
      </c>
      <c r="BK236" s="1">
        <f t="shared" si="131"/>
        <v>28.897222222222222</v>
      </c>
      <c r="BL236" s="1">
        <f t="shared" si="131"/>
        <v>29.405555555555555</v>
      </c>
      <c r="BM236" s="1">
        <f t="shared" si="126"/>
        <v>29.911111111111111</v>
      </c>
      <c r="BN236" s="1">
        <f t="shared" si="126"/>
        <v>30.419444444444444</v>
      </c>
      <c r="BO236" s="1">
        <f t="shared" si="126"/>
        <v>30.419444444444444</v>
      </c>
      <c r="BP236" s="1">
        <f t="shared" si="126"/>
        <v>30.925000000000001</v>
      </c>
      <c r="BQ236" s="1">
        <f t="shared" si="126"/>
        <v>31.433333333333334</v>
      </c>
      <c r="BR236" s="1">
        <f t="shared" si="126"/>
        <v>31.93888888888889</v>
      </c>
      <c r="BS236" s="1">
        <f t="shared" si="126"/>
        <v>32.447222222222223</v>
      </c>
      <c r="BT236" s="1">
        <f t="shared" si="126"/>
        <v>32.955555555555556</v>
      </c>
      <c r="BU236" s="1">
        <f t="shared" si="126"/>
        <v>33.463888888888889</v>
      </c>
      <c r="BV236" s="1">
        <f t="shared" si="126"/>
        <v>33.463888888888889</v>
      </c>
      <c r="BW236" s="1">
        <f t="shared" si="126"/>
        <v>33.969444444444441</v>
      </c>
      <c r="BX236" s="1">
        <f t="shared" si="126"/>
        <v>34.477777777777774</v>
      </c>
      <c r="BY236" s="1">
        <f t="shared" si="126"/>
        <v>34.983333333333334</v>
      </c>
      <c r="BZ236" s="1">
        <f t="shared" si="126"/>
        <v>35.491666666666667</v>
      </c>
      <c r="CA236" s="1">
        <f t="shared" si="126"/>
        <v>35.99722222222222</v>
      </c>
      <c r="CB236" s="1">
        <f t="shared" si="126"/>
        <v>36.505555555555553</v>
      </c>
      <c r="CC236" s="1">
        <f t="shared" si="132"/>
        <v>37.013888888888886</v>
      </c>
      <c r="CD236" s="1">
        <f t="shared" si="127"/>
        <v>37.522222222222226</v>
      </c>
      <c r="CE236" s="1">
        <f t="shared" si="127"/>
        <v>38.027777777777779</v>
      </c>
      <c r="CF236" s="1">
        <f t="shared" si="127"/>
        <v>38.536111111111111</v>
      </c>
      <c r="CG236" s="1">
        <f t="shared" si="127"/>
        <v>39.041666666666664</v>
      </c>
      <c r="CH236" s="1">
        <f t="shared" si="127"/>
        <v>39.549999999999997</v>
      </c>
      <c r="CI236" s="1">
        <f t="shared" si="127"/>
        <v>40.055555555555557</v>
      </c>
      <c r="CJ236" s="1">
        <f t="shared" si="127"/>
        <v>40.56388888888889</v>
      </c>
      <c r="CK236" s="1">
        <f t="shared" si="127"/>
        <v>41.072222222222223</v>
      </c>
      <c r="CL236" s="1">
        <f t="shared" si="127"/>
        <v>41.580555555555556</v>
      </c>
      <c r="CM236" s="1">
        <f t="shared" si="127"/>
        <v>42.086111111111109</v>
      </c>
      <c r="CN236" s="1">
        <f t="shared" si="127"/>
        <v>42.594444444444441</v>
      </c>
      <c r="CO236" s="1">
        <f t="shared" si="127"/>
        <v>43.1</v>
      </c>
      <c r="CP236" s="1">
        <f t="shared" si="127"/>
        <v>43.608333333333334</v>
      </c>
      <c r="CQ236" s="1">
        <f t="shared" si="127"/>
        <v>44.113888888888887</v>
      </c>
      <c r="CR236" s="1">
        <f t="shared" si="127"/>
        <v>44.62222222222222</v>
      </c>
      <c r="CS236" s="1">
        <f t="shared" si="127"/>
        <v>45.130555555555553</v>
      </c>
      <c r="CT236" s="1">
        <f t="shared" si="133"/>
        <v>45.638888888888886</v>
      </c>
      <c r="CU236" s="1">
        <f t="shared" si="128"/>
        <v>46.144444444444446</v>
      </c>
      <c r="CV236" s="1">
        <f t="shared" si="128"/>
        <v>46.652777777777779</v>
      </c>
      <c r="CW236" s="1">
        <f t="shared" si="128"/>
        <v>47.158333333333331</v>
      </c>
      <c r="CX236" s="1">
        <f t="shared" si="128"/>
        <v>47.666666666666664</v>
      </c>
      <c r="CY236" s="1">
        <f t="shared" si="128"/>
        <v>48.172222222222224</v>
      </c>
      <c r="CZ236" s="1">
        <f t="shared" si="128"/>
        <v>48.680555555555557</v>
      </c>
      <c r="DA236" s="1">
        <f t="shared" si="128"/>
        <v>49.18888888888889</v>
      </c>
      <c r="DB236" s="1">
        <f t="shared" si="128"/>
        <v>49.697222222222223</v>
      </c>
      <c r="DC236" s="1">
        <f t="shared" si="128"/>
        <v>49.697222222222223</v>
      </c>
    </row>
    <row r="237" spans="1:107" x14ac:dyDescent="0.25">
      <c r="A237">
        <f t="shared" si="114"/>
        <v>4</v>
      </c>
      <c r="B237" s="2">
        <f>yields_BRUTE!B237</f>
        <v>42347</v>
      </c>
      <c r="C237" s="1">
        <f t="shared" si="134"/>
        <v>-0.78611111111111109</v>
      </c>
      <c r="D237" s="1">
        <f t="shared" si="134"/>
        <v>-0.74722222222222223</v>
      </c>
      <c r="E237" s="1">
        <f t="shared" si="134"/>
        <v>-0.53055555555555556</v>
      </c>
      <c r="F237" s="1">
        <f t="shared" si="134"/>
        <v>-0.27500000000000002</v>
      </c>
      <c r="G237" s="1">
        <f t="shared" si="134"/>
        <v>-0.2361111111111111</v>
      </c>
      <c r="H237" s="1">
        <f t="shared" si="134"/>
        <v>-2.2222222222222223E-2</v>
      </c>
      <c r="I237" s="1">
        <f t="shared" si="134"/>
        <v>-2.2222222222222223E-2</v>
      </c>
      <c r="J237" s="1">
        <f t="shared" si="134"/>
        <v>0.23055555555555557</v>
      </c>
      <c r="K237" s="1">
        <f t="shared" si="134"/>
        <v>0.26944444444444443</v>
      </c>
      <c r="L237" s="1">
        <f t="shared" si="134"/>
        <v>0.4861111111111111</v>
      </c>
      <c r="M237" s="1">
        <f t="shared" si="134"/>
        <v>0.7416666666666667</v>
      </c>
      <c r="N237" s="1">
        <f t="shared" si="134"/>
        <v>0.7416666666666667</v>
      </c>
      <c r="O237" s="1">
        <f t="shared" si="134"/>
        <v>0.78055555555555556</v>
      </c>
      <c r="P237" s="1">
        <f t="shared" si="134"/>
        <v>0.99444444444444446</v>
      </c>
      <c r="Q237" s="1">
        <f t="shared" si="134"/>
        <v>1.2833333333333334</v>
      </c>
      <c r="R237" s="1">
        <f t="shared" si="129"/>
        <v>1.5</v>
      </c>
      <c r="S237" s="1">
        <f t="shared" si="129"/>
        <v>1.7944444444444445</v>
      </c>
      <c r="T237" s="1">
        <f t="shared" si="129"/>
        <v>2.0083333333333333</v>
      </c>
      <c r="U237" s="1">
        <f t="shared" si="129"/>
        <v>2.2972222222222221</v>
      </c>
      <c r="V237" s="1">
        <f t="shared" si="129"/>
        <v>2.5138888888888888</v>
      </c>
      <c r="W237" s="1">
        <f t="shared" si="129"/>
        <v>2.8083333333333331</v>
      </c>
      <c r="X237" s="1">
        <f t="shared" si="129"/>
        <v>3.0222222222222221</v>
      </c>
      <c r="Y237" s="1">
        <f t="shared" si="129"/>
        <v>3.3111111111111109</v>
      </c>
      <c r="Z237" s="1">
        <f t="shared" si="129"/>
        <v>3.5277777777777777</v>
      </c>
      <c r="AA237" s="1">
        <f t="shared" si="129"/>
        <v>3.8222222222222224</v>
      </c>
      <c r="AB237" s="1">
        <f t="shared" si="129"/>
        <v>4.0361111111111114</v>
      </c>
      <c r="AC237" s="1">
        <f t="shared" si="129"/>
        <v>4.3277777777777775</v>
      </c>
      <c r="AD237" s="1">
        <f t="shared" si="129"/>
        <v>4.5444444444444443</v>
      </c>
      <c r="AE237" s="1">
        <f t="shared" si="129"/>
        <v>4.5444444444444443</v>
      </c>
      <c r="AF237" s="3">
        <f t="shared" si="129"/>
        <v>4.8388888888888886</v>
      </c>
      <c r="AG237" s="1">
        <f t="shared" si="129"/>
        <v>5.052777777777778</v>
      </c>
      <c r="AH237" s="1">
        <f t="shared" si="130"/>
        <v>5.3416666666666668</v>
      </c>
      <c r="AI237" s="1">
        <f t="shared" si="125"/>
        <v>5.3416666666666668</v>
      </c>
      <c r="AJ237" s="1">
        <f t="shared" si="125"/>
        <v>5.5583333333333336</v>
      </c>
      <c r="AK237" s="1">
        <f t="shared" si="125"/>
        <v>5.5583333333333336</v>
      </c>
      <c r="AL237" s="1">
        <f t="shared" si="125"/>
        <v>6.0666666666666664</v>
      </c>
      <c r="AM237" s="1">
        <f t="shared" si="125"/>
        <v>6.572222222222222</v>
      </c>
      <c r="AN237" s="1">
        <f t="shared" si="125"/>
        <v>6.572222222222222</v>
      </c>
      <c r="AO237" s="1">
        <f t="shared" si="125"/>
        <v>7.0805555555555557</v>
      </c>
      <c r="AP237" s="1">
        <f t="shared" si="125"/>
        <v>7.5861111111111112</v>
      </c>
      <c r="AQ237" s="1">
        <f t="shared" si="125"/>
        <v>7.5861111111111112</v>
      </c>
      <c r="AR237" s="1">
        <f t="shared" si="125"/>
        <v>8.094444444444445</v>
      </c>
      <c r="AS237" s="1">
        <f t="shared" si="125"/>
        <v>8.6027777777777779</v>
      </c>
      <c r="AT237" s="1">
        <f t="shared" si="125"/>
        <v>9.1111111111111107</v>
      </c>
      <c r="AU237" s="1">
        <f t="shared" si="125"/>
        <v>9.6166666666666671</v>
      </c>
      <c r="AV237" s="1">
        <f t="shared" si="125"/>
        <v>9.6166666666666671</v>
      </c>
      <c r="AW237" s="1">
        <f t="shared" si="125"/>
        <v>14.183333333333334</v>
      </c>
      <c r="AX237" s="1">
        <f t="shared" si="125"/>
        <v>14.688888888888888</v>
      </c>
      <c r="AY237" s="1">
        <f t="shared" si="131"/>
        <v>15.197222222222223</v>
      </c>
      <c r="AZ237" s="1">
        <f t="shared" si="131"/>
        <v>15.702777777777778</v>
      </c>
      <c r="BA237" s="1">
        <f t="shared" si="131"/>
        <v>16.211111111111112</v>
      </c>
      <c r="BB237" s="1">
        <f t="shared" si="131"/>
        <v>16.719444444444445</v>
      </c>
      <c r="BC237" s="1">
        <f t="shared" si="131"/>
        <v>17.227777777777778</v>
      </c>
      <c r="BD237" s="1">
        <f t="shared" si="131"/>
        <v>17.733333333333334</v>
      </c>
      <c r="BE237" s="1">
        <f t="shared" si="131"/>
        <v>17.733333333333334</v>
      </c>
      <c r="BF237" s="1">
        <f t="shared" si="131"/>
        <v>26.358333333333334</v>
      </c>
      <c r="BG237" s="1">
        <f t="shared" si="131"/>
        <v>26.863888888888887</v>
      </c>
      <c r="BH237" s="1">
        <f t="shared" si="131"/>
        <v>27.372222222222224</v>
      </c>
      <c r="BI237" s="1">
        <f t="shared" si="131"/>
        <v>27.877777777777776</v>
      </c>
      <c r="BJ237" s="1">
        <f t="shared" si="131"/>
        <v>28.386111111111113</v>
      </c>
      <c r="BK237" s="1">
        <f t="shared" si="131"/>
        <v>28.894444444444446</v>
      </c>
      <c r="BL237" s="1">
        <f t="shared" si="131"/>
        <v>29.402777777777779</v>
      </c>
      <c r="BM237" s="1">
        <f t="shared" si="126"/>
        <v>29.908333333333335</v>
      </c>
      <c r="BN237" s="1">
        <f t="shared" si="126"/>
        <v>30.416666666666668</v>
      </c>
      <c r="BO237" s="1">
        <f t="shared" si="126"/>
        <v>30.416666666666668</v>
      </c>
      <c r="BP237" s="1">
        <f t="shared" si="126"/>
        <v>30.922222222222221</v>
      </c>
      <c r="BQ237" s="1">
        <f t="shared" si="126"/>
        <v>31.430555555555557</v>
      </c>
      <c r="BR237" s="1">
        <f t="shared" si="126"/>
        <v>31.93611111111111</v>
      </c>
      <c r="BS237" s="1">
        <f t="shared" si="126"/>
        <v>32.444444444444443</v>
      </c>
      <c r="BT237" s="1">
        <f t="shared" si="126"/>
        <v>32.952777777777776</v>
      </c>
      <c r="BU237" s="1">
        <f t="shared" si="126"/>
        <v>33.461111111111109</v>
      </c>
      <c r="BV237" s="1">
        <f t="shared" si="126"/>
        <v>33.461111111111109</v>
      </c>
      <c r="BW237" s="1">
        <f t="shared" si="126"/>
        <v>33.966666666666669</v>
      </c>
      <c r="BX237" s="1">
        <f t="shared" si="126"/>
        <v>34.475000000000001</v>
      </c>
      <c r="BY237" s="1">
        <f t="shared" si="126"/>
        <v>34.980555555555554</v>
      </c>
      <c r="BZ237" s="1">
        <f t="shared" si="126"/>
        <v>35.488888888888887</v>
      </c>
      <c r="CA237" s="1">
        <f t="shared" si="126"/>
        <v>35.994444444444447</v>
      </c>
      <c r="CB237" s="1">
        <f t="shared" si="126"/>
        <v>36.50277777777778</v>
      </c>
      <c r="CC237" s="1">
        <f t="shared" si="132"/>
        <v>37.011111111111113</v>
      </c>
      <c r="CD237" s="1">
        <f t="shared" si="127"/>
        <v>37.519444444444446</v>
      </c>
      <c r="CE237" s="1">
        <f t="shared" si="127"/>
        <v>38.024999999999999</v>
      </c>
      <c r="CF237" s="1">
        <f t="shared" si="127"/>
        <v>38.533333333333331</v>
      </c>
      <c r="CG237" s="1">
        <f t="shared" si="127"/>
        <v>39.038888888888891</v>
      </c>
      <c r="CH237" s="1">
        <f t="shared" si="127"/>
        <v>39.547222222222224</v>
      </c>
      <c r="CI237" s="1">
        <f t="shared" si="127"/>
        <v>40.052777777777777</v>
      </c>
      <c r="CJ237" s="1">
        <f t="shared" si="127"/>
        <v>40.56111111111111</v>
      </c>
      <c r="CK237" s="1">
        <f t="shared" si="127"/>
        <v>41.069444444444443</v>
      </c>
      <c r="CL237" s="1">
        <f t="shared" si="127"/>
        <v>41.577777777777776</v>
      </c>
      <c r="CM237" s="1">
        <f t="shared" si="127"/>
        <v>42.083333333333336</v>
      </c>
      <c r="CN237" s="1">
        <f t="shared" si="127"/>
        <v>42.591666666666669</v>
      </c>
      <c r="CO237" s="1">
        <f t="shared" si="127"/>
        <v>43.097222222222221</v>
      </c>
      <c r="CP237" s="1">
        <f t="shared" si="127"/>
        <v>43.605555555555554</v>
      </c>
      <c r="CQ237" s="1">
        <f t="shared" si="127"/>
        <v>44.111111111111114</v>
      </c>
      <c r="CR237" s="1">
        <f t="shared" si="127"/>
        <v>44.619444444444447</v>
      </c>
      <c r="CS237" s="1">
        <f t="shared" si="127"/>
        <v>45.12777777777778</v>
      </c>
      <c r="CT237" s="1">
        <f t="shared" si="133"/>
        <v>45.636111111111113</v>
      </c>
      <c r="CU237" s="1">
        <f t="shared" si="128"/>
        <v>46.141666666666666</v>
      </c>
      <c r="CV237" s="1">
        <f t="shared" si="128"/>
        <v>46.65</v>
      </c>
      <c r="CW237" s="1">
        <f t="shared" si="128"/>
        <v>47.155555555555559</v>
      </c>
      <c r="CX237" s="1">
        <f t="shared" si="128"/>
        <v>47.663888888888891</v>
      </c>
      <c r="CY237" s="1">
        <f t="shared" si="128"/>
        <v>48.169444444444444</v>
      </c>
      <c r="CZ237" s="1">
        <f t="shared" si="128"/>
        <v>48.677777777777777</v>
      </c>
      <c r="DA237" s="1">
        <f t="shared" si="128"/>
        <v>49.18611111111111</v>
      </c>
      <c r="DB237" s="1">
        <f t="shared" si="128"/>
        <v>49.694444444444443</v>
      </c>
      <c r="DC237" s="1">
        <f t="shared" si="128"/>
        <v>49.694444444444443</v>
      </c>
    </row>
    <row r="238" spans="1:107" x14ac:dyDescent="0.25">
      <c r="A238">
        <f t="shared" si="114"/>
        <v>5</v>
      </c>
      <c r="B238" s="2">
        <f>yields_BRUTE!B238</f>
        <v>42348</v>
      </c>
      <c r="C238" s="1">
        <f t="shared" si="134"/>
        <v>-0.78888888888888886</v>
      </c>
      <c r="D238" s="1">
        <f t="shared" si="134"/>
        <v>-0.75</v>
      </c>
      <c r="E238" s="1">
        <f t="shared" si="134"/>
        <v>-0.53333333333333333</v>
      </c>
      <c r="F238" s="1">
        <f t="shared" si="134"/>
        <v>-0.27777777777777779</v>
      </c>
      <c r="G238" s="1">
        <f t="shared" si="134"/>
        <v>-0.2388888888888889</v>
      </c>
      <c r="H238" s="1">
        <f t="shared" si="134"/>
        <v>-2.5000000000000001E-2</v>
      </c>
      <c r="I238" s="1">
        <f t="shared" si="134"/>
        <v>-2.5000000000000001E-2</v>
      </c>
      <c r="J238" s="1">
        <f t="shared" si="134"/>
        <v>0.22777777777777777</v>
      </c>
      <c r="K238" s="1">
        <f t="shared" si="134"/>
        <v>0.26666666666666666</v>
      </c>
      <c r="L238" s="1">
        <f t="shared" si="134"/>
        <v>0.48333333333333334</v>
      </c>
      <c r="M238" s="1">
        <f t="shared" si="134"/>
        <v>0.73888888888888893</v>
      </c>
      <c r="N238" s="1">
        <f t="shared" si="134"/>
        <v>0.73888888888888893</v>
      </c>
      <c r="O238" s="1">
        <f t="shared" si="134"/>
        <v>0.77777777777777779</v>
      </c>
      <c r="P238" s="1">
        <f t="shared" si="134"/>
        <v>0.9916666666666667</v>
      </c>
      <c r="Q238" s="1">
        <f t="shared" si="134"/>
        <v>1.2805555555555554</v>
      </c>
      <c r="R238" s="1">
        <f t="shared" si="129"/>
        <v>1.4972222222222222</v>
      </c>
      <c r="S238" s="1">
        <f t="shared" si="129"/>
        <v>1.7916666666666667</v>
      </c>
      <c r="T238" s="1">
        <f t="shared" si="129"/>
        <v>2.0055555555555555</v>
      </c>
      <c r="U238" s="1">
        <f t="shared" si="129"/>
        <v>2.2944444444444443</v>
      </c>
      <c r="V238" s="1">
        <f t="shared" si="129"/>
        <v>2.5111111111111111</v>
      </c>
      <c r="W238" s="1">
        <f t="shared" si="129"/>
        <v>2.8055555555555554</v>
      </c>
      <c r="X238" s="1">
        <f t="shared" si="129"/>
        <v>3.0194444444444444</v>
      </c>
      <c r="Y238" s="1">
        <f t="shared" si="129"/>
        <v>3.3083333333333331</v>
      </c>
      <c r="Z238" s="1">
        <f t="shared" si="129"/>
        <v>3.5249999999999999</v>
      </c>
      <c r="AA238" s="1">
        <f t="shared" si="129"/>
        <v>3.8194444444444446</v>
      </c>
      <c r="AB238" s="1">
        <f t="shared" si="129"/>
        <v>4.0333333333333332</v>
      </c>
      <c r="AC238" s="1">
        <f t="shared" si="129"/>
        <v>4.3250000000000002</v>
      </c>
      <c r="AD238" s="1">
        <f t="shared" si="129"/>
        <v>4.541666666666667</v>
      </c>
      <c r="AE238" s="1">
        <f t="shared" si="129"/>
        <v>4.541666666666667</v>
      </c>
      <c r="AF238" s="3">
        <f t="shared" si="129"/>
        <v>4.8361111111111112</v>
      </c>
      <c r="AG238" s="1">
        <f t="shared" si="129"/>
        <v>5.05</v>
      </c>
      <c r="AH238" s="1">
        <f t="shared" si="130"/>
        <v>5.3388888888888886</v>
      </c>
      <c r="AI238" s="1">
        <f t="shared" si="125"/>
        <v>5.3388888888888886</v>
      </c>
      <c r="AJ238" s="1">
        <f t="shared" si="125"/>
        <v>5.5555555555555554</v>
      </c>
      <c r="AK238" s="1">
        <f t="shared" si="125"/>
        <v>5.5555555555555554</v>
      </c>
      <c r="AL238" s="1">
        <f t="shared" si="125"/>
        <v>6.0638888888888891</v>
      </c>
      <c r="AM238" s="1">
        <f t="shared" si="125"/>
        <v>6.5694444444444446</v>
      </c>
      <c r="AN238" s="1">
        <f t="shared" si="125"/>
        <v>6.5694444444444446</v>
      </c>
      <c r="AO238" s="1">
        <f t="shared" si="125"/>
        <v>7.0777777777777775</v>
      </c>
      <c r="AP238" s="1">
        <f t="shared" si="125"/>
        <v>7.583333333333333</v>
      </c>
      <c r="AQ238" s="1">
        <f t="shared" si="125"/>
        <v>7.583333333333333</v>
      </c>
      <c r="AR238" s="1">
        <f t="shared" si="125"/>
        <v>8.0916666666666668</v>
      </c>
      <c r="AS238" s="1">
        <f t="shared" si="125"/>
        <v>8.6</v>
      </c>
      <c r="AT238" s="1">
        <f t="shared" si="125"/>
        <v>9.1083333333333325</v>
      </c>
      <c r="AU238" s="1">
        <f t="shared" si="125"/>
        <v>9.6138888888888889</v>
      </c>
      <c r="AV238" s="1">
        <f t="shared" si="125"/>
        <v>9.6138888888888889</v>
      </c>
      <c r="AW238" s="1">
        <f t="shared" si="125"/>
        <v>14.180555555555555</v>
      </c>
      <c r="AX238" s="1">
        <f t="shared" si="125"/>
        <v>14.686111111111112</v>
      </c>
      <c r="AY238" s="1">
        <f t="shared" si="131"/>
        <v>15.194444444444445</v>
      </c>
      <c r="AZ238" s="1">
        <f t="shared" si="131"/>
        <v>15.7</v>
      </c>
      <c r="BA238" s="1">
        <f t="shared" si="131"/>
        <v>16.208333333333332</v>
      </c>
      <c r="BB238" s="1">
        <f t="shared" si="131"/>
        <v>16.716666666666665</v>
      </c>
      <c r="BC238" s="1">
        <f t="shared" si="131"/>
        <v>17.225000000000001</v>
      </c>
      <c r="BD238" s="1">
        <f t="shared" si="131"/>
        <v>17.730555555555554</v>
      </c>
      <c r="BE238" s="1">
        <f t="shared" si="131"/>
        <v>17.730555555555554</v>
      </c>
      <c r="BF238" s="1">
        <f t="shared" si="131"/>
        <v>26.355555555555554</v>
      </c>
      <c r="BG238" s="1">
        <f t="shared" si="131"/>
        <v>26.861111111111111</v>
      </c>
      <c r="BH238" s="1">
        <f t="shared" si="131"/>
        <v>27.369444444444444</v>
      </c>
      <c r="BI238" s="1">
        <f t="shared" si="131"/>
        <v>27.875</v>
      </c>
      <c r="BJ238" s="1">
        <f t="shared" si="131"/>
        <v>28.383333333333333</v>
      </c>
      <c r="BK238" s="1">
        <f t="shared" si="131"/>
        <v>28.891666666666666</v>
      </c>
      <c r="BL238" s="1">
        <f t="shared" si="131"/>
        <v>29.4</v>
      </c>
      <c r="BM238" s="1">
        <f t="shared" si="126"/>
        <v>29.905555555555555</v>
      </c>
      <c r="BN238" s="1">
        <f t="shared" si="126"/>
        <v>30.413888888888888</v>
      </c>
      <c r="BO238" s="1">
        <f t="shared" si="126"/>
        <v>30.413888888888888</v>
      </c>
      <c r="BP238" s="1">
        <f t="shared" si="126"/>
        <v>30.919444444444444</v>
      </c>
      <c r="BQ238" s="1">
        <f t="shared" si="126"/>
        <v>31.427777777777777</v>
      </c>
      <c r="BR238" s="1">
        <f t="shared" si="126"/>
        <v>31.933333333333334</v>
      </c>
      <c r="BS238" s="1">
        <f t="shared" si="126"/>
        <v>32.44166666666667</v>
      </c>
      <c r="BT238" s="1">
        <f t="shared" si="126"/>
        <v>32.950000000000003</v>
      </c>
      <c r="BU238" s="1">
        <f t="shared" si="126"/>
        <v>33.458333333333336</v>
      </c>
      <c r="BV238" s="1">
        <f t="shared" si="126"/>
        <v>33.458333333333336</v>
      </c>
      <c r="BW238" s="1">
        <f t="shared" si="126"/>
        <v>33.963888888888889</v>
      </c>
      <c r="BX238" s="1">
        <f t="shared" si="126"/>
        <v>34.472222222222221</v>
      </c>
      <c r="BY238" s="1">
        <f t="shared" si="126"/>
        <v>34.977777777777774</v>
      </c>
      <c r="BZ238" s="1">
        <f t="shared" si="126"/>
        <v>35.486111111111114</v>
      </c>
      <c r="CA238" s="1">
        <f t="shared" si="126"/>
        <v>35.991666666666667</v>
      </c>
      <c r="CB238" s="1">
        <f t="shared" si="126"/>
        <v>36.5</v>
      </c>
      <c r="CC238" s="1">
        <f t="shared" si="132"/>
        <v>37.008333333333333</v>
      </c>
      <c r="CD238" s="1">
        <f t="shared" si="127"/>
        <v>37.516666666666666</v>
      </c>
      <c r="CE238" s="1">
        <f t="shared" si="127"/>
        <v>38.022222222222226</v>
      </c>
      <c r="CF238" s="1">
        <f t="shared" si="127"/>
        <v>38.530555555555559</v>
      </c>
      <c r="CG238" s="1">
        <f t="shared" si="127"/>
        <v>39.036111111111111</v>
      </c>
      <c r="CH238" s="1">
        <f t="shared" si="127"/>
        <v>39.544444444444444</v>
      </c>
      <c r="CI238" s="1">
        <f t="shared" si="127"/>
        <v>40.049999999999997</v>
      </c>
      <c r="CJ238" s="1">
        <f t="shared" si="127"/>
        <v>40.55833333333333</v>
      </c>
      <c r="CK238" s="1">
        <f t="shared" si="127"/>
        <v>41.06666666666667</v>
      </c>
      <c r="CL238" s="1">
        <f t="shared" si="127"/>
        <v>41.575000000000003</v>
      </c>
      <c r="CM238" s="1">
        <f t="shared" si="127"/>
        <v>42.080555555555556</v>
      </c>
      <c r="CN238" s="1">
        <f t="shared" si="127"/>
        <v>42.588888888888889</v>
      </c>
      <c r="CO238" s="1">
        <f t="shared" si="127"/>
        <v>43.094444444444441</v>
      </c>
      <c r="CP238" s="1">
        <f t="shared" si="127"/>
        <v>43.602777777777774</v>
      </c>
      <c r="CQ238" s="1">
        <f t="shared" si="127"/>
        <v>44.108333333333334</v>
      </c>
      <c r="CR238" s="1">
        <f t="shared" si="127"/>
        <v>44.616666666666667</v>
      </c>
      <c r="CS238" s="1">
        <f t="shared" si="127"/>
        <v>45.125</v>
      </c>
      <c r="CT238" s="1">
        <f t="shared" si="133"/>
        <v>45.633333333333333</v>
      </c>
      <c r="CU238" s="1">
        <f t="shared" si="128"/>
        <v>46.138888888888886</v>
      </c>
      <c r="CV238" s="1">
        <f t="shared" si="128"/>
        <v>46.647222222222226</v>
      </c>
      <c r="CW238" s="1">
        <f t="shared" si="128"/>
        <v>47.152777777777779</v>
      </c>
      <c r="CX238" s="1">
        <f t="shared" si="128"/>
        <v>47.661111111111111</v>
      </c>
      <c r="CY238" s="1">
        <f t="shared" si="128"/>
        <v>48.166666666666664</v>
      </c>
      <c r="CZ238" s="1">
        <f t="shared" si="128"/>
        <v>48.674999999999997</v>
      </c>
      <c r="DA238" s="1">
        <f t="shared" si="128"/>
        <v>49.18333333333333</v>
      </c>
      <c r="DB238" s="1">
        <f t="shared" si="128"/>
        <v>49.69166666666667</v>
      </c>
      <c r="DC238" s="1">
        <f t="shared" si="128"/>
        <v>49.69166666666667</v>
      </c>
    </row>
    <row r="239" spans="1:107" x14ac:dyDescent="0.25">
      <c r="A239">
        <f t="shared" si="114"/>
        <v>6</v>
      </c>
      <c r="B239" s="2">
        <f>yields_BRUTE!B239</f>
        <v>42349</v>
      </c>
      <c r="C239" s="1">
        <f t="shared" si="134"/>
        <v>-0.79166666666666663</v>
      </c>
      <c r="D239" s="1">
        <f t="shared" si="134"/>
        <v>-0.75277777777777777</v>
      </c>
      <c r="E239" s="1">
        <f t="shared" si="134"/>
        <v>-0.53611111111111109</v>
      </c>
      <c r="F239" s="1">
        <f t="shared" si="134"/>
        <v>-0.28055555555555556</v>
      </c>
      <c r="G239" s="1">
        <f t="shared" si="134"/>
        <v>-0.24166666666666667</v>
      </c>
      <c r="H239" s="1">
        <f t="shared" si="134"/>
        <v>-2.7777777777777776E-2</v>
      </c>
      <c r="I239" s="1">
        <f t="shared" si="134"/>
        <v>-2.7777777777777776E-2</v>
      </c>
      <c r="J239" s="1">
        <f t="shared" si="134"/>
        <v>0.22500000000000001</v>
      </c>
      <c r="K239" s="1">
        <f t="shared" si="134"/>
        <v>0.2638888888888889</v>
      </c>
      <c r="L239" s="1">
        <f t="shared" si="134"/>
        <v>0.48055555555555557</v>
      </c>
      <c r="M239" s="1">
        <f t="shared" si="134"/>
        <v>0.73611111111111116</v>
      </c>
      <c r="N239" s="1">
        <f t="shared" si="134"/>
        <v>0.73611111111111116</v>
      </c>
      <c r="O239" s="1">
        <f t="shared" si="134"/>
        <v>0.77500000000000002</v>
      </c>
      <c r="P239" s="1">
        <f t="shared" si="134"/>
        <v>0.98888888888888893</v>
      </c>
      <c r="Q239" s="1">
        <f t="shared" si="134"/>
        <v>1.2777777777777777</v>
      </c>
      <c r="R239" s="1">
        <f t="shared" si="129"/>
        <v>1.4944444444444445</v>
      </c>
      <c r="S239" s="1">
        <f t="shared" si="129"/>
        <v>1.788888888888889</v>
      </c>
      <c r="T239" s="1">
        <f t="shared" si="129"/>
        <v>2.0027777777777778</v>
      </c>
      <c r="U239" s="1">
        <f t="shared" si="129"/>
        <v>2.2916666666666665</v>
      </c>
      <c r="V239" s="1">
        <f t="shared" si="129"/>
        <v>2.5083333333333333</v>
      </c>
      <c r="W239" s="1">
        <f t="shared" si="129"/>
        <v>2.8027777777777776</v>
      </c>
      <c r="X239" s="1">
        <f t="shared" si="129"/>
        <v>3.0166666666666666</v>
      </c>
      <c r="Y239" s="1">
        <f t="shared" si="129"/>
        <v>3.3055555555555554</v>
      </c>
      <c r="Z239" s="1">
        <f t="shared" si="129"/>
        <v>3.5222222222222221</v>
      </c>
      <c r="AA239" s="1">
        <f t="shared" si="129"/>
        <v>3.8166666666666669</v>
      </c>
      <c r="AB239" s="1">
        <f t="shared" si="129"/>
        <v>4.0305555555555559</v>
      </c>
      <c r="AC239" s="1">
        <f t="shared" si="129"/>
        <v>4.322222222222222</v>
      </c>
      <c r="AD239" s="1">
        <f t="shared" si="129"/>
        <v>4.5388888888888888</v>
      </c>
      <c r="AE239" s="1">
        <f t="shared" si="129"/>
        <v>4.5388888888888888</v>
      </c>
      <c r="AF239" s="3">
        <f t="shared" si="129"/>
        <v>4.833333333333333</v>
      </c>
      <c r="AG239" s="1">
        <f t="shared" si="129"/>
        <v>5.0472222222222225</v>
      </c>
      <c r="AH239" s="1">
        <f t="shared" si="130"/>
        <v>5.3361111111111112</v>
      </c>
      <c r="AI239" s="1">
        <f t="shared" si="125"/>
        <v>5.3361111111111112</v>
      </c>
      <c r="AJ239" s="1">
        <f t="shared" si="125"/>
        <v>5.552777777777778</v>
      </c>
      <c r="AK239" s="1">
        <f t="shared" si="125"/>
        <v>5.552777777777778</v>
      </c>
      <c r="AL239" s="1">
        <f t="shared" si="125"/>
        <v>6.0611111111111109</v>
      </c>
      <c r="AM239" s="1">
        <f t="shared" si="125"/>
        <v>6.5666666666666664</v>
      </c>
      <c r="AN239" s="1">
        <f t="shared" si="125"/>
        <v>6.5666666666666664</v>
      </c>
      <c r="AO239" s="1">
        <f t="shared" si="125"/>
        <v>7.0750000000000002</v>
      </c>
      <c r="AP239" s="1">
        <f t="shared" si="125"/>
        <v>7.5805555555555557</v>
      </c>
      <c r="AQ239" s="1">
        <f t="shared" si="125"/>
        <v>7.5805555555555557</v>
      </c>
      <c r="AR239" s="1">
        <f t="shared" si="125"/>
        <v>8.0888888888888886</v>
      </c>
      <c r="AS239" s="1">
        <f t="shared" si="125"/>
        <v>8.5972222222222214</v>
      </c>
      <c r="AT239" s="1">
        <f t="shared" si="125"/>
        <v>9.1055555555555561</v>
      </c>
      <c r="AU239" s="1">
        <f t="shared" si="125"/>
        <v>9.6111111111111107</v>
      </c>
      <c r="AV239" s="1">
        <f t="shared" si="125"/>
        <v>9.6111111111111107</v>
      </c>
      <c r="AW239" s="1">
        <f t="shared" si="125"/>
        <v>14.177777777777777</v>
      </c>
      <c r="AX239" s="1">
        <f t="shared" si="125"/>
        <v>14.683333333333334</v>
      </c>
      <c r="AY239" s="1">
        <f t="shared" si="131"/>
        <v>15.191666666666666</v>
      </c>
      <c r="AZ239" s="1">
        <f t="shared" si="131"/>
        <v>15.697222222222223</v>
      </c>
      <c r="BA239" s="1">
        <f t="shared" si="131"/>
        <v>16.205555555555556</v>
      </c>
      <c r="BB239" s="1">
        <f t="shared" si="131"/>
        <v>16.713888888888889</v>
      </c>
      <c r="BC239" s="1">
        <f t="shared" si="131"/>
        <v>17.222222222222221</v>
      </c>
      <c r="BD239" s="1">
        <f t="shared" si="131"/>
        <v>17.727777777777778</v>
      </c>
      <c r="BE239" s="1">
        <f t="shared" si="131"/>
        <v>17.727777777777778</v>
      </c>
      <c r="BF239" s="1">
        <f t="shared" si="131"/>
        <v>26.352777777777778</v>
      </c>
      <c r="BG239" s="1">
        <f t="shared" si="131"/>
        <v>26.858333333333334</v>
      </c>
      <c r="BH239" s="1">
        <f t="shared" si="131"/>
        <v>27.366666666666667</v>
      </c>
      <c r="BI239" s="1">
        <f t="shared" si="131"/>
        <v>27.872222222222224</v>
      </c>
      <c r="BJ239" s="1">
        <f t="shared" si="131"/>
        <v>28.380555555555556</v>
      </c>
      <c r="BK239" s="1">
        <f t="shared" si="131"/>
        <v>28.888888888888889</v>
      </c>
      <c r="BL239" s="1">
        <f t="shared" si="131"/>
        <v>29.397222222222222</v>
      </c>
      <c r="BM239" s="1">
        <f t="shared" si="126"/>
        <v>29.902777777777779</v>
      </c>
      <c r="BN239" s="1">
        <f t="shared" si="126"/>
        <v>30.411111111111111</v>
      </c>
      <c r="BO239" s="1">
        <f t="shared" si="126"/>
        <v>30.411111111111111</v>
      </c>
      <c r="BP239" s="1">
        <f t="shared" si="126"/>
        <v>30.916666666666668</v>
      </c>
      <c r="BQ239" s="1">
        <f t="shared" si="126"/>
        <v>31.425000000000001</v>
      </c>
      <c r="BR239" s="1">
        <f t="shared" si="126"/>
        <v>31.930555555555557</v>
      </c>
      <c r="BS239" s="1">
        <f t="shared" si="126"/>
        <v>32.43888888888889</v>
      </c>
      <c r="BT239" s="1">
        <f t="shared" si="126"/>
        <v>32.947222222222223</v>
      </c>
      <c r="BU239" s="1">
        <f t="shared" si="126"/>
        <v>33.455555555555556</v>
      </c>
      <c r="BV239" s="1">
        <f t="shared" si="126"/>
        <v>33.455555555555556</v>
      </c>
      <c r="BW239" s="1">
        <f t="shared" si="126"/>
        <v>33.961111111111109</v>
      </c>
      <c r="BX239" s="1">
        <f t="shared" si="126"/>
        <v>34.469444444444441</v>
      </c>
      <c r="BY239" s="1">
        <f t="shared" si="126"/>
        <v>34.975000000000001</v>
      </c>
      <c r="BZ239" s="1">
        <f t="shared" si="126"/>
        <v>35.483333333333334</v>
      </c>
      <c r="CA239" s="1">
        <f t="shared" si="126"/>
        <v>35.988888888888887</v>
      </c>
      <c r="CB239" s="1">
        <f t="shared" si="126"/>
        <v>36.49722222222222</v>
      </c>
      <c r="CC239" s="1">
        <f t="shared" si="132"/>
        <v>37.005555555555553</v>
      </c>
      <c r="CD239" s="1">
        <f t="shared" si="127"/>
        <v>37.513888888888886</v>
      </c>
      <c r="CE239" s="1">
        <f t="shared" si="127"/>
        <v>38.019444444444446</v>
      </c>
      <c r="CF239" s="1">
        <f t="shared" si="127"/>
        <v>38.527777777777779</v>
      </c>
      <c r="CG239" s="1">
        <f t="shared" si="127"/>
        <v>39.033333333333331</v>
      </c>
      <c r="CH239" s="1">
        <f t="shared" si="127"/>
        <v>39.541666666666664</v>
      </c>
      <c r="CI239" s="1">
        <f t="shared" si="127"/>
        <v>40.047222222222224</v>
      </c>
      <c r="CJ239" s="1">
        <f t="shared" si="127"/>
        <v>40.555555555555557</v>
      </c>
      <c r="CK239" s="1">
        <f t="shared" si="127"/>
        <v>41.06388888888889</v>
      </c>
      <c r="CL239" s="1">
        <f t="shared" si="127"/>
        <v>41.572222222222223</v>
      </c>
      <c r="CM239" s="1">
        <f t="shared" si="127"/>
        <v>42.077777777777776</v>
      </c>
      <c r="CN239" s="1">
        <f t="shared" si="127"/>
        <v>42.586111111111109</v>
      </c>
      <c r="CO239" s="1">
        <f t="shared" si="127"/>
        <v>43.091666666666669</v>
      </c>
      <c r="CP239" s="1">
        <f t="shared" si="127"/>
        <v>43.6</v>
      </c>
      <c r="CQ239" s="1">
        <f t="shared" si="127"/>
        <v>44.105555555555554</v>
      </c>
      <c r="CR239" s="1">
        <f t="shared" si="127"/>
        <v>44.613888888888887</v>
      </c>
      <c r="CS239" s="1">
        <f t="shared" si="127"/>
        <v>45.12222222222222</v>
      </c>
      <c r="CT239" s="1">
        <f t="shared" si="133"/>
        <v>45.630555555555553</v>
      </c>
      <c r="CU239" s="1">
        <f t="shared" si="128"/>
        <v>46.136111111111113</v>
      </c>
      <c r="CV239" s="1">
        <f t="shared" si="128"/>
        <v>46.644444444444446</v>
      </c>
      <c r="CW239" s="1">
        <f t="shared" si="128"/>
        <v>47.15</v>
      </c>
      <c r="CX239" s="1">
        <f t="shared" si="128"/>
        <v>47.658333333333331</v>
      </c>
      <c r="CY239" s="1">
        <f t="shared" si="128"/>
        <v>48.163888888888891</v>
      </c>
      <c r="CZ239" s="1">
        <f t="shared" si="128"/>
        <v>48.672222222222224</v>
      </c>
      <c r="DA239" s="1">
        <f t="shared" si="128"/>
        <v>49.180555555555557</v>
      </c>
      <c r="DB239" s="1">
        <f t="shared" si="128"/>
        <v>49.68888888888889</v>
      </c>
      <c r="DC239" s="1">
        <f t="shared" si="128"/>
        <v>49.68888888888889</v>
      </c>
    </row>
    <row r="240" spans="1:107" x14ac:dyDescent="0.25">
      <c r="A240">
        <f t="shared" si="114"/>
        <v>2</v>
      </c>
      <c r="B240" s="2">
        <f>yields_BRUTE!B240</f>
        <v>42352</v>
      </c>
      <c r="C240" s="1">
        <f t="shared" si="134"/>
        <v>-0.8</v>
      </c>
      <c r="D240" s="1">
        <f t="shared" si="134"/>
        <v>-0.76111111111111107</v>
      </c>
      <c r="E240" s="1">
        <f t="shared" si="134"/>
        <v>-0.5444444444444444</v>
      </c>
      <c r="F240" s="1">
        <f t="shared" si="134"/>
        <v>-0.28888888888888886</v>
      </c>
      <c r="G240" s="1">
        <f t="shared" si="134"/>
        <v>-0.25</v>
      </c>
      <c r="H240" s="1">
        <f t="shared" si="134"/>
        <v>-3.6111111111111108E-2</v>
      </c>
      <c r="I240" s="1">
        <f t="shared" si="134"/>
        <v>-3.6111111111111108E-2</v>
      </c>
      <c r="J240" s="1">
        <f t="shared" si="134"/>
        <v>0.21666666666666667</v>
      </c>
      <c r="K240" s="1">
        <f t="shared" si="134"/>
        <v>0.25555555555555554</v>
      </c>
      <c r="L240" s="1">
        <f t="shared" si="134"/>
        <v>0.47222222222222221</v>
      </c>
      <c r="M240" s="1">
        <f t="shared" si="134"/>
        <v>0.72777777777777775</v>
      </c>
      <c r="N240" s="1">
        <f t="shared" si="134"/>
        <v>0.72777777777777775</v>
      </c>
      <c r="O240" s="1">
        <f t="shared" si="134"/>
        <v>0.76666666666666672</v>
      </c>
      <c r="P240" s="1">
        <f t="shared" si="134"/>
        <v>0.98055555555555551</v>
      </c>
      <c r="Q240" s="1">
        <f t="shared" si="134"/>
        <v>1.2694444444444444</v>
      </c>
      <c r="R240" s="1">
        <f t="shared" si="129"/>
        <v>1.4861111111111112</v>
      </c>
      <c r="S240" s="1">
        <f t="shared" si="129"/>
        <v>1.7805555555555554</v>
      </c>
      <c r="T240" s="1">
        <f t="shared" si="129"/>
        <v>1.9944444444444445</v>
      </c>
      <c r="U240" s="1">
        <f t="shared" si="129"/>
        <v>2.2833333333333332</v>
      </c>
      <c r="V240" s="1">
        <f t="shared" si="129"/>
        <v>2.5</v>
      </c>
      <c r="W240" s="1">
        <f t="shared" si="129"/>
        <v>2.7944444444444443</v>
      </c>
      <c r="X240" s="1">
        <f t="shared" si="129"/>
        <v>3.0083333333333333</v>
      </c>
      <c r="Y240" s="1">
        <f t="shared" si="129"/>
        <v>3.2972222222222221</v>
      </c>
      <c r="Z240" s="1">
        <f t="shared" si="129"/>
        <v>3.5138888888888888</v>
      </c>
      <c r="AA240" s="1">
        <f t="shared" si="129"/>
        <v>3.8083333333333331</v>
      </c>
      <c r="AB240" s="1">
        <f t="shared" si="129"/>
        <v>4.0222222222222221</v>
      </c>
      <c r="AC240" s="1">
        <f t="shared" si="129"/>
        <v>4.3138888888888891</v>
      </c>
      <c r="AD240" s="1">
        <f t="shared" si="129"/>
        <v>4.5305555555555559</v>
      </c>
      <c r="AE240" s="1">
        <f t="shared" si="129"/>
        <v>4.5305555555555559</v>
      </c>
      <c r="AF240" s="3">
        <f t="shared" si="129"/>
        <v>4.8250000000000002</v>
      </c>
      <c r="AG240" s="1">
        <f t="shared" si="129"/>
        <v>5.0388888888888888</v>
      </c>
      <c r="AH240" s="1">
        <f t="shared" si="130"/>
        <v>5.3277777777777775</v>
      </c>
      <c r="AI240" s="1">
        <f t="shared" si="125"/>
        <v>5.3277777777777775</v>
      </c>
      <c r="AJ240" s="1">
        <f t="shared" si="125"/>
        <v>5.5444444444444443</v>
      </c>
      <c r="AK240" s="1">
        <f t="shared" si="125"/>
        <v>5.5444444444444443</v>
      </c>
      <c r="AL240" s="1">
        <f t="shared" si="125"/>
        <v>6.052777777777778</v>
      </c>
      <c r="AM240" s="1">
        <f t="shared" si="125"/>
        <v>6.5583333333333336</v>
      </c>
      <c r="AN240" s="1">
        <f t="shared" si="125"/>
        <v>6.5583333333333336</v>
      </c>
      <c r="AO240" s="1">
        <f t="shared" si="125"/>
        <v>7.0666666666666664</v>
      </c>
      <c r="AP240" s="1">
        <f t="shared" si="125"/>
        <v>7.572222222222222</v>
      </c>
      <c r="AQ240" s="1">
        <f t="shared" si="125"/>
        <v>7.572222222222222</v>
      </c>
      <c r="AR240" s="1">
        <f t="shared" si="125"/>
        <v>8.0805555555555557</v>
      </c>
      <c r="AS240" s="1">
        <f t="shared" si="125"/>
        <v>8.5888888888888886</v>
      </c>
      <c r="AT240" s="1">
        <f t="shared" si="125"/>
        <v>9.0972222222222214</v>
      </c>
      <c r="AU240" s="1">
        <f t="shared" si="125"/>
        <v>9.6027777777777779</v>
      </c>
      <c r="AV240" s="1">
        <f t="shared" si="125"/>
        <v>9.6027777777777779</v>
      </c>
      <c r="AW240" s="1">
        <f t="shared" si="125"/>
        <v>14.169444444444444</v>
      </c>
      <c r="AX240" s="1">
        <f t="shared" si="125"/>
        <v>14.675000000000001</v>
      </c>
      <c r="AY240" s="1">
        <f t="shared" si="131"/>
        <v>15.183333333333334</v>
      </c>
      <c r="AZ240" s="1">
        <f t="shared" si="131"/>
        <v>15.688888888888888</v>
      </c>
      <c r="BA240" s="1">
        <f t="shared" si="131"/>
        <v>16.197222222222223</v>
      </c>
      <c r="BB240" s="1">
        <f t="shared" si="131"/>
        <v>16.705555555555556</v>
      </c>
      <c r="BC240" s="1">
        <f t="shared" si="131"/>
        <v>17.213888888888889</v>
      </c>
      <c r="BD240" s="1">
        <f t="shared" si="131"/>
        <v>17.719444444444445</v>
      </c>
      <c r="BE240" s="1">
        <f t="shared" si="131"/>
        <v>17.719444444444445</v>
      </c>
      <c r="BF240" s="1">
        <f t="shared" si="131"/>
        <v>26.344444444444445</v>
      </c>
      <c r="BG240" s="1">
        <f t="shared" si="131"/>
        <v>26.85</v>
      </c>
      <c r="BH240" s="1">
        <f t="shared" si="131"/>
        <v>27.358333333333334</v>
      </c>
      <c r="BI240" s="1">
        <f t="shared" si="131"/>
        <v>27.863888888888887</v>
      </c>
      <c r="BJ240" s="1">
        <f t="shared" si="131"/>
        <v>28.372222222222224</v>
      </c>
      <c r="BK240" s="1">
        <f t="shared" si="131"/>
        <v>28.880555555555556</v>
      </c>
      <c r="BL240" s="1">
        <f t="shared" si="131"/>
        <v>29.388888888888889</v>
      </c>
      <c r="BM240" s="1">
        <f t="shared" si="126"/>
        <v>29.894444444444446</v>
      </c>
      <c r="BN240" s="1">
        <f t="shared" si="126"/>
        <v>30.402777777777779</v>
      </c>
      <c r="BO240" s="1">
        <f t="shared" si="126"/>
        <v>30.402777777777779</v>
      </c>
      <c r="BP240" s="1">
        <f t="shared" si="126"/>
        <v>30.908333333333335</v>
      </c>
      <c r="BQ240" s="1">
        <f t="shared" si="126"/>
        <v>31.416666666666668</v>
      </c>
      <c r="BR240" s="1">
        <f t="shared" si="126"/>
        <v>31.922222222222221</v>
      </c>
      <c r="BS240" s="1">
        <f t="shared" si="126"/>
        <v>32.430555555555557</v>
      </c>
      <c r="BT240" s="1">
        <f t="shared" si="126"/>
        <v>32.93888888888889</v>
      </c>
      <c r="BU240" s="1">
        <f t="shared" si="126"/>
        <v>33.447222222222223</v>
      </c>
      <c r="BV240" s="1">
        <f t="shared" si="126"/>
        <v>33.447222222222223</v>
      </c>
      <c r="BW240" s="1">
        <f t="shared" si="126"/>
        <v>33.952777777777776</v>
      </c>
      <c r="BX240" s="1">
        <f t="shared" si="126"/>
        <v>34.461111111111109</v>
      </c>
      <c r="BY240" s="1">
        <f t="shared" si="126"/>
        <v>34.966666666666669</v>
      </c>
      <c r="BZ240" s="1">
        <f t="shared" si="126"/>
        <v>35.475000000000001</v>
      </c>
      <c r="CA240" s="1">
        <f t="shared" si="126"/>
        <v>35.980555555555554</v>
      </c>
      <c r="CB240" s="1">
        <f t="shared" si="126"/>
        <v>36.488888888888887</v>
      </c>
      <c r="CC240" s="1">
        <f t="shared" si="132"/>
        <v>36.99722222222222</v>
      </c>
      <c r="CD240" s="1">
        <f t="shared" si="127"/>
        <v>37.505555555555553</v>
      </c>
      <c r="CE240" s="1">
        <f t="shared" si="127"/>
        <v>38.011111111111113</v>
      </c>
      <c r="CF240" s="1">
        <f t="shared" si="127"/>
        <v>38.519444444444446</v>
      </c>
      <c r="CG240" s="1">
        <f t="shared" si="127"/>
        <v>39.024999999999999</v>
      </c>
      <c r="CH240" s="1">
        <f t="shared" si="127"/>
        <v>39.533333333333331</v>
      </c>
      <c r="CI240" s="1">
        <f t="shared" si="127"/>
        <v>40.038888888888891</v>
      </c>
      <c r="CJ240" s="1">
        <f t="shared" si="127"/>
        <v>40.547222222222224</v>
      </c>
      <c r="CK240" s="1">
        <f t="shared" si="127"/>
        <v>41.055555555555557</v>
      </c>
      <c r="CL240" s="1">
        <f t="shared" si="127"/>
        <v>41.56388888888889</v>
      </c>
      <c r="CM240" s="1">
        <f t="shared" si="127"/>
        <v>42.069444444444443</v>
      </c>
      <c r="CN240" s="1">
        <f t="shared" si="127"/>
        <v>42.577777777777776</v>
      </c>
      <c r="CO240" s="1">
        <f t="shared" si="127"/>
        <v>43.083333333333336</v>
      </c>
      <c r="CP240" s="1">
        <f t="shared" si="127"/>
        <v>43.591666666666669</v>
      </c>
      <c r="CQ240" s="1">
        <f t="shared" si="127"/>
        <v>44.097222222222221</v>
      </c>
      <c r="CR240" s="1">
        <f t="shared" si="127"/>
        <v>44.605555555555554</v>
      </c>
      <c r="CS240" s="1">
        <f t="shared" si="127"/>
        <v>45.113888888888887</v>
      </c>
      <c r="CT240" s="1">
        <f t="shared" si="133"/>
        <v>45.62222222222222</v>
      </c>
      <c r="CU240" s="1">
        <f t="shared" si="128"/>
        <v>46.12777777777778</v>
      </c>
      <c r="CV240" s="1">
        <f t="shared" si="128"/>
        <v>46.636111111111113</v>
      </c>
      <c r="CW240" s="1">
        <f t="shared" si="128"/>
        <v>47.141666666666666</v>
      </c>
      <c r="CX240" s="1">
        <f t="shared" si="128"/>
        <v>47.65</v>
      </c>
      <c r="CY240" s="1">
        <f t="shared" si="128"/>
        <v>48.155555555555559</v>
      </c>
      <c r="CZ240" s="1">
        <f t="shared" si="128"/>
        <v>48.663888888888891</v>
      </c>
      <c r="DA240" s="1">
        <f t="shared" si="128"/>
        <v>49.172222222222224</v>
      </c>
      <c r="DB240" s="1">
        <f t="shared" si="128"/>
        <v>49.680555555555557</v>
      </c>
      <c r="DC240" s="1">
        <f t="shared" si="128"/>
        <v>49.680555555555557</v>
      </c>
    </row>
    <row r="241" spans="1:107" x14ac:dyDescent="0.25">
      <c r="A241">
        <f t="shared" si="114"/>
        <v>3</v>
      </c>
      <c r="B241" s="2">
        <f>yields_BRUTE!B241</f>
        <v>42353</v>
      </c>
      <c r="C241" s="1">
        <f t="shared" si="134"/>
        <v>-0.80277777777777781</v>
      </c>
      <c r="D241" s="1">
        <f t="shared" si="134"/>
        <v>-0.76388888888888884</v>
      </c>
      <c r="E241" s="1">
        <f t="shared" si="134"/>
        <v>-0.54722222222222228</v>
      </c>
      <c r="F241" s="1">
        <f t="shared" si="134"/>
        <v>-0.29166666666666669</v>
      </c>
      <c r="G241" s="1">
        <f t="shared" si="134"/>
        <v>-0.25277777777777777</v>
      </c>
      <c r="H241" s="1">
        <f t="shared" si="134"/>
        <v>-3.888888888888889E-2</v>
      </c>
      <c r="I241" s="1">
        <f t="shared" si="134"/>
        <v>-3.888888888888889E-2</v>
      </c>
      <c r="J241" s="1">
        <f t="shared" si="134"/>
        <v>0.21388888888888888</v>
      </c>
      <c r="K241" s="1">
        <f t="shared" si="134"/>
        <v>0.25277777777777777</v>
      </c>
      <c r="L241" s="1">
        <f t="shared" si="134"/>
        <v>0.46944444444444444</v>
      </c>
      <c r="M241" s="1">
        <f t="shared" si="134"/>
        <v>0.72499999999999998</v>
      </c>
      <c r="N241" s="1">
        <f t="shared" si="134"/>
        <v>0.72499999999999998</v>
      </c>
      <c r="O241" s="1">
        <f t="shared" si="134"/>
        <v>0.76388888888888884</v>
      </c>
      <c r="P241" s="1">
        <f t="shared" si="134"/>
        <v>0.97777777777777775</v>
      </c>
      <c r="Q241" s="1">
        <f t="shared" si="134"/>
        <v>1.2666666666666666</v>
      </c>
      <c r="R241" s="1">
        <f t="shared" si="129"/>
        <v>1.4833333333333334</v>
      </c>
      <c r="S241" s="1">
        <f t="shared" si="129"/>
        <v>1.7777777777777777</v>
      </c>
      <c r="T241" s="1">
        <f t="shared" si="129"/>
        <v>1.9916666666666667</v>
      </c>
      <c r="U241" s="1">
        <f t="shared" si="129"/>
        <v>2.2805555555555554</v>
      </c>
      <c r="V241" s="1">
        <f t="shared" si="129"/>
        <v>2.4972222222222222</v>
      </c>
      <c r="W241" s="1">
        <f t="shared" si="129"/>
        <v>2.7916666666666665</v>
      </c>
      <c r="X241" s="1">
        <f t="shared" si="129"/>
        <v>3.0055555555555555</v>
      </c>
      <c r="Y241" s="1">
        <f t="shared" si="129"/>
        <v>3.2944444444444443</v>
      </c>
      <c r="Z241" s="1">
        <f t="shared" si="129"/>
        <v>3.5111111111111111</v>
      </c>
      <c r="AA241" s="1">
        <f t="shared" si="129"/>
        <v>3.8055555555555554</v>
      </c>
      <c r="AB241" s="1">
        <f t="shared" si="129"/>
        <v>4.0194444444444448</v>
      </c>
      <c r="AC241" s="1">
        <f t="shared" si="129"/>
        <v>4.3111111111111109</v>
      </c>
      <c r="AD241" s="1">
        <f t="shared" si="129"/>
        <v>4.5277777777777777</v>
      </c>
      <c r="AE241" s="1">
        <f t="shared" si="129"/>
        <v>4.5277777777777777</v>
      </c>
      <c r="AF241" s="3">
        <f t="shared" si="129"/>
        <v>4.822222222222222</v>
      </c>
      <c r="AG241" s="1">
        <f t="shared" ref="AG241:AV251" si="135">(AG$1-$B241)/360</f>
        <v>5.0361111111111114</v>
      </c>
      <c r="AH241" s="1">
        <f t="shared" si="130"/>
        <v>5.3250000000000002</v>
      </c>
      <c r="AI241" s="1">
        <f t="shared" si="130"/>
        <v>5.3250000000000002</v>
      </c>
      <c r="AJ241" s="1">
        <f t="shared" si="130"/>
        <v>5.541666666666667</v>
      </c>
      <c r="AK241" s="1">
        <f t="shared" si="130"/>
        <v>5.541666666666667</v>
      </c>
      <c r="AL241" s="1">
        <f t="shared" si="130"/>
        <v>6.05</v>
      </c>
      <c r="AM241" s="1">
        <f t="shared" si="130"/>
        <v>6.5555555555555554</v>
      </c>
      <c r="AN241" s="1">
        <f t="shared" si="130"/>
        <v>6.5555555555555554</v>
      </c>
      <c r="AO241" s="1">
        <f t="shared" si="130"/>
        <v>7.0638888888888891</v>
      </c>
      <c r="AP241" s="1">
        <f t="shared" si="130"/>
        <v>7.5694444444444446</v>
      </c>
      <c r="AQ241" s="1">
        <f t="shared" si="130"/>
        <v>7.5694444444444446</v>
      </c>
      <c r="AR241" s="1">
        <f t="shared" si="130"/>
        <v>8.0777777777777775</v>
      </c>
      <c r="AS241" s="1">
        <f t="shared" si="130"/>
        <v>8.5861111111111104</v>
      </c>
      <c r="AT241" s="1">
        <f t="shared" si="130"/>
        <v>9.094444444444445</v>
      </c>
      <c r="AU241" s="1">
        <f t="shared" si="130"/>
        <v>9.6</v>
      </c>
      <c r="AV241" s="1">
        <f t="shared" si="130"/>
        <v>9.6</v>
      </c>
      <c r="AW241" s="1">
        <f t="shared" si="130"/>
        <v>14.166666666666666</v>
      </c>
      <c r="AX241" s="1">
        <f t="shared" ref="AX241:BM251" si="136">(AX$1-$B241)/360</f>
        <v>14.672222222222222</v>
      </c>
      <c r="AY241" s="1">
        <f t="shared" si="131"/>
        <v>15.180555555555555</v>
      </c>
      <c r="AZ241" s="1">
        <f t="shared" si="131"/>
        <v>15.686111111111112</v>
      </c>
      <c r="BA241" s="1">
        <f t="shared" si="131"/>
        <v>16.194444444444443</v>
      </c>
      <c r="BB241" s="1">
        <f t="shared" si="131"/>
        <v>16.702777777777779</v>
      </c>
      <c r="BC241" s="1">
        <f t="shared" si="131"/>
        <v>17.211111111111112</v>
      </c>
      <c r="BD241" s="1">
        <f t="shared" si="131"/>
        <v>17.716666666666665</v>
      </c>
      <c r="BE241" s="1">
        <f t="shared" si="131"/>
        <v>17.716666666666665</v>
      </c>
      <c r="BF241" s="1">
        <f t="shared" si="131"/>
        <v>26.341666666666665</v>
      </c>
      <c r="BG241" s="1">
        <f t="shared" si="131"/>
        <v>26.847222222222221</v>
      </c>
      <c r="BH241" s="1">
        <f t="shared" si="131"/>
        <v>27.355555555555554</v>
      </c>
      <c r="BI241" s="1">
        <f t="shared" si="131"/>
        <v>27.861111111111111</v>
      </c>
      <c r="BJ241" s="1">
        <f t="shared" si="131"/>
        <v>28.369444444444444</v>
      </c>
      <c r="BK241" s="1">
        <f t="shared" si="131"/>
        <v>28.877777777777776</v>
      </c>
      <c r="BL241" s="1">
        <f t="shared" si="131"/>
        <v>29.386111111111113</v>
      </c>
      <c r="BM241" s="1">
        <f t="shared" si="131"/>
        <v>29.891666666666666</v>
      </c>
      <c r="BN241" s="1">
        <f t="shared" si="131"/>
        <v>30.4</v>
      </c>
      <c r="BO241" s="1">
        <f t="shared" ref="BO241:CD251" si="137">(BO$1-$B241)/360</f>
        <v>30.4</v>
      </c>
      <c r="BP241" s="1">
        <f t="shared" si="137"/>
        <v>30.905555555555555</v>
      </c>
      <c r="BQ241" s="1">
        <f t="shared" si="137"/>
        <v>31.413888888888888</v>
      </c>
      <c r="BR241" s="1">
        <f t="shared" si="137"/>
        <v>31.919444444444444</v>
      </c>
      <c r="BS241" s="1">
        <f t="shared" si="137"/>
        <v>32.427777777777777</v>
      </c>
      <c r="BT241" s="1">
        <f t="shared" si="137"/>
        <v>32.93611111111111</v>
      </c>
      <c r="BU241" s="1">
        <f t="shared" si="137"/>
        <v>33.444444444444443</v>
      </c>
      <c r="BV241" s="1">
        <f t="shared" si="137"/>
        <v>33.444444444444443</v>
      </c>
      <c r="BW241" s="1">
        <f t="shared" si="137"/>
        <v>33.950000000000003</v>
      </c>
      <c r="BX241" s="1">
        <f t="shared" si="137"/>
        <v>34.458333333333336</v>
      </c>
      <c r="BY241" s="1">
        <f t="shared" si="137"/>
        <v>34.963888888888889</v>
      </c>
      <c r="BZ241" s="1">
        <f t="shared" si="137"/>
        <v>35.472222222222221</v>
      </c>
      <c r="CA241" s="1">
        <f t="shared" si="137"/>
        <v>35.977777777777774</v>
      </c>
      <c r="CB241" s="1">
        <f t="shared" si="137"/>
        <v>36.486111111111114</v>
      </c>
      <c r="CC241" s="1">
        <f t="shared" si="132"/>
        <v>36.994444444444447</v>
      </c>
      <c r="CD241" s="1">
        <f t="shared" si="132"/>
        <v>37.50277777777778</v>
      </c>
      <c r="CE241" s="1">
        <f t="shared" si="132"/>
        <v>38.008333333333333</v>
      </c>
      <c r="CF241" s="1">
        <f t="shared" si="132"/>
        <v>38.516666666666666</v>
      </c>
      <c r="CG241" s="1">
        <f t="shared" si="132"/>
        <v>39.022222222222226</v>
      </c>
      <c r="CH241" s="1">
        <f t="shared" si="132"/>
        <v>39.530555555555559</v>
      </c>
      <c r="CI241" s="1">
        <f t="shared" si="132"/>
        <v>40.036111111111111</v>
      </c>
      <c r="CJ241" s="1">
        <f t="shared" si="132"/>
        <v>40.544444444444444</v>
      </c>
      <c r="CK241" s="1">
        <f t="shared" si="132"/>
        <v>41.052777777777777</v>
      </c>
      <c r="CL241" s="1">
        <f t="shared" si="132"/>
        <v>41.56111111111111</v>
      </c>
      <c r="CM241" s="1">
        <f t="shared" si="132"/>
        <v>42.06666666666667</v>
      </c>
      <c r="CN241" s="1">
        <f t="shared" si="132"/>
        <v>42.575000000000003</v>
      </c>
      <c r="CO241" s="1">
        <f t="shared" si="132"/>
        <v>43.080555555555556</v>
      </c>
      <c r="CP241" s="1">
        <f t="shared" si="132"/>
        <v>43.588888888888889</v>
      </c>
      <c r="CQ241" s="1">
        <f t="shared" si="132"/>
        <v>44.094444444444441</v>
      </c>
      <c r="CR241" s="1">
        <f t="shared" si="132"/>
        <v>44.602777777777774</v>
      </c>
      <c r="CS241" s="1">
        <f t="shared" ref="CS241:DC251" si="138">(CS$1-$B241)/360</f>
        <v>45.111111111111114</v>
      </c>
      <c r="CT241" s="1">
        <f t="shared" si="133"/>
        <v>45.619444444444447</v>
      </c>
      <c r="CU241" s="1">
        <f t="shared" si="133"/>
        <v>46.125</v>
      </c>
      <c r="CV241" s="1">
        <f t="shared" si="133"/>
        <v>46.633333333333333</v>
      </c>
      <c r="CW241" s="1">
        <f t="shared" si="133"/>
        <v>47.138888888888886</v>
      </c>
      <c r="CX241" s="1">
        <f t="shared" si="133"/>
        <v>47.647222222222226</v>
      </c>
      <c r="CY241" s="1">
        <f t="shared" si="133"/>
        <v>48.152777777777779</v>
      </c>
      <c r="CZ241" s="1">
        <f t="shared" si="133"/>
        <v>48.661111111111111</v>
      </c>
      <c r="DA241" s="1">
        <f t="shared" si="133"/>
        <v>49.169444444444444</v>
      </c>
      <c r="DB241" s="1">
        <f t="shared" si="133"/>
        <v>49.677777777777777</v>
      </c>
      <c r="DC241" s="1">
        <f t="shared" si="133"/>
        <v>49.677777777777777</v>
      </c>
    </row>
    <row r="242" spans="1:107" x14ac:dyDescent="0.25">
      <c r="A242">
        <f t="shared" si="114"/>
        <v>4</v>
      </c>
      <c r="B242" s="2">
        <f>yields_BRUTE!B242</f>
        <v>42354</v>
      </c>
      <c r="C242" s="1">
        <f t="shared" si="134"/>
        <v>-0.80555555555555558</v>
      </c>
      <c r="D242" s="1">
        <f t="shared" si="134"/>
        <v>-0.76666666666666672</v>
      </c>
      <c r="E242" s="1">
        <f t="shared" si="134"/>
        <v>-0.55000000000000004</v>
      </c>
      <c r="F242" s="1">
        <f t="shared" si="134"/>
        <v>-0.29444444444444445</v>
      </c>
      <c r="G242" s="1">
        <f t="shared" si="134"/>
        <v>-0.25555555555555554</v>
      </c>
      <c r="H242" s="1">
        <f t="shared" si="134"/>
        <v>-4.1666666666666664E-2</v>
      </c>
      <c r="I242" s="1">
        <f t="shared" si="134"/>
        <v>-4.1666666666666664E-2</v>
      </c>
      <c r="J242" s="1">
        <f t="shared" si="134"/>
        <v>0.21111111111111111</v>
      </c>
      <c r="K242" s="1">
        <f t="shared" si="134"/>
        <v>0.25</v>
      </c>
      <c r="L242" s="1">
        <f t="shared" si="134"/>
        <v>0.46666666666666667</v>
      </c>
      <c r="M242" s="1">
        <f t="shared" si="134"/>
        <v>0.72222222222222221</v>
      </c>
      <c r="N242" s="1">
        <f t="shared" si="134"/>
        <v>0.72222222222222221</v>
      </c>
      <c r="O242" s="1">
        <f t="shared" si="134"/>
        <v>0.76111111111111107</v>
      </c>
      <c r="P242" s="1">
        <f t="shared" si="134"/>
        <v>0.97499999999999998</v>
      </c>
      <c r="Q242" s="1">
        <f t="shared" si="134"/>
        <v>1.2638888888888888</v>
      </c>
      <c r="R242" s="1">
        <f t="shared" si="134"/>
        <v>1.4805555555555556</v>
      </c>
      <c r="S242" s="1">
        <f t="shared" ref="S242:AF251" si="139">(S$1-$B242)/360</f>
        <v>1.7749999999999999</v>
      </c>
      <c r="T242" s="1">
        <f t="shared" si="139"/>
        <v>1.9888888888888889</v>
      </c>
      <c r="U242" s="1">
        <f t="shared" si="139"/>
        <v>2.2777777777777777</v>
      </c>
      <c r="V242" s="1">
        <f t="shared" si="139"/>
        <v>2.4944444444444445</v>
      </c>
      <c r="W242" s="1">
        <f t="shared" si="139"/>
        <v>2.7888888888888888</v>
      </c>
      <c r="X242" s="1">
        <f t="shared" si="139"/>
        <v>3.0027777777777778</v>
      </c>
      <c r="Y242" s="1">
        <f t="shared" si="139"/>
        <v>3.2916666666666665</v>
      </c>
      <c r="Z242" s="1">
        <f t="shared" si="139"/>
        <v>3.5083333333333333</v>
      </c>
      <c r="AA242" s="1">
        <f t="shared" si="139"/>
        <v>3.8027777777777776</v>
      </c>
      <c r="AB242" s="1">
        <f t="shared" si="139"/>
        <v>4.0166666666666666</v>
      </c>
      <c r="AC242" s="1">
        <f t="shared" si="139"/>
        <v>4.3083333333333336</v>
      </c>
      <c r="AD242" s="1">
        <f t="shared" si="139"/>
        <v>4.5250000000000004</v>
      </c>
      <c r="AE242" s="1">
        <f t="shared" si="139"/>
        <v>4.5250000000000004</v>
      </c>
      <c r="AF242" s="3">
        <f t="shared" si="139"/>
        <v>4.8194444444444446</v>
      </c>
      <c r="AG242" s="1">
        <f t="shared" si="135"/>
        <v>5.0333333333333332</v>
      </c>
      <c r="AH242" s="1">
        <f t="shared" si="135"/>
        <v>5.322222222222222</v>
      </c>
      <c r="AI242" s="1">
        <f t="shared" si="135"/>
        <v>5.322222222222222</v>
      </c>
      <c r="AJ242" s="1">
        <f t="shared" si="135"/>
        <v>5.5388888888888888</v>
      </c>
      <c r="AK242" s="1">
        <f t="shared" si="135"/>
        <v>5.5388888888888888</v>
      </c>
      <c r="AL242" s="1">
        <f t="shared" si="135"/>
        <v>6.0472222222222225</v>
      </c>
      <c r="AM242" s="1">
        <f t="shared" si="135"/>
        <v>6.552777777777778</v>
      </c>
      <c r="AN242" s="1">
        <f t="shared" si="135"/>
        <v>6.552777777777778</v>
      </c>
      <c r="AO242" s="1">
        <f t="shared" si="135"/>
        <v>7.0611111111111109</v>
      </c>
      <c r="AP242" s="1">
        <f t="shared" si="135"/>
        <v>7.5666666666666664</v>
      </c>
      <c r="AQ242" s="1">
        <f t="shared" si="135"/>
        <v>7.5666666666666664</v>
      </c>
      <c r="AR242" s="1">
        <f t="shared" si="135"/>
        <v>8.0749999999999993</v>
      </c>
      <c r="AS242" s="1">
        <f t="shared" si="135"/>
        <v>8.5833333333333339</v>
      </c>
      <c r="AT242" s="1">
        <f t="shared" si="135"/>
        <v>9.0916666666666668</v>
      </c>
      <c r="AU242" s="1">
        <f t="shared" si="135"/>
        <v>9.5972222222222214</v>
      </c>
      <c r="AV242" s="1">
        <f t="shared" si="135"/>
        <v>9.5972222222222214</v>
      </c>
      <c r="AW242" s="1">
        <f t="shared" ref="AW242:AW251" si="140">(AW$1-$B242)/360</f>
        <v>14.16388888888889</v>
      </c>
      <c r="AX242" s="1">
        <f t="shared" si="136"/>
        <v>14.669444444444444</v>
      </c>
      <c r="AY242" s="1">
        <f t="shared" si="136"/>
        <v>15.177777777777777</v>
      </c>
      <c r="AZ242" s="1">
        <f t="shared" si="136"/>
        <v>15.683333333333334</v>
      </c>
      <c r="BA242" s="1">
        <f t="shared" si="136"/>
        <v>16.191666666666666</v>
      </c>
      <c r="BB242" s="1">
        <f t="shared" si="136"/>
        <v>16.7</v>
      </c>
      <c r="BC242" s="1">
        <f t="shared" si="136"/>
        <v>17.208333333333332</v>
      </c>
      <c r="BD242" s="1">
        <f t="shared" si="136"/>
        <v>17.713888888888889</v>
      </c>
      <c r="BE242" s="1">
        <f t="shared" si="136"/>
        <v>17.713888888888889</v>
      </c>
      <c r="BF242" s="1">
        <f t="shared" si="136"/>
        <v>26.338888888888889</v>
      </c>
      <c r="BG242" s="1">
        <f t="shared" si="136"/>
        <v>26.844444444444445</v>
      </c>
      <c r="BH242" s="1">
        <f t="shared" si="136"/>
        <v>27.352777777777778</v>
      </c>
      <c r="BI242" s="1">
        <f t="shared" si="136"/>
        <v>27.858333333333334</v>
      </c>
      <c r="BJ242" s="1">
        <f t="shared" si="136"/>
        <v>28.366666666666667</v>
      </c>
      <c r="BK242" s="1">
        <f t="shared" si="136"/>
        <v>28.875</v>
      </c>
      <c r="BL242" s="1">
        <f t="shared" si="136"/>
        <v>29.383333333333333</v>
      </c>
      <c r="BM242" s="1">
        <f t="shared" si="136"/>
        <v>29.888888888888889</v>
      </c>
      <c r="BN242" s="1">
        <f t="shared" ref="BN242:BN251" si="141">(BN$1-$B242)/360</f>
        <v>30.397222222222222</v>
      </c>
      <c r="BO242" s="1">
        <f t="shared" si="137"/>
        <v>30.397222222222222</v>
      </c>
      <c r="BP242" s="1">
        <f t="shared" si="137"/>
        <v>30.902777777777779</v>
      </c>
      <c r="BQ242" s="1">
        <f t="shared" si="137"/>
        <v>31.411111111111111</v>
      </c>
      <c r="BR242" s="1">
        <f t="shared" si="137"/>
        <v>31.916666666666668</v>
      </c>
      <c r="BS242" s="1">
        <f t="shared" si="137"/>
        <v>32.424999999999997</v>
      </c>
      <c r="BT242" s="1">
        <f t="shared" si="137"/>
        <v>32.93333333333333</v>
      </c>
      <c r="BU242" s="1">
        <f t="shared" si="137"/>
        <v>33.44166666666667</v>
      </c>
      <c r="BV242" s="1">
        <f t="shared" si="137"/>
        <v>33.44166666666667</v>
      </c>
      <c r="BW242" s="1">
        <f t="shared" si="137"/>
        <v>33.947222222222223</v>
      </c>
      <c r="BX242" s="1">
        <f t="shared" si="137"/>
        <v>34.455555555555556</v>
      </c>
      <c r="BY242" s="1">
        <f t="shared" si="137"/>
        <v>34.961111111111109</v>
      </c>
      <c r="BZ242" s="1">
        <f t="shared" si="137"/>
        <v>35.469444444444441</v>
      </c>
      <c r="CA242" s="1">
        <f t="shared" si="137"/>
        <v>35.975000000000001</v>
      </c>
      <c r="CB242" s="1">
        <f t="shared" si="137"/>
        <v>36.483333333333334</v>
      </c>
      <c r="CC242" s="1">
        <f t="shared" si="137"/>
        <v>36.991666666666667</v>
      </c>
      <c r="CD242" s="1">
        <f t="shared" si="137"/>
        <v>37.5</v>
      </c>
      <c r="CE242" s="1">
        <f t="shared" ref="CE242:CR251" si="142">(CE$1-$B242)/360</f>
        <v>38.005555555555553</v>
      </c>
      <c r="CF242" s="1">
        <f t="shared" si="142"/>
        <v>38.513888888888886</v>
      </c>
      <c r="CG242" s="1">
        <f t="shared" si="142"/>
        <v>39.019444444444446</v>
      </c>
      <c r="CH242" s="1">
        <f t="shared" si="142"/>
        <v>39.527777777777779</v>
      </c>
      <c r="CI242" s="1">
        <f t="shared" si="142"/>
        <v>40.033333333333331</v>
      </c>
      <c r="CJ242" s="1">
        <f t="shared" si="142"/>
        <v>40.541666666666664</v>
      </c>
      <c r="CK242" s="1">
        <f t="shared" si="142"/>
        <v>41.05</v>
      </c>
      <c r="CL242" s="1">
        <f t="shared" si="142"/>
        <v>41.55833333333333</v>
      </c>
      <c r="CM242" s="1">
        <f t="shared" si="142"/>
        <v>42.06388888888889</v>
      </c>
      <c r="CN242" s="1">
        <f t="shared" si="142"/>
        <v>42.572222222222223</v>
      </c>
      <c r="CO242" s="1">
        <f t="shared" si="142"/>
        <v>43.077777777777776</v>
      </c>
      <c r="CP242" s="1">
        <f t="shared" si="142"/>
        <v>43.586111111111109</v>
      </c>
      <c r="CQ242" s="1">
        <f t="shared" si="142"/>
        <v>44.091666666666669</v>
      </c>
      <c r="CR242" s="1">
        <f t="shared" si="142"/>
        <v>44.6</v>
      </c>
      <c r="CS242" s="1">
        <f t="shared" si="138"/>
        <v>45.108333333333334</v>
      </c>
      <c r="CT242" s="1">
        <f t="shared" si="138"/>
        <v>45.616666666666667</v>
      </c>
      <c r="CU242" s="1">
        <f t="shared" si="138"/>
        <v>46.12222222222222</v>
      </c>
      <c r="CV242" s="1">
        <f t="shared" si="138"/>
        <v>46.630555555555553</v>
      </c>
      <c r="CW242" s="1">
        <f t="shared" si="138"/>
        <v>47.136111111111113</v>
      </c>
      <c r="CX242" s="1">
        <f t="shared" si="138"/>
        <v>47.644444444444446</v>
      </c>
      <c r="CY242" s="1">
        <f t="shared" si="138"/>
        <v>48.15</v>
      </c>
      <c r="CZ242" s="1">
        <f t="shared" si="138"/>
        <v>48.658333333333331</v>
      </c>
      <c r="DA242" s="1">
        <f t="shared" si="138"/>
        <v>49.166666666666664</v>
      </c>
      <c r="DB242" s="1">
        <f t="shared" si="138"/>
        <v>49.674999999999997</v>
      </c>
      <c r="DC242" s="1">
        <f t="shared" si="138"/>
        <v>49.674999999999997</v>
      </c>
    </row>
    <row r="243" spans="1:107" x14ac:dyDescent="0.25">
      <c r="A243">
        <f t="shared" si="114"/>
        <v>5</v>
      </c>
      <c r="B243" s="2">
        <f>yields_BRUTE!B243</f>
        <v>42355</v>
      </c>
      <c r="C243" s="1">
        <f t="shared" ref="C243:R251" si="143">(C$1-$B243)/360</f>
        <v>-0.80833333333333335</v>
      </c>
      <c r="D243" s="1">
        <f t="shared" si="143"/>
        <v>-0.76944444444444449</v>
      </c>
      <c r="E243" s="1">
        <f t="shared" si="143"/>
        <v>-0.55277777777777781</v>
      </c>
      <c r="F243" s="1">
        <f t="shared" si="143"/>
        <v>-0.29722222222222222</v>
      </c>
      <c r="G243" s="1">
        <f t="shared" si="143"/>
        <v>-0.25833333333333336</v>
      </c>
      <c r="H243" s="1">
        <f t="shared" si="143"/>
        <v>-4.4444444444444446E-2</v>
      </c>
      <c r="I243" s="1">
        <f t="shared" si="143"/>
        <v>-4.4444444444444446E-2</v>
      </c>
      <c r="J243" s="1">
        <f t="shared" si="143"/>
        <v>0.20833333333333334</v>
      </c>
      <c r="K243" s="1">
        <f t="shared" si="143"/>
        <v>0.24722222222222223</v>
      </c>
      <c r="L243" s="1">
        <f t="shared" si="143"/>
        <v>0.46388888888888891</v>
      </c>
      <c r="M243" s="1">
        <f t="shared" si="143"/>
        <v>0.71944444444444444</v>
      </c>
      <c r="N243" s="1">
        <f t="shared" si="143"/>
        <v>0.71944444444444444</v>
      </c>
      <c r="O243" s="1">
        <f t="shared" si="143"/>
        <v>0.7583333333333333</v>
      </c>
      <c r="P243" s="1">
        <f t="shared" si="143"/>
        <v>0.97222222222222221</v>
      </c>
      <c r="Q243" s="1">
        <f t="shared" si="143"/>
        <v>1.2611111111111111</v>
      </c>
      <c r="R243" s="1">
        <f t="shared" si="143"/>
        <v>1.4777777777777779</v>
      </c>
      <c r="S243" s="1">
        <f t="shared" si="139"/>
        <v>1.7722222222222221</v>
      </c>
      <c r="T243" s="1">
        <f t="shared" si="139"/>
        <v>1.9861111111111112</v>
      </c>
      <c r="U243" s="1">
        <f t="shared" si="139"/>
        <v>2.2749999999999999</v>
      </c>
      <c r="V243" s="1">
        <f t="shared" si="139"/>
        <v>2.4916666666666667</v>
      </c>
      <c r="W243" s="1">
        <f t="shared" si="139"/>
        <v>2.786111111111111</v>
      </c>
      <c r="X243" s="1">
        <f t="shared" si="139"/>
        <v>3</v>
      </c>
      <c r="Y243" s="1">
        <f t="shared" si="139"/>
        <v>3.2888888888888888</v>
      </c>
      <c r="Z243" s="1">
        <f t="shared" si="139"/>
        <v>3.5055555555555555</v>
      </c>
      <c r="AA243" s="1">
        <f t="shared" si="139"/>
        <v>3.8</v>
      </c>
      <c r="AB243" s="1">
        <f t="shared" si="139"/>
        <v>4.0138888888888893</v>
      </c>
      <c r="AC243" s="1">
        <f t="shared" si="139"/>
        <v>4.3055555555555554</v>
      </c>
      <c r="AD243" s="1">
        <f t="shared" si="139"/>
        <v>4.5222222222222221</v>
      </c>
      <c r="AE243" s="1">
        <f t="shared" si="139"/>
        <v>4.5222222222222221</v>
      </c>
      <c r="AF243" s="3">
        <f t="shared" si="139"/>
        <v>4.8166666666666664</v>
      </c>
      <c r="AG243" s="1">
        <f t="shared" si="135"/>
        <v>5.0305555555555559</v>
      </c>
      <c r="AH243" s="1">
        <f t="shared" si="135"/>
        <v>5.3194444444444446</v>
      </c>
      <c r="AI243" s="1">
        <f t="shared" si="135"/>
        <v>5.3194444444444446</v>
      </c>
      <c r="AJ243" s="1">
        <f t="shared" si="135"/>
        <v>5.5361111111111114</v>
      </c>
      <c r="AK243" s="1">
        <f t="shared" si="135"/>
        <v>5.5361111111111114</v>
      </c>
      <c r="AL243" s="1">
        <f t="shared" si="135"/>
        <v>6.0444444444444443</v>
      </c>
      <c r="AM243" s="1">
        <f t="shared" si="135"/>
        <v>6.55</v>
      </c>
      <c r="AN243" s="1">
        <f t="shared" si="135"/>
        <v>6.55</v>
      </c>
      <c r="AO243" s="1">
        <f t="shared" si="135"/>
        <v>7.0583333333333336</v>
      </c>
      <c r="AP243" s="1">
        <f t="shared" si="135"/>
        <v>7.5638888888888891</v>
      </c>
      <c r="AQ243" s="1">
        <f t="shared" si="135"/>
        <v>7.5638888888888891</v>
      </c>
      <c r="AR243" s="1">
        <f t="shared" si="135"/>
        <v>8.0722222222222229</v>
      </c>
      <c r="AS243" s="1">
        <f t="shared" si="135"/>
        <v>8.5805555555555557</v>
      </c>
      <c r="AT243" s="1">
        <f t="shared" si="135"/>
        <v>9.0888888888888886</v>
      </c>
      <c r="AU243" s="1">
        <f t="shared" si="135"/>
        <v>9.594444444444445</v>
      </c>
      <c r="AV243" s="1">
        <f t="shared" si="135"/>
        <v>9.594444444444445</v>
      </c>
      <c r="AW243" s="1">
        <f t="shared" si="140"/>
        <v>14.161111111111111</v>
      </c>
      <c r="AX243" s="1">
        <f t="shared" si="136"/>
        <v>14.666666666666666</v>
      </c>
      <c r="AY243" s="1">
        <f t="shared" si="136"/>
        <v>15.175000000000001</v>
      </c>
      <c r="AZ243" s="1">
        <f t="shared" si="136"/>
        <v>15.680555555555555</v>
      </c>
      <c r="BA243" s="1">
        <f t="shared" si="136"/>
        <v>16.18888888888889</v>
      </c>
      <c r="BB243" s="1">
        <f t="shared" si="136"/>
        <v>16.697222222222223</v>
      </c>
      <c r="BC243" s="1">
        <f t="shared" si="136"/>
        <v>17.205555555555556</v>
      </c>
      <c r="BD243" s="1">
        <f t="shared" si="136"/>
        <v>17.711111111111112</v>
      </c>
      <c r="BE243" s="1">
        <f t="shared" si="136"/>
        <v>17.711111111111112</v>
      </c>
      <c r="BF243" s="1">
        <f t="shared" si="136"/>
        <v>26.336111111111112</v>
      </c>
      <c r="BG243" s="1">
        <f t="shared" si="136"/>
        <v>26.841666666666665</v>
      </c>
      <c r="BH243" s="1">
        <f t="shared" si="136"/>
        <v>27.35</v>
      </c>
      <c r="BI243" s="1">
        <f t="shared" si="136"/>
        <v>27.855555555555554</v>
      </c>
      <c r="BJ243" s="1">
        <f t="shared" si="136"/>
        <v>28.363888888888887</v>
      </c>
      <c r="BK243" s="1">
        <f t="shared" si="136"/>
        <v>28.872222222222224</v>
      </c>
      <c r="BL243" s="1">
        <f t="shared" si="136"/>
        <v>29.380555555555556</v>
      </c>
      <c r="BM243" s="1">
        <f t="shared" si="136"/>
        <v>29.886111111111113</v>
      </c>
      <c r="BN243" s="1">
        <f t="shared" si="141"/>
        <v>30.394444444444446</v>
      </c>
      <c r="BO243" s="1">
        <f t="shared" si="137"/>
        <v>30.394444444444446</v>
      </c>
      <c r="BP243" s="1">
        <f t="shared" si="137"/>
        <v>30.9</v>
      </c>
      <c r="BQ243" s="1">
        <f t="shared" si="137"/>
        <v>31.408333333333335</v>
      </c>
      <c r="BR243" s="1">
        <f t="shared" si="137"/>
        <v>31.913888888888888</v>
      </c>
      <c r="BS243" s="1">
        <f t="shared" si="137"/>
        <v>32.422222222222224</v>
      </c>
      <c r="BT243" s="1">
        <f t="shared" si="137"/>
        <v>32.930555555555557</v>
      </c>
      <c r="BU243" s="1">
        <f t="shared" si="137"/>
        <v>33.43888888888889</v>
      </c>
      <c r="BV243" s="1">
        <f t="shared" si="137"/>
        <v>33.43888888888889</v>
      </c>
      <c r="BW243" s="1">
        <f t="shared" si="137"/>
        <v>33.944444444444443</v>
      </c>
      <c r="BX243" s="1">
        <f t="shared" si="137"/>
        <v>34.452777777777776</v>
      </c>
      <c r="BY243" s="1">
        <f t="shared" si="137"/>
        <v>34.958333333333336</v>
      </c>
      <c r="BZ243" s="1">
        <f t="shared" si="137"/>
        <v>35.466666666666669</v>
      </c>
      <c r="CA243" s="1">
        <f t="shared" si="137"/>
        <v>35.972222222222221</v>
      </c>
      <c r="CB243" s="1">
        <f t="shared" si="137"/>
        <v>36.480555555555554</v>
      </c>
      <c r="CC243" s="1">
        <f t="shared" si="137"/>
        <v>36.988888888888887</v>
      </c>
      <c r="CD243" s="1">
        <f t="shared" si="137"/>
        <v>37.49722222222222</v>
      </c>
      <c r="CE243" s="1">
        <f t="shared" si="142"/>
        <v>38.00277777777778</v>
      </c>
      <c r="CF243" s="1">
        <f t="shared" si="142"/>
        <v>38.511111111111113</v>
      </c>
      <c r="CG243" s="1">
        <f t="shared" si="142"/>
        <v>39.016666666666666</v>
      </c>
      <c r="CH243" s="1">
        <f t="shared" si="142"/>
        <v>39.524999999999999</v>
      </c>
      <c r="CI243" s="1">
        <f t="shared" si="142"/>
        <v>40.030555555555559</v>
      </c>
      <c r="CJ243" s="1">
        <f t="shared" si="142"/>
        <v>40.538888888888891</v>
      </c>
      <c r="CK243" s="1">
        <f t="shared" si="142"/>
        <v>41.047222222222224</v>
      </c>
      <c r="CL243" s="1">
        <f t="shared" si="142"/>
        <v>41.555555555555557</v>
      </c>
      <c r="CM243" s="1">
        <f t="shared" si="142"/>
        <v>42.06111111111111</v>
      </c>
      <c r="CN243" s="1">
        <f t="shared" si="142"/>
        <v>42.569444444444443</v>
      </c>
      <c r="CO243" s="1">
        <f t="shared" si="142"/>
        <v>43.075000000000003</v>
      </c>
      <c r="CP243" s="1">
        <f t="shared" si="142"/>
        <v>43.583333333333336</v>
      </c>
      <c r="CQ243" s="1">
        <f t="shared" si="142"/>
        <v>44.088888888888889</v>
      </c>
      <c r="CR243" s="1">
        <f t="shared" si="142"/>
        <v>44.597222222222221</v>
      </c>
      <c r="CS243" s="1">
        <f t="shared" si="138"/>
        <v>45.105555555555554</v>
      </c>
      <c r="CT243" s="1">
        <f t="shared" si="138"/>
        <v>45.613888888888887</v>
      </c>
      <c r="CU243" s="1">
        <f t="shared" si="138"/>
        <v>46.119444444444447</v>
      </c>
      <c r="CV243" s="1">
        <f t="shared" si="138"/>
        <v>46.62777777777778</v>
      </c>
      <c r="CW243" s="1">
        <f t="shared" si="138"/>
        <v>47.133333333333333</v>
      </c>
      <c r="CX243" s="1">
        <f t="shared" si="138"/>
        <v>47.641666666666666</v>
      </c>
      <c r="CY243" s="1">
        <f t="shared" si="138"/>
        <v>48.147222222222226</v>
      </c>
      <c r="CZ243" s="1">
        <f t="shared" si="138"/>
        <v>48.655555555555559</v>
      </c>
      <c r="DA243" s="1">
        <f t="shared" si="138"/>
        <v>49.163888888888891</v>
      </c>
      <c r="DB243" s="1">
        <f t="shared" si="138"/>
        <v>49.672222222222224</v>
      </c>
      <c r="DC243" s="1">
        <f t="shared" si="138"/>
        <v>49.672222222222224</v>
      </c>
    </row>
    <row r="244" spans="1:107" x14ac:dyDescent="0.25">
      <c r="A244">
        <f t="shared" si="114"/>
        <v>6</v>
      </c>
      <c r="B244" s="2">
        <f>yields_BRUTE!B244</f>
        <v>42356</v>
      </c>
      <c r="C244" s="1">
        <f t="shared" si="143"/>
        <v>-0.81111111111111112</v>
      </c>
      <c r="D244" s="1">
        <f t="shared" si="143"/>
        <v>-0.77222222222222225</v>
      </c>
      <c r="E244" s="1">
        <f t="shared" si="143"/>
        <v>-0.55555555555555558</v>
      </c>
      <c r="F244" s="1">
        <f t="shared" si="143"/>
        <v>-0.3</v>
      </c>
      <c r="G244" s="1">
        <f t="shared" si="143"/>
        <v>-0.26111111111111113</v>
      </c>
      <c r="H244" s="1">
        <f t="shared" si="143"/>
        <v>-4.7222222222222221E-2</v>
      </c>
      <c r="I244" s="1">
        <f t="shared" si="143"/>
        <v>-4.7222222222222221E-2</v>
      </c>
      <c r="J244" s="1">
        <f t="shared" si="143"/>
        <v>0.20555555555555555</v>
      </c>
      <c r="K244" s="1">
        <f t="shared" si="143"/>
        <v>0.24444444444444444</v>
      </c>
      <c r="L244" s="1">
        <f t="shared" si="143"/>
        <v>0.46111111111111114</v>
      </c>
      <c r="M244" s="1">
        <f t="shared" si="143"/>
        <v>0.71666666666666667</v>
      </c>
      <c r="N244" s="1">
        <f t="shared" si="143"/>
        <v>0.71666666666666667</v>
      </c>
      <c r="O244" s="1">
        <f t="shared" si="143"/>
        <v>0.75555555555555554</v>
      </c>
      <c r="P244" s="1">
        <f t="shared" si="143"/>
        <v>0.96944444444444444</v>
      </c>
      <c r="Q244" s="1">
        <f t="shared" si="143"/>
        <v>1.2583333333333333</v>
      </c>
      <c r="R244" s="1">
        <f t="shared" si="143"/>
        <v>1.4750000000000001</v>
      </c>
      <c r="S244" s="1">
        <f t="shared" si="139"/>
        <v>1.7694444444444444</v>
      </c>
      <c r="T244" s="1">
        <f t="shared" si="139"/>
        <v>1.9833333333333334</v>
      </c>
      <c r="U244" s="1">
        <f t="shared" si="139"/>
        <v>2.2722222222222221</v>
      </c>
      <c r="V244" s="1">
        <f t="shared" si="139"/>
        <v>2.4888888888888889</v>
      </c>
      <c r="W244" s="1">
        <f t="shared" si="139"/>
        <v>2.7833333333333332</v>
      </c>
      <c r="X244" s="1">
        <f t="shared" si="139"/>
        <v>2.9972222222222222</v>
      </c>
      <c r="Y244" s="1">
        <f t="shared" si="139"/>
        <v>3.286111111111111</v>
      </c>
      <c r="Z244" s="1">
        <f t="shared" si="139"/>
        <v>3.5027777777777778</v>
      </c>
      <c r="AA244" s="1">
        <f t="shared" si="139"/>
        <v>3.7972222222222221</v>
      </c>
      <c r="AB244" s="1">
        <f t="shared" si="139"/>
        <v>4.0111111111111111</v>
      </c>
      <c r="AC244" s="1">
        <f t="shared" si="139"/>
        <v>4.302777777777778</v>
      </c>
      <c r="AD244" s="1">
        <f t="shared" si="139"/>
        <v>4.5194444444444448</v>
      </c>
      <c r="AE244" s="1">
        <f t="shared" si="139"/>
        <v>4.5194444444444448</v>
      </c>
      <c r="AF244" s="3">
        <f t="shared" si="139"/>
        <v>4.8138888888888891</v>
      </c>
      <c r="AG244" s="1">
        <f t="shared" si="135"/>
        <v>5.0277777777777777</v>
      </c>
      <c r="AH244" s="1">
        <f t="shared" si="135"/>
        <v>5.3166666666666664</v>
      </c>
      <c r="AI244" s="1">
        <f t="shared" si="135"/>
        <v>5.3166666666666664</v>
      </c>
      <c r="AJ244" s="1">
        <f t="shared" si="135"/>
        <v>5.5333333333333332</v>
      </c>
      <c r="AK244" s="1">
        <f t="shared" si="135"/>
        <v>5.5333333333333332</v>
      </c>
      <c r="AL244" s="1">
        <f t="shared" si="135"/>
        <v>6.041666666666667</v>
      </c>
      <c r="AM244" s="1">
        <f t="shared" si="135"/>
        <v>6.5472222222222225</v>
      </c>
      <c r="AN244" s="1">
        <f t="shared" si="135"/>
        <v>6.5472222222222225</v>
      </c>
      <c r="AO244" s="1">
        <f t="shared" si="135"/>
        <v>7.0555555555555554</v>
      </c>
      <c r="AP244" s="1">
        <f t="shared" si="135"/>
        <v>7.5611111111111109</v>
      </c>
      <c r="AQ244" s="1">
        <f t="shared" si="135"/>
        <v>7.5611111111111109</v>
      </c>
      <c r="AR244" s="1">
        <f t="shared" si="135"/>
        <v>8.0694444444444446</v>
      </c>
      <c r="AS244" s="1">
        <f t="shared" si="135"/>
        <v>8.5777777777777775</v>
      </c>
      <c r="AT244" s="1">
        <f t="shared" si="135"/>
        <v>9.0861111111111104</v>
      </c>
      <c r="AU244" s="1">
        <f t="shared" si="135"/>
        <v>9.5916666666666668</v>
      </c>
      <c r="AV244" s="1">
        <f t="shared" si="135"/>
        <v>9.5916666666666668</v>
      </c>
      <c r="AW244" s="1">
        <f t="shared" si="140"/>
        <v>14.158333333333333</v>
      </c>
      <c r="AX244" s="1">
        <f t="shared" si="136"/>
        <v>14.66388888888889</v>
      </c>
      <c r="AY244" s="1">
        <f t="shared" si="136"/>
        <v>15.172222222222222</v>
      </c>
      <c r="AZ244" s="1">
        <f t="shared" si="136"/>
        <v>15.677777777777777</v>
      </c>
      <c r="BA244" s="1">
        <f t="shared" si="136"/>
        <v>16.18611111111111</v>
      </c>
      <c r="BB244" s="1">
        <f t="shared" si="136"/>
        <v>16.694444444444443</v>
      </c>
      <c r="BC244" s="1">
        <f t="shared" si="136"/>
        <v>17.202777777777779</v>
      </c>
      <c r="BD244" s="1">
        <f t="shared" si="136"/>
        <v>17.708333333333332</v>
      </c>
      <c r="BE244" s="1">
        <f t="shared" si="136"/>
        <v>17.708333333333332</v>
      </c>
      <c r="BF244" s="1">
        <f t="shared" si="136"/>
        <v>26.333333333333332</v>
      </c>
      <c r="BG244" s="1">
        <f t="shared" si="136"/>
        <v>26.838888888888889</v>
      </c>
      <c r="BH244" s="1">
        <f t="shared" si="136"/>
        <v>27.347222222222221</v>
      </c>
      <c r="BI244" s="1">
        <f t="shared" si="136"/>
        <v>27.852777777777778</v>
      </c>
      <c r="BJ244" s="1">
        <f t="shared" si="136"/>
        <v>28.361111111111111</v>
      </c>
      <c r="BK244" s="1">
        <f t="shared" si="136"/>
        <v>28.869444444444444</v>
      </c>
      <c r="BL244" s="1">
        <f t="shared" si="136"/>
        <v>29.377777777777776</v>
      </c>
      <c r="BM244" s="1">
        <f t="shared" si="136"/>
        <v>29.883333333333333</v>
      </c>
      <c r="BN244" s="1">
        <f t="shared" si="141"/>
        <v>30.391666666666666</v>
      </c>
      <c r="BO244" s="1">
        <f t="shared" si="137"/>
        <v>30.391666666666666</v>
      </c>
      <c r="BP244" s="1">
        <f t="shared" si="137"/>
        <v>30.897222222222222</v>
      </c>
      <c r="BQ244" s="1">
        <f t="shared" si="137"/>
        <v>31.405555555555555</v>
      </c>
      <c r="BR244" s="1">
        <f t="shared" si="137"/>
        <v>31.911111111111111</v>
      </c>
      <c r="BS244" s="1">
        <f t="shared" si="137"/>
        <v>32.419444444444444</v>
      </c>
      <c r="BT244" s="1">
        <f t="shared" si="137"/>
        <v>32.927777777777777</v>
      </c>
      <c r="BU244" s="1">
        <f t="shared" si="137"/>
        <v>33.43611111111111</v>
      </c>
      <c r="BV244" s="1">
        <f t="shared" si="137"/>
        <v>33.43611111111111</v>
      </c>
      <c r="BW244" s="1">
        <f t="shared" si="137"/>
        <v>33.94166666666667</v>
      </c>
      <c r="BX244" s="1">
        <f t="shared" si="137"/>
        <v>34.450000000000003</v>
      </c>
      <c r="BY244" s="1">
        <f t="shared" si="137"/>
        <v>34.955555555555556</v>
      </c>
      <c r="BZ244" s="1">
        <f t="shared" si="137"/>
        <v>35.463888888888889</v>
      </c>
      <c r="CA244" s="1">
        <f t="shared" si="137"/>
        <v>35.969444444444441</v>
      </c>
      <c r="CB244" s="1">
        <f t="shared" si="137"/>
        <v>36.477777777777774</v>
      </c>
      <c r="CC244" s="1">
        <f t="shared" si="137"/>
        <v>36.986111111111114</v>
      </c>
      <c r="CD244" s="1">
        <f t="shared" si="137"/>
        <v>37.494444444444447</v>
      </c>
      <c r="CE244" s="1">
        <f t="shared" si="142"/>
        <v>38</v>
      </c>
      <c r="CF244" s="1">
        <f t="shared" si="142"/>
        <v>38.508333333333333</v>
      </c>
      <c r="CG244" s="1">
        <f t="shared" si="142"/>
        <v>39.013888888888886</v>
      </c>
      <c r="CH244" s="1">
        <f t="shared" si="142"/>
        <v>39.522222222222226</v>
      </c>
      <c r="CI244" s="1">
        <f t="shared" si="142"/>
        <v>40.027777777777779</v>
      </c>
      <c r="CJ244" s="1">
        <f t="shared" si="142"/>
        <v>40.536111111111111</v>
      </c>
      <c r="CK244" s="1">
        <f t="shared" si="142"/>
        <v>41.044444444444444</v>
      </c>
      <c r="CL244" s="1">
        <f t="shared" si="142"/>
        <v>41.552777777777777</v>
      </c>
      <c r="CM244" s="1">
        <f t="shared" si="142"/>
        <v>42.05833333333333</v>
      </c>
      <c r="CN244" s="1">
        <f t="shared" si="142"/>
        <v>42.56666666666667</v>
      </c>
      <c r="CO244" s="1">
        <f t="shared" si="142"/>
        <v>43.072222222222223</v>
      </c>
      <c r="CP244" s="1">
        <f t="shared" si="142"/>
        <v>43.580555555555556</v>
      </c>
      <c r="CQ244" s="1">
        <f t="shared" si="142"/>
        <v>44.086111111111109</v>
      </c>
      <c r="CR244" s="1">
        <f t="shared" si="142"/>
        <v>44.594444444444441</v>
      </c>
      <c r="CS244" s="1">
        <f t="shared" si="138"/>
        <v>45.102777777777774</v>
      </c>
      <c r="CT244" s="1">
        <f t="shared" si="138"/>
        <v>45.611111111111114</v>
      </c>
      <c r="CU244" s="1">
        <f t="shared" si="138"/>
        <v>46.116666666666667</v>
      </c>
      <c r="CV244" s="1">
        <f t="shared" si="138"/>
        <v>46.625</v>
      </c>
      <c r="CW244" s="1">
        <f t="shared" si="138"/>
        <v>47.130555555555553</v>
      </c>
      <c r="CX244" s="1">
        <f t="shared" si="138"/>
        <v>47.638888888888886</v>
      </c>
      <c r="CY244" s="1">
        <f t="shared" si="138"/>
        <v>48.144444444444446</v>
      </c>
      <c r="CZ244" s="1">
        <f t="shared" si="138"/>
        <v>48.652777777777779</v>
      </c>
      <c r="DA244" s="1">
        <f t="shared" si="138"/>
        <v>49.161111111111111</v>
      </c>
      <c r="DB244" s="1">
        <f t="shared" si="138"/>
        <v>49.669444444444444</v>
      </c>
      <c r="DC244" s="1">
        <f t="shared" si="138"/>
        <v>49.669444444444444</v>
      </c>
    </row>
    <row r="245" spans="1:107" x14ac:dyDescent="0.25">
      <c r="A245">
        <f t="shared" si="114"/>
        <v>2</v>
      </c>
      <c r="B245" s="2">
        <f>yields_BRUTE!B245</f>
        <v>42359</v>
      </c>
      <c r="C245" s="1">
        <f t="shared" si="143"/>
        <v>-0.81944444444444442</v>
      </c>
      <c r="D245" s="1">
        <f t="shared" si="143"/>
        <v>-0.78055555555555556</v>
      </c>
      <c r="E245" s="1">
        <f t="shared" si="143"/>
        <v>-0.56388888888888888</v>
      </c>
      <c r="F245" s="1">
        <f t="shared" si="143"/>
        <v>-0.30833333333333335</v>
      </c>
      <c r="G245" s="1">
        <f t="shared" si="143"/>
        <v>-0.26944444444444443</v>
      </c>
      <c r="H245" s="1">
        <f t="shared" si="143"/>
        <v>-5.5555555555555552E-2</v>
      </c>
      <c r="I245" s="1">
        <f t="shared" si="143"/>
        <v>-5.5555555555555552E-2</v>
      </c>
      <c r="J245" s="1">
        <f t="shared" si="143"/>
        <v>0.19722222222222222</v>
      </c>
      <c r="K245" s="1">
        <f t="shared" si="143"/>
        <v>0.2361111111111111</v>
      </c>
      <c r="L245" s="1">
        <f t="shared" si="143"/>
        <v>0.45277777777777778</v>
      </c>
      <c r="M245" s="1">
        <f t="shared" si="143"/>
        <v>0.70833333333333337</v>
      </c>
      <c r="N245" s="1">
        <f t="shared" si="143"/>
        <v>0.70833333333333337</v>
      </c>
      <c r="O245" s="1">
        <f t="shared" si="143"/>
        <v>0.74722222222222223</v>
      </c>
      <c r="P245" s="1">
        <f t="shared" si="143"/>
        <v>0.96111111111111114</v>
      </c>
      <c r="Q245" s="1">
        <f t="shared" si="143"/>
        <v>1.25</v>
      </c>
      <c r="R245" s="1">
        <f t="shared" si="143"/>
        <v>1.4666666666666666</v>
      </c>
      <c r="S245" s="1">
        <f t="shared" si="139"/>
        <v>1.7611111111111111</v>
      </c>
      <c r="T245" s="1">
        <f t="shared" si="139"/>
        <v>1.9750000000000001</v>
      </c>
      <c r="U245" s="1">
        <f t="shared" si="139"/>
        <v>2.2638888888888888</v>
      </c>
      <c r="V245" s="1">
        <f t="shared" si="139"/>
        <v>2.4805555555555556</v>
      </c>
      <c r="W245" s="1">
        <f t="shared" si="139"/>
        <v>2.7749999999999999</v>
      </c>
      <c r="X245" s="1">
        <f t="shared" si="139"/>
        <v>2.9888888888888889</v>
      </c>
      <c r="Y245" s="1">
        <f t="shared" si="139"/>
        <v>3.2777777777777777</v>
      </c>
      <c r="Z245" s="1">
        <f t="shared" si="139"/>
        <v>3.4944444444444445</v>
      </c>
      <c r="AA245" s="1">
        <f t="shared" si="139"/>
        <v>3.7888888888888888</v>
      </c>
      <c r="AB245" s="1">
        <f t="shared" si="139"/>
        <v>4.0027777777777782</v>
      </c>
      <c r="AC245" s="1">
        <f t="shared" si="139"/>
        <v>4.2944444444444443</v>
      </c>
      <c r="AD245" s="1">
        <f t="shared" si="139"/>
        <v>4.5111111111111111</v>
      </c>
      <c r="AE245" s="1">
        <f t="shared" si="139"/>
        <v>4.5111111111111111</v>
      </c>
      <c r="AF245" s="3">
        <f t="shared" si="139"/>
        <v>4.8055555555555554</v>
      </c>
      <c r="AG245" s="1">
        <f t="shared" si="135"/>
        <v>5.0194444444444448</v>
      </c>
      <c r="AH245" s="1">
        <f t="shared" si="135"/>
        <v>5.3083333333333336</v>
      </c>
      <c r="AI245" s="1">
        <f t="shared" si="135"/>
        <v>5.3083333333333336</v>
      </c>
      <c r="AJ245" s="1">
        <f t="shared" si="135"/>
        <v>5.5250000000000004</v>
      </c>
      <c r="AK245" s="1">
        <f t="shared" si="135"/>
        <v>5.5250000000000004</v>
      </c>
      <c r="AL245" s="1">
        <f t="shared" si="135"/>
        <v>6.0333333333333332</v>
      </c>
      <c r="AM245" s="1">
        <f t="shared" si="135"/>
        <v>6.5388888888888888</v>
      </c>
      <c r="AN245" s="1">
        <f t="shared" si="135"/>
        <v>6.5388888888888888</v>
      </c>
      <c r="AO245" s="1">
        <f t="shared" si="135"/>
        <v>7.0472222222222225</v>
      </c>
      <c r="AP245" s="1">
        <f t="shared" si="135"/>
        <v>7.552777777777778</v>
      </c>
      <c r="AQ245" s="1">
        <f t="shared" si="135"/>
        <v>7.552777777777778</v>
      </c>
      <c r="AR245" s="1">
        <f t="shared" si="135"/>
        <v>8.0611111111111118</v>
      </c>
      <c r="AS245" s="1">
        <f t="shared" si="135"/>
        <v>8.5694444444444446</v>
      </c>
      <c r="AT245" s="1">
        <f t="shared" si="135"/>
        <v>9.0777777777777775</v>
      </c>
      <c r="AU245" s="1">
        <f t="shared" si="135"/>
        <v>9.5833333333333339</v>
      </c>
      <c r="AV245" s="1">
        <f t="shared" si="135"/>
        <v>9.5833333333333339</v>
      </c>
      <c r="AW245" s="1">
        <f t="shared" si="140"/>
        <v>14.15</v>
      </c>
      <c r="AX245" s="1">
        <f t="shared" si="136"/>
        <v>14.655555555555555</v>
      </c>
      <c r="AY245" s="1">
        <f t="shared" si="136"/>
        <v>15.16388888888889</v>
      </c>
      <c r="AZ245" s="1">
        <f t="shared" si="136"/>
        <v>15.669444444444444</v>
      </c>
      <c r="BA245" s="1">
        <f t="shared" si="136"/>
        <v>16.177777777777777</v>
      </c>
      <c r="BB245" s="1">
        <f t="shared" si="136"/>
        <v>16.68611111111111</v>
      </c>
      <c r="BC245" s="1">
        <f t="shared" si="136"/>
        <v>17.194444444444443</v>
      </c>
      <c r="BD245" s="1">
        <f t="shared" si="136"/>
        <v>17.7</v>
      </c>
      <c r="BE245" s="1">
        <f t="shared" si="136"/>
        <v>17.7</v>
      </c>
      <c r="BF245" s="1">
        <f t="shared" si="136"/>
        <v>26.324999999999999</v>
      </c>
      <c r="BG245" s="1">
        <f t="shared" si="136"/>
        <v>26.830555555555556</v>
      </c>
      <c r="BH245" s="1">
        <f t="shared" si="136"/>
        <v>27.338888888888889</v>
      </c>
      <c r="BI245" s="1">
        <f t="shared" si="136"/>
        <v>27.844444444444445</v>
      </c>
      <c r="BJ245" s="1">
        <f t="shared" si="136"/>
        <v>28.352777777777778</v>
      </c>
      <c r="BK245" s="1">
        <f t="shared" si="136"/>
        <v>28.861111111111111</v>
      </c>
      <c r="BL245" s="1">
        <f t="shared" si="136"/>
        <v>29.369444444444444</v>
      </c>
      <c r="BM245" s="1">
        <f t="shared" si="136"/>
        <v>29.875</v>
      </c>
      <c r="BN245" s="1">
        <f t="shared" si="141"/>
        <v>30.383333333333333</v>
      </c>
      <c r="BO245" s="1">
        <f t="shared" si="137"/>
        <v>30.383333333333333</v>
      </c>
      <c r="BP245" s="1">
        <f t="shared" si="137"/>
        <v>30.888888888888889</v>
      </c>
      <c r="BQ245" s="1">
        <f t="shared" si="137"/>
        <v>31.397222222222222</v>
      </c>
      <c r="BR245" s="1">
        <f t="shared" si="137"/>
        <v>31.902777777777779</v>
      </c>
      <c r="BS245" s="1">
        <f t="shared" si="137"/>
        <v>32.411111111111111</v>
      </c>
      <c r="BT245" s="1">
        <f t="shared" si="137"/>
        <v>32.919444444444444</v>
      </c>
      <c r="BU245" s="1">
        <f t="shared" si="137"/>
        <v>33.427777777777777</v>
      </c>
      <c r="BV245" s="1">
        <f t="shared" si="137"/>
        <v>33.427777777777777</v>
      </c>
      <c r="BW245" s="1">
        <f t="shared" si="137"/>
        <v>33.93333333333333</v>
      </c>
      <c r="BX245" s="1">
        <f t="shared" si="137"/>
        <v>34.44166666666667</v>
      </c>
      <c r="BY245" s="1">
        <f t="shared" si="137"/>
        <v>34.947222222222223</v>
      </c>
      <c r="BZ245" s="1">
        <f t="shared" si="137"/>
        <v>35.455555555555556</v>
      </c>
      <c r="CA245" s="1">
        <f t="shared" si="137"/>
        <v>35.961111111111109</v>
      </c>
      <c r="CB245" s="1">
        <f t="shared" si="137"/>
        <v>36.469444444444441</v>
      </c>
      <c r="CC245" s="1">
        <f t="shared" si="137"/>
        <v>36.977777777777774</v>
      </c>
      <c r="CD245" s="1">
        <f t="shared" si="137"/>
        <v>37.486111111111114</v>
      </c>
      <c r="CE245" s="1">
        <f t="shared" si="142"/>
        <v>37.991666666666667</v>
      </c>
      <c r="CF245" s="1">
        <f t="shared" si="142"/>
        <v>38.5</v>
      </c>
      <c r="CG245" s="1">
        <f t="shared" si="142"/>
        <v>39.005555555555553</v>
      </c>
      <c r="CH245" s="1">
        <f t="shared" si="142"/>
        <v>39.513888888888886</v>
      </c>
      <c r="CI245" s="1">
        <f t="shared" si="142"/>
        <v>40.019444444444446</v>
      </c>
      <c r="CJ245" s="1">
        <f t="shared" si="142"/>
        <v>40.527777777777779</v>
      </c>
      <c r="CK245" s="1">
        <f t="shared" si="142"/>
        <v>41.036111111111111</v>
      </c>
      <c r="CL245" s="1">
        <f t="shared" si="142"/>
        <v>41.544444444444444</v>
      </c>
      <c r="CM245" s="1">
        <f t="shared" si="142"/>
        <v>42.05</v>
      </c>
      <c r="CN245" s="1">
        <f t="shared" si="142"/>
        <v>42.55833333333333</v>
      </c>
      <c r="CO245" s="1">
        <f t="shared" si="142"/>
        <v>43.06388888888889</v>
      </c>
      <c r="CP245" s="1">
        <f t="shared" si="142"/>
        <v>43.572222222222223</v>
      </c>
      <c r="CQ245" s="1">
        <f t="shared" si="142"/>
        <v>44.077777777777776</v>
      </c>
      <c r="CR245" s="1">
        <f t="shared" si="142"/>
        <v>44.586111111111109</v>
      </c>
      <c r="CS245" s="1">
        <f t="shared" si="138"/>
        <v>45.094444444444441</v>
      </c>
      <c r="CT245" s="1">
        <f t="shared" si="138"/>
        <v>45.602777777777774</v>
      </c>
      <c r="CU245" s="1">
        <f t="shared" si="138"/>
        <v>46.108333333333334</v>
      </c>
      <c r="CV245" s="1">
        <f t="shared" si="138"/>
        <v>46.616666666666667</v>
      </c>
      <c r="CW245" s="1">
        <f t="shared" si="138"/>
        <v>47.12222222222222</v>
      </c>
      <c r="CX245" s="1">
        <f t="shared" si="138"/>
        <v>47.630555555555553</v>
      </c>
      <c r="CY245" s="1">
        <f t="shared" si="138"/>
        <v>48.136111111111113</v>
      </c>
      <c r="CZ245" s="1">
        <f t="shared" si="138"/>
        <v>48.644444444444446</v>
      </c>
      <c r="DA245" s="1">
        <f t="shared" si="138"/>
        <v>49.152777777777779</v>
      </c>
      <c r="DB245" s="1">
        <f t="shared" si="138"/>
        <v>49.661111111111111</v>
      </c>
      <c r="DC245" s="1">
        <f t="shared" si="138"/>
        <v>49.661111111111111</v>
      </c>
    </row>
    <row r="246" spans="1:107" x14ac:dyDescent="0.25">
      <c r="A246">
        <f t="shared" si="114"/>
        <v>3</v>
      </c>
      <c r="B246" s="2">
        <f>yields_BRUTE!B246</f>
        <v>42360</v>
      </c>
      <c r="C246" s="1">
        <f t="shared" si="143"/>
        <v>-0.82222222222222219</v>
      </c>
      <c r="D246" s="1">
        <f t="shared" si="143"/>
        <v>-0.78333333333333333</v>
      </c>
      <c r="E246" s="1">
        <f t="shared" si="143"/>
        <v>-0.56666666666666665</v>
      </c>
      <c r="F246" s="1">
        <f t="shared" si="143"/>
        <v>-0.31111111111111112</v>
      </c>
      <c r="G246" s="1">
        <f t="shared" si="143"/>
        <v>-0.2722222222222222</v>
      </c>
      <c r="H246" s="1">
        <f t="shared" si="143"/>
        <v>-5.8333333333333334E-2</v>
      </c>
      <c r="I246" s="1">
        <f t="shared" si="143"/>
        <v>-5.8333333333333334E-2</v>
      </c>
      <c r="J246" s="1">
        <f t="shared" si="143"/>
        <v>0.19444444444444445</v>
      </c>
      <c r="K246" s="1">
        <f t="shared" si="143"/>
        <v>0.23333333333333334</v>
      </c>
      <c r="L246" s="1">
        <f t="shared" si="143"/>
        <v>0.45</v>
      </c>
      <c r="M246" s="1">
        <f t="shared" si="143"/>
        <v>0.7055555555555556</v>
      </c>
      <c r="N246" s="1">
        <f t="shared" si="143"/>
        <v>0.7055555555555556</v>
      </c>
      <c r="O246" s="1">
        <f t="shared" si="143"/>
        <v>0.74444444444444446</v>
      </c>
      <c r="P246" s="1">
        <f t="shared" si="143"/>
        <v>0.95833333333333337</v>
      </c>
      <c r="Q246" s="1">
        <f t="shared" si="143"/>
        <v>1.2472222222222222</v>
      </c>
      <c r="R246" s="1">
        <f t="shared" si="143"/>
        <v>1.4638888888888888</v>
      </c>
      <c r="S246" s="1">
        <f t="shared" si="139"/>
        <v>1.7583333333333333</v>
      </c>
      <c r="T246" s="1">
        <f t="shared" si="139"/>
        <v>1.9722222222222223</v>
      </c>
      <c r="U246" s="1">
        <f t="shared" si="139"/>
        <v>2.2611111111111111</v>
      </c>
      <c r="V246" s="1">
        <f t="shared" si="139"/>
        <v>2.4777777777777779</v>
      </c>
      <c r="W246" s="1">
        <f t="shared" si="139"/>
        <v>2.7722222222222221</v>
      </c>
      <c r="X246" s="1">
        <f t="shared" si="139"/>
        <v>2.9861111111111112</v>
      </c>
      <c r="Y246" s="1">
        <f t="shared" si="139"/>
        <v>3.2749999999999999</v>
      </c>
      <c r="Z246" s="1">
        <f t="shared" si="139"/>
        <v>3.4916666666666667</v>
      </c>
      <c r="AA246" s="1">
        <f t="shared" si="139"/>
        <v>3.786111111111111</v>
      </c>
      <c r="AB246" s="1">
        <f t="shared" si="139"/>
        <v>4</v>
      </c>
      <c r="AC246" s="1">
        <f t="shared" si="139"/>
        <v>4.291666666666667</v>
      </c>
      <c r="AD246" s="1">
        <f t="shared" si="139"/>
        <v>4.5083333333333337</v>
      </c>
      <c r="AE246" s="1">
        <f t="shared" si="139"/>
        <v>4.5083333333333337</v>
      </c>
      <c r="AF246" s="3">
        <f t="shared" si="139"/>
        <v>4.802777777777778</v>
      </c>
      <c r="AG246" s="1">
        <f t="shared" si="135"/>
        <v>5.0166666666666666</v>
      </c>
      <c r="AH246" s="1">
        <f t="shared" si="135"/>
        <v>5.3055555555555554</v>
      </c>
      <c r="AI246" s="1">
        <f t="shared" si="135"/>
        <v>5.3055555555555554</v>
      </c>
      <c r="AJ246" s="1">
        <f t="shared" si="135"/>
        <v>5.5222222222222221</v>
      </c>
      <c r="AK246" s="1">
        <f t="shared" si="135"/>
        <v>5.5222222222222221</v>
      </c>
      <c r="AL246" s="1">
        <f t="shared" si="135"/>
        <v>6.0305555555555559</v>
      </c>
      <c r="AM246" s="1">
        <f t="shared" si="135"/>
        <v>6.5361111111111114</v>
      </c>
      <c r="AN246" s="1">
        <f t="shared" si="135"/>
        <v>6.5361111111111114</v>
      </c>
      <c r="AO246" s="1">
        <f t="shared" si="135"/>
        <v>7.0444444444444443</v>
      </c>
      <c r="AP246" s="1">
        <f t="shared" si="135"/>
        <v>7.55</v>
      </c>
      <c r="AQ246" s="1">
        <f t="shared" si="135"/>
        <v>7.55</v>
      </c>
      <c r="AR246" s="1">
        <f t="shared" si="135"/>
        <v>8.0583333333333336</v>
      </c>
      <c r="AS246" s="1">
        <f t="shared" si="135"/>
        <v>8.5666666666666664</v>
      </c>
      <c r="AT246" s="1">
        <f t="shared" si="135"/>
        <v>9.0749999999999993</v>
      </c>
      <c r="AU246" s="1">
        <f t="shared" si="135"/>
        <v>9.5805555555555557</v>
      </c>
      <c r="AV246" s="1">
        <f t="shared" si="135"/>
        <v>9.5805555555555557</v>
      </c>
      <c r="AW246" s="1">
        <f t="shared" si="140"/>
        <v>14.147222222222222</v>
      </c>
      <c r="AX246" s="1">
        <f t="shared" si="136"/>
        <v>14.652777777777779</v>
      </c>
      <c r="AY246" s="1">
        <f t="shared" si="136"/>
        <v>15.161111111111111</v>
      </c>
      <c r="AZ246" s="1">
        <f t="shared" si="136"/>
        <v>15.666666666666666</v>
      </c>
      <c r="BA246" s="1">
        <f t="shared" si="136"/>
        <v>16.175000000000001</v>
      </c>
      <c r="BB246" s="1">
        <f t="shared" si="136"/>
        <v>16.683333333333334</v>
      </c>
      <c r="BC246" s="1">
        <f t="shared" si="136"/>
        <v>17.191666666666666</v>
      </c>
      <c r="BD246" s="1">
        <f t="shared" si="136"/>
        <v>17.697222222222223</v>
      </c>
      <c r="BE246" s="1">
        <f t="shared" si="136"/>
        <v>17.697222222222223</v>
      </c>
      <c r="BF246" s="1">
        <f t="shared" si="136"/>
        <v>26.322222222222223</v>
      </c>
      <c r="BG246" s="1">
        <f t="shared" si="136"/>
        <v>26.827777777777779</v>
      </c>
      <c r="BH246" s="1">
        <f t="shared" si="136"/>
        <v>27.336111111111112</v>
      </c>
      <c r="BI246" s="1">
        <f t="shared" si="136"/>
        <v>27.841666666666665</v>
      </c>
      <c r="BJ246" s="1">
        <f t="shared" si="136"/>
        <v>28.35</v>
      </c>
      <c r="BK246" s="1">
        <f t="shared" si="136"/>
        <v>28.858333333333334</v>
      </c>
      <c r="BL246" s="1">
        <f t="shared" si="136"/>
        <v>29.366666666666667</v>
      </c>
      <c r="BM246" s="1">
        <f t="shared" si="136"/>
        <v>29.872222222222224</v>
      </c>
      <c r="BN246" s="1">
        <f t="shared" si="141"/>
        <v>30.380555555555556</v>
      </c>
      <c r="BO246" s="1">
        <f t="shared" si="137"/>
        <v>30.380555555555556</v>
      </c>
      <c r="BP246" s="1">
        <f t="shared" si="137"/>
        <v>30.886111111111113</v>
      </c>
      <c r="BQ246" s="1">
        <f t="shared" si="137"/>
        <v>31.394444444444446</v>
      </c>
      <c r="BR246" s="1">
        <f t="shared" si="137"/>
        <v>31.9</v>
      </c>
      <c r="BS246" s="1">
        <f t="shared" si="137"/>
        <v>32.408333333333331</v>
      </c>
      <c r="BT246" s="1">
        <f t="shared" si="137"/>
        <v>32.916666666666664</v>
      </c>
      <c r="BU246" s="1">
        <f t="shared" si="137"/>
        <v>33.424999999999997</v>
      </c>
      <c r="BV246" s="1">
        <f t="shared" si="137"/>
        <v>33.424999999999997</v>
      </c>
      <c r="BW246" s="1">
        <f t="shared" si="137"/>
        <v>33.930555555555557</v>
      </c>
      <c r="BX246" s="1">
        <f t="shared" si="137"/>
        <v>34.43888888888889</v>
      </c>
      <c r="BY246" s="1">
        <f t="shared" si="137"/>
        <v>34.944444444444443</v>
      </c>
      <c r="BZ246" s="1">
        <f t="shared" si="137"/>
        <v>35.452777777777776</v>
      </c>
      <c r="CA246" s="1">
        <f t="shared" si="137"/>
        <v>35.958333333333336</v>
      </c>
      <c r="CB246" s="1">
        <f t="shared" si="137"/>
        <v>36.466666666666669</v>
      </c>
      <c r="CC246" s="1">
        <f t="shared" si="137"/>
        <v>36.975000000000001</v>
      </c>
      <c r="CD246" s="1">
        <f t="shared" si="137"/>
        <v>37.483333333333334</v>
      </c>
      <c r="CE246" s="1">
        <f t="shared" si="142"/>
        <v>37.988888888888887</v>
      </c>
      <c r="CF246" s="1">
        <f t="shared" si="142"/>
        <v>38.49722222222222</v>
      </c>
      <c r="CG246" s="1">
        <f t="shared" si="142"/>
        <v>39.00277777777778</v>
      </c>
      <c r="CH246" s="1">
        <f t="shared" si="142"/>
        <v>39.511111111111113</v>
      </c>
      <c r="CI246" s="1">
        <f t="shared" si="142"/>
        <v>40.016666666666666</v>
      </c>
      <c r="CJ246" s="1">
        <f t="shared" si="142"/>
        <v>40.524999999999999</v>
      </c>
      <c r="CK246" s="1">
        <f t="shared" si="142"/>
        <v>41.033333333333331</v>
      </c>
      <c r="CL246" s="1">
        <f t="shared" si="142"/>
        <v>41.541666666666664</v>
      </c>
      <c r="CM246" s="1">
        <f t="shared" si="142"/>
        <v>42.047222222222224</v>
      </c>
      <c r="CN246" s="1">
        <f t="shared" si="142"/>
        <v>42.555555555555557</v>
      </c>
      <c r="CO246" s="1">
        <f t="shared" si="142"/>
        <v>43.06111111111111</v>
      </c>
      <c r="CP246" s="1">
        <f t="shared" si="142"/>
        <v>43.569444444444443</v>
      </c>
      <c r="CQ246" s="1">
        <f t="shared" si="142"/>
        <v>44.075000000000003</v>
      </c>
      <c r="CR246" s="1">
        <f t="shared" si="142"/>
        <v>44.583333333333336</v>
      </c>
      <c r="CS246" s="1">
        <f t="shared" si="138"/>
        <v>45.091666666666669</v>
      </c>
      <c r="CT246" s="1">
        <f t="shared" si="138"/>
        <v>45.6</v>
      </c>
      <c r="CU246" s="1">
        <f t="shared" si="138"/>
        <v>46.105555555555554</v>
      </c>
      <c r="CV246" s="1">
        <f t="shared" si="138"/>
        <v>46.613888888888887</v>
      </c>
      <c r="CW246" s="1">
        <f t="shared" si="138"/>
        <v>47.119444444444447</v>
      </c>
      <c r="CX246" s="1">
        <f t="shared" si="138"/>
        <v>47.62777777777778</v>
      </c>
      <c r="CY246" s="1">
        <f t="shared" si="138"/>
        <v>48.133333333333333</v>
      </c>
      <c r="CZ246" s="1">
        <f t="shared" si="138"/>
        <v>48.641666666666666</v>
      </c>
      <c r="DA246" s="1">
        <f t="shared" si="138"/>
        <v>49.15</v>
      </c>
      <c r="DB246" s="1">
        <f t="shared" si="138"/>
        <v>49.658333333333331</v>
      </c>
      <c r="DC246" s="1">
        <f t="shared" si="138"/>
        <v>49.658333333333331</v>
      </c>
    </row>
    <row r="247" spans="1:107" x14ac:dyDescent="0.25">
      <c r="A247">
        <f t="shared" si="114"/>
        <v>4</v>
      </c>
      <c r="B247" s="2">
        <f>yields_BRUTE!B247</f>
        <v>42361</v>
      </c>
      <c r="C247" s="1">
        <f t="shared" si="143"/>
        <v>-0.82499999999999996</v>
      </c>
      <c r="D247" s="1">
        <f t="shared" si="143"/>
        <v>-0.78611111111111109</v>
      </c>
      <c r="E247" s="1">
        <f t="shared" si="143"/>
        <v>-0.56944444444444442</v>
      </c>
      <c r="F247" s="1">
        <f t="shared" si="143"/>
        <v>-0.31388888888888888</v>
      </c>
      <c r="G247" s="1">
        <f t="shared" si="143"/>
        <v>-0.27500000000000002</v>
      </c>
      <c r="H247" s="1">
        <f t="shared" si="143"/>
        <v>-6.1111111111111109E-2</v>
      </c>
      <c r="I247" s="1">
        <f t="shared" si="143"/>
        <v>-6.1111111111111109E-2</v>
      </c>
      <c r="J247" s="1">
        <f t="shared" si="143"/>
        <v>0.19166666666666668</v>
      </c>
      <c r="K247" s="1">
        <f t="shared" si="143"/>
        <v>0.23055555555555557</v>
      </c>
      <c r="L247" s="1">
        <f t="shared" si="143"/>
        <v>0.44722222222222224</v>
      </c>
      <c r="M247" s="1">
        <f t="shared" si="143"/>
        <v>0.70277777777777772</v>
      </c>
      <c r="N247" s="1">
        <f t="shared" si="143"/>
        <v>0.70277777777777772</v>
      </c>
      <c r="O247" s="1">
        <f t="shared" si="143"/>
        <v>0.7416666666666667</v>
      </c>
      <c r="P247" s="1">
        <f t="shared" si="143"/>
        <v>0.9555555555555556</v>
      </c>
      <c r="Q247" s="1">
        <f t="shared" si="143"/>
        <v>1.2444444444444445</v>
      </c>
      <c r="R247" s="1">
        <f t="shared" si="143"/>
        <v>1.461111111111111</v>
      </c>
      <c r="S247" s="1">
        <f t="shared" si="139"/>
        <v>1.7555555555555555</v>
      </c>
      <c r="T247" s="1">
        <f t="shared" si="139"/>
        <v>1.9694444444444446</v>
      </c>
      <c r="U247" s="1">
        <f t="shared" si="139"/>
        <v>2.2583333333333333</v>
      </c>
      <c r="V247" s="1">
        <f t="shared" si="139"/>
        <v>2.4750000000000001</v>
      </c>
      <c r="W247" s="1">
        <f t="shared" si="139"/>
        <v>2.7694444444444444</v>
      </c>
      <c r="X247" s="1">
        <f t="shared" si="139"/>
        <v>2.9833333333333334</v>
      </c>
      <c r="Y247" s="1">
        <f t="shared" si="139"/>
        <v>3.2722222222222221</v>
      </c>
      <c r="Z247" s="1">
        <f t="shared" si="139"/>
        <v>3.4888888888888889</v>
      </c>
      <c r="AA247" s="1">
        <f t="shared" si="139"/>
        <v>3.7833333333333332</v>
      </c>
      <c r="AB247" s="1">
        <f t="shared" si="139"/>
        <v>3.9972222222222222</v>
      </c>
      <c r="AC247" s="1">
        <f t="shared" si="139"/>
        <v>4.2888888888888888</v>
      </c>
      <c r="AD247" s="1">
        <f t="shared" si="139"/>
        <v>4.5055555555555555</v>
      </c>
      <c r="AE247" s="1">
        <f t="shared" si="139"/>
        <v>4.5055555555555555</v>
      </c>
      <c r="AF247" s="3">
        <f t="shared" si="139"/>
        <v>4.8</v>
      </c>
      <c r="AG247" s="1">
        <f t="shared" si="135"/>
        <v>5.0138888888888893</v>
      </c>
      <c r="AH247" s="1">
        <f t="shared" si="135"/>
        <v>5.302777777777778</v>
      </c>
      <c r="AI247" s="1">
        <f t="shared" si="135"/>
        <v>5.302777777777778</v>
      </c>
      <c r="AJ247" s="1">
        <f t="shared" si="135"/>
        <v>5.5194444444444448</v>
      </c>
      <c r="AK247" s="1">
        <f t="shared" si="135"/>
        <v>5.5194444444444448</v>
      </c>
      <c r="AL247" s="1">
        <f t="shared" si="135"/>
        <v>6.0277777777777777</v>
      </c>
      <c r="AM247" s="1">
        <f t="shared" si="135"/>
        <v>6.5333333333333332</v>
      </c>
      <c r="AN247" s="1">
        <f t="shared" si="135"/>
        <v>6.5333333333333332</v>
      </c>
      <c r="AO247" s="1">
        <f t="shared" si="135"/>
        <v>7.041666666666667</v>
      </c>
      <c r="AP247" s="1">
        <f t="shared" si="135"/>
        <v>7.5472222222222225</v>
      </c>
      <c r="AQ247" s="1">
        <f t="shared" si="135"/>
        <v>7.5472222222222225</v>
      </c>
      <c r="AR247" s="1">
        <f t="shared" si="135"/>
        <v>8.0555555555555554</v>
      </c>
      <c r="AS247" s="1">
        <f t="shared" si="135"/>
        <v>8.5638888888888882</v>
      </c>
      <c r="AT247" s="1">
        <f t="shared" si="135"/>
        <v>9.0722222222222229</v>
      </c>
      <c r="AU247" s="1">
        <f t="shared" si="135"/>
        <v>9.5777777777777775</v>
      </c>
      <c r="AV247" s="1">
        <f t="shared" si="135"/>
        <v>9.5777777777777775</v>
      </c>
      <c r="AW247" s="1">
        <f t="shared" si="140"/>
        <v>14.144444444444444</v>
      </c>
      <c r="AX247" s="1">
        <f t="shared" si="136"/>
        <v>14.65</v>
      </c>
      <c r="AY247" s="1">
        <f t="shared" si="136"/>
        <v>15.158333333333333</v>
      </c>
      <c r="AZ247" s="1">
        <f t="shared" si="136"/>
        <v>15.66388888888889</v>
      </c>
      <c r="BA247" s="1">
        <f t="shared" si="136"/>
        <v>16.172222222222221</v>
      </c>
      <c r="BB247" s="1">
        <f t="shared" si="136"/>
        <v>16.680555555555557</v>
      </c>
      <c r="BC247" s="1">
        <f t="shared" si="136"/>
        <v>17.18888888888889</v>
      </c>
      <c r="BD247" s="1">
        <f t="shared" si="136"/>
        <v>17.694444444444443</v>
      </c>
      <c r="BE247" s="1">
        <f t="shared" si="136"/>
        <v>17.694444444444443</v>
      </c>
      <c r="BF247" s="1">
        <f t="shared" si="136"/>
        <v>26.319444444444443</v>
      </c>
      <c r="BG247" s="1">
        <f t="shared" si="136"/>
        <v>26.824999999999999</v>
      </c>
      <c r="BH247" s="1">
        <f t="shared" si="136"/>
        <v>27.333333333333332</v>
      </c>
      <c r="BI247" s="1">
        <f t="shared" si="136"/>
        <v>27.838888888888889</v>
      </c>
      <c r="BJ247" s="1">
        <f t="shared" si="136"/>
        <v>28.347222222222221</v>
      </c>
      <c r="BK247" s="1">
        <f t="shared" si="136"/>
        <v>28.855555555555554</v>
      </c>
      <c r="BL247" s="1">
        <f t="shared" si="136"/>
        <v>29.363888888888887</v>
      </c>
      <c r="BM247" s="1">
        <f t="shared" si="136"/>
        <v>29.869444444444444</v>
      </c>
      <c r="BN247" s="1">
        <f t="shared" si="141"/>
        <v>30.377777777777776</v>
      </c>
      <c r="BO247" s="1">
        <f t="shared" si="137"/>
        <v>30.377777777777776</v>
      </c>
      <c r="BP247" s="1">
        <f t="shared" si="137"/>
        <v>30.883333333333333</v>
      </c>
      <c r="BQ247" s="1">
        <f t="shared" si="137"/>
        <v>31.391666666666666</v>
      </c>
      <c r="BR247" s="1">
        <f t="shared" si="137"/>
        <v>31.897222222222222</v>
      </c>
      <c r="BS247" s="1">
        <f t="shared" si="137"/>
        <v>32.405555555555559</v>
      </c>
      <c r="BT247" s="1">
        <f t="shared" si="137"/>
        <v>32.913888888888891</v>
      </c>
      <c r="BU247" s="1">
        <f t="shared" si="137"/>
        <v>33.422222222222224</v>
      </c>
      <c r="BV247" s="1">
        <f t="shared" si="137"/>
        <v>33.422222222222224</v>
      </c>
      <c r="BW247" s="1">
        <f t="shared" si="137"/>
        <v>33.927777777777777</v>
      </c>
      <c r="BX247" s="1">
        <f t="shared" si="137"/>
        <v>34.43611111111111</v>
      </c>
      <c r="BY247" s="1">
        <f t="shared" si="137"/>
        <v>34.94166666666667</v>
      </c>
      <c r="BZ247" s="1">
        <f t="shared" si="137"/>
        <v>35.450000000000003</v>
      </c>
      <c r="CA247" s="1">
        <f t="shared" si="137"/>
        <v>35.955555555555556</v>
      </c>
      <c r="CB247" s="1">
        <f t="shared" si="137"/>
        <v>36.463888888888889</v>
      </c>
      <c r="CC247" s="1">
        <f t="shared" si="137"/>
        <v>36.972222222222221</v>
      </c>
      <c r="CD247" s="1">
        <f t="shared" si="137"/>
        <v>37.480555555555554</v>
      </c>
      <c r="CE247" s="1">
        <f t="shared" si="142"/>
        <v>37.986111111111114</v>
      </c>
      <c r="CF247" s="1">
        <f t="shared" si="142"/>
        <v>38.494444444444447</v>
      </c>
      <c r="CG247" s="1">
        <f t="shared" si="142"/>
        <v>39</v>
      </c>
      <c r="CH247" s="1">
        <f t="shared" si="142"/>
        <v>39.508333333333333</v>
      </c>
      <c r="CI247" s="1">
        <f t="shared" si="142"/>
        <v>40.013888888888886</v>
      </c>
      <c r="CJ247" s="1">
        <f t="shared" si="142"/>
        <v>40.522222222222226</v>
      </c>
      <c r="CK247" s="1">
        <f t="shared" si="142"/>
        <v>41.030555555555559</v>
      </c>
      <c r="CL247" s="1">
        <f t="shared" si="142"/>
        <v>41.538888888888891</v>
      </c>
      <c r="CM247" s="1">
        <f t="shared" si="142"/>
        <v>42.044444444444444</v>
      </c>
      <c r="CN247" s="1">
        <f t="shared" si="142"/>
        <v>42.552777777777777</v>
      </c>
      <c r="CO247" s="1">
        <f t="shared" si="142"/>
        <v>43.05833333333333</v>
      </c>
      <c r="CP247" s="1">
        <f t="shared" si="142"/>
        <v>43.56666666666667</v>
      </c>
      <c r="CQ247" s="1">
        <f t="shared" si="142"/>
        <v>44.072222222222223</v>
      </c>
      <c r="CR247" s="1">
        <f t="shared" si="142"/>
        <v>44.580555555555556</v>
      </c>
      <c r="CS247" s="1">
        <f t="shared" si="138"/>
        <v>45.088888888888889</v>
      </c>
      <c r="CT247" s="1">
        <f t="shared" si="138"/>
        <v>45.597222222222221</v>
      </c>
      <c r="CU247" s="1">
        <f t="shared" si="138"/>
        <v>46.102777777777774</v>
      </c>
      <c r="CV247" s="1">
        <f t="shared" si="138"/>
        <v>46.611111111111114</v>
      </c>
      <c r="CW247" s="1">
        <f t="shared" si="138"/>
        <v>47.116666666666667</v>
      </c>
      <c r="CX247" s="1">
        <f t="shared" si="138"/>
        <v>47.625</v>
      </c>
      <c r="CY247" s="1">
        <f t="shared" si="138"/>
        <v>48.130555555555553</v>
      </c>
      <c r="CZ247" s="1">
        <f t="shared" si="138"/>
        <v>48.638888888888886</v>
      </c>
      <c r="DA247" s="1">
        <f t="shared" si="138"/>
        <v>49.147222222222226</v>
      </c>
      <c r="DB247" s="1">
        <f t="shared" si="138"/>
        <v>49.655555555555559</v>
      </c>
      <c r="DC247" s="1">
        <f t="shared" si="138"/>
        <v>49.655555555555559</v>
      </c>
    </row>
    <row r="248" spans="1:107" x14ac:dyDescent="0.25">
      <c r="A248">
        <f t="shared" si="114"/>
        <v>5</v>
      </c>
      <c r="B248" s="2">
        <f>yields_BRUTE!B248</f>
        <v>42362</v>
      </c>
      <c r="C248" s="1">
        <f t="shared" si="143"/>
        <v>-0.82777777777777772</v>
      </c>
      <c r="D248" s="1">
        <f t="shared" si="143"/>
        <v>-0.78888888888888886</v>
      </c>
      <c r="E248" s="1">
        <f t="shared" si="143"/>
        <v>-0.57222222222222219</v>
      </c>
      <c r="F248" s="1">
        <f t="shared" si="143"/>
        <v>-0.31666666666666665</v>
      </c>
      <c r="G248" s="1">
        <f t="shared" si="143"/>
        <v>-0.27777777777777779</v>
      </c>
      <c r="H248" s="1">
        <f t="shared" si="143"/>
        <v>-6.3888888888888884E-2</v>
      </c>
      <c r="I248" s="1">
        <f t="shared" si="143"/>
        <v>-6.3888888888888884E-2</v>
      </c>
      <c r="J248" s="1">
        <f t="shared" si="143"/>
        <v>0.18888888888888888</v>
      </c>
      <c r="K248" s="1">
        <f t="shared" si="143"/>
        <v>0.22777777777777777</v>
      </c>
      <c r="L248" s="1">
        <f t="shared" si="143"/>
        <v>0.44444444444444442</v>
      </c>
      <c r="M248" s="1">
        <f t="shared" si="143"/>
        <v>0.7</v>
      </c>
      <c r="N248" s="1">
        <f t="shared" si="143"/>
        <v>0.7</v>
      </c>
      <c r="O248" s="1">
        <f t="shared" si="143"/>
        <v>0.73888888888888893</v>
      </c>
      <c r="P248" s="1">
        <f t="shared" si="143"/>
        <v>0.95277777777777772</v>
      </c>
      <c r="Q248" s="1">
        <f t="shared" si="143"/>
        <v>1.2416666666666667</v>
      </c>
      <c r="R248" s="1">
        <f t="shared" si="143"/>
        <v>1.4583333333333333</v>
      </c>
      <c r="S248" s="1">
        <f t="shared" si="139"/>
        <v>1.7527777777777778</v>
      </c>
      <c r="T248" s="1">
        <f t="shared" si="139"/>
        <v>1.9666666666666666</v>
      </c>
      <c r="U248" s="1">
        <f t="shared" si="139"/>
        <v>2.2555555555555555</v>
      </c>
      <c r="V248" s="1">
        <f t="shared" si="139"/>
        <v>2.4722222222222223</v>
      </c>
      <c r="W248" s="1">
        <f t="shared" si="139"/>
        <v>2.7666666666666666</v>
      </c>
      <c r="X248" s="1">
        <f t="shared" si="139"/>
        <v>2.9805555555555556</v>
      </c>
      <c r="Y248" s="1">
        <f t="shared" si="139"/>
        <v>3.2694444444444444</v>
      </c>
      <c r="Z248" s="1">
        <f t="shared" si="139"/>
        <v>3.4861111111111112</v>
      </c>
      <c r="AA248" s="1">
        <f t="shared" si="139"/>
        <v>3.7805555555555554</v>
      </c>
      <c r="AB248" s="1">
        <f t="shared" si="139"/>
        <v>3.9944444444444445</v>
      </c>
      <c r="AC248" s="1">
        <f t="shared" si="139"/>
        <v>4.2861111111111114</v>
      </c>
      <c r="AD248" s="1">
        <f t="shared" si="139"/>
        <v>4.5027777777777782</v>
      </c>
      <c r="AE248" s="1">
        <f t="shared" si="139"/>
        <v>4.5027777777777782</v>
      </c>
      <c r="AF248" s="3">
        <f t="shared" si="139"/>
        <v>4.7972222222222225</v>
      </c>
      <c r="AG248" s="1">
        <f t="shared" si="135"/>
        <v>5.0111111111111111</v>
      </c>
      <c r="AH248" s="1">
        <f t="shared" si="135"/>
        <v>5.3</v>
      </c>
      <c r="AI248" s="1">
        <f t="shared" si="135"/>
        <v>5.3</v>
      </c>
      <c r="AJ248" s="1">
        <f t="shared" si="135"/>
        <v>5.5166666666666666</v>
      </c>
      <c r="AK248" s="1">
        <f t="shared" si="135"/>
        <v>5.5166666666666666</v>
      </c>
      <c r="AL248" s="1">
        <f t="shared" si="135"/>
        <v>6.0250000000000004</v>
      </c>
      <c r="AM248" s="1">
        <f t="shared" si="135"/>
        <v>6.5305555555555559</v>
      </c>
      <c r="AN248" s="1">
        <f t="shared" si="135"/>
        <v>6.5305555555555559</v>
      </c>
      <c r="AO248" s="1">
        <f t="shared" si="135"/>
        <v>7.0388888888888888</v>
      </c>
      <c r="AP248" s="1">
        <f t="shared" si="135"/>
        <v>7.5444444444444443</v>
      </c>
      <c r="AQ248" s="1">
        <f t="shared" si="135"/>
        <v>7.5444444444444443</v>
      </c>
      <c r="AR248" s="1">
        <f t="shared" si="135"/>
        <v>8.0527777777777771</v>
      </c>
      <c r="AS248" s="1">
        <f t="shared" si="135"/>
        <v>8.5611111111111118</v>
      </c>
      <c r="AT248" s="1">
        <f t="shared" si="135"/>
        <v>9.0694444444444446</v>
      </c>
      <c r="AU248" s="1">
        <f t="shared" si="135"/>
        <v>9.5749999999999993</v>
      </c>
      <c r="AV248" s="1">
        <f t="shared" si="135"/>
        <v>9.5749999999999993</v>
      </c>
      <c r="AW248" s="1">
        <f t="shared" si="140"/>
        <v>14.141666666666667</v>
      </c>
      <c r="AX248" s="1">
        <f t="shared" si="136"/>
        <v>14.647222222222222</v>
      </c>
      <c r="AY248" s="1">
        <f t="shared" si="136"/>
        <v>15.155555555555555</v>
      </c>
      <c r="AZ248" s="1">
        <f t="shared" si="136"/>
        <v>15.661111111111111</v>
      </c>
      <c r="BA248" s="1">
        <f t="shared" si="136"/>
        <v>16.169444444444444</v>
      </c>
      <c r="BB248" s="1">
        <f t="shared" si="136"/>
        <v>16.677777777777777</v>
      </c>
      <c r="BC248" s="1">
        <f t="shared" si="136"/>
        <v>17.18611111111111</v>
      </c>
      <c r="BD248" s="1">
        <f t="shared" si="136"/>
        <v>17.691666666666666</v>
      </c>
      <c r="BE248" s="1">
        <f t="shared" si="136"/>
        <v>17.691666666666666</v>
      </c>
      <c r="BF248" s="1">
        <f t="shared" si="136"/>
        <v>26.316666666666666</v>
      </c>
      <c r="BG248" s="1">
        <f t="shared" si="136"/>
        <v>26.822222222222223</v>
      </c>
      <c r="BH248" s="1">
        <f t="shared" si="136"/>
        <v>27.330555555555556</v>
      </c>
      <c r="BI248" s="1">
        <f t="shared" si="136"/>
        <v>27.836111111111112</v>
      </c>
      <c r="BJ248" s="1">
        <f t="shared" si="136"/>
        <v>28.344444444444445</v>
      </c>
      <c r="BK248" s="1">
        <f t="shared" si="136"/>
        <v>28.852777777777778</v>
      </c>
      <c r="BL248" s="1">
        <f t="shared" si="136"/>
        <v>29.361111111111111</v>
      </c>
      <c r="BM248" s="1">
        <f t="shared" si="136"/>
        <v>29.866666666666667</v>
      </c>
      <c r="BN248" s="1">
        <f t="shared" si="141"/>
        <v>30.375</v>
      </c>
      <c r="BO248" s="1">
        <f t="shared" si="137"/>
        <v>30.375</v>
      </c>
      <c r="BP248" s="1">
        <f t="shared" si="137"/>
        <v>30.880555555555556</v>
      </c>
      <c r="BQ248" s="1">
        <f t="shared" si="137"/>
        <v>31.388888888888889</v>
      </c>
      <c r="BR248" s="1">
        <f t="shared" si="137"/>
        <v>31.894444444444446</v>
      </c>
      <c r="BS248" s="1">
        <f t="shared" si="137"/>
        <v>32.402777777777779</v>
      </c>
      <c r="BT248" s="1">
        <f t="shared" si="137"/>
        <v>32.911111111111111</v>
      </c>
      <c r="BU248" s="1">
        <f t="shared" si="137"/>
        <v>33.419444444444444</v>
      </c>
      <c r="BV248" s="1">
        <f t="shared" si="137"/>
        <v>33.419444444444444</v>
      </c>
      <c r="BW248" s="1">
        <f t="shared" si="137"/>
        <v>33.924999999999997</v>
      </c>
      <c r="BX248" s="1">
        <f t="shared" si="137"/>
        <v>34.43333333333333</v>
      </c>
      <c r="BY248" s="1">
        <f t="shared" si="137"/>
        <v>34.93888888888889</v>
      </c>
      <c r="BZ248" s="1">
        <f t="shared" si="137"/>
        <v>35.447222222222223</v>
      </c>
      <c r="CA248" s="1">
        <f t="shared" si="137"/>
        <v>35.952777777777776</v>
      </c>
      <c r="CB248" s="1">
        <f t="shared" si="137"/>
        <v>36.461111111111109</v>
      </c>
      <c r="CC248" s="1">
        <f t="shared" si="137"/>
        <v>36.969444444444441</v>
      </c>
      <c r="CD248" s="1">
        <f t="shared" si="137"/>
        <v>37.477777777777774</v>
      </c>
      <c r="CE248" s="1">
        <f t="shared" si="142"/>
        <v>37.983333333333334</v>
      </c>
      <c r="CF248" s="1">
        <f t="shared" si="142"/>
        <v>38.491666666666667</v>
      </c>
      <c r="CG248" s="1">
        <f t="shared" si="142"/>
        <v>38.99722222222222</v>
      </c>
      <c r="CH248" s="1">
        <f t="shared" si="142"/>
        <v>39.505555555555553</v>
      </c>
      <c r="CI248" s="1">
        <f t="shared" si="142"/>
        <v>40.011111111111113</v>
      </c>
      <c r="CJ248" s="1">
        <f t="shared" si="142"/>
        <v>40.519444444444446</v>
      </c>
      <c r="CK248" s="1">
        <f t="shared" si="142"/>
        <v>41.027777777777779</v>
      </c>
      <c r="CL248" s="1">
        <f t="shared" si="142"/>
        <v>41.536111111111111</v>
      </c>
      <c r="CM248" s="1">
        <f t="shared" si="142"/>
        <v>42.041666666666664</v>
      </c>
      <c r="CN248" s="1">
        <f t="shared" si="142"/>
        <v>42.55</v>
      </c>
      <c r="CO248" s="1">
        <f t="shared" si="142"/>
        <v>43.055555555555557</v>
      </c>
      <c r="CP248" s="1">
        <f t="shared" si="142"/>
        <v>43.56388888888889</v>
      </c>
      <c r="CQ248" s="1">
        <f t="shared" si="142"/>
        <v>44.069444444444443</v>
      </c>
      <c r="CR248" s="1">
        <f t="shared" si="142"/>
        <v>44.577777777777776</v>
      </c>
      <c r="CS248" s="1">
        <f t="shared" si="138"/>
        <v>45.086111111111109</v>
      </c>
      <c r="CT248" s="1">
        <f t="shared" si="138"/>
        <v>45.594444444444441</v>
      </c>
      <c r="CU248" s="1">
        <f t="shared" si="138"/>
        <v>46.1</v>
      </c>
      <c r="CV248" s="1">
        <f t="shared" si="138"/>
        <v>46.608333333333334</v>
      </c>
      <c r="CW248" s="1">
        <f t="shared" si="138"/>
        <v>47.113888888888887</v>
      </c>
      <c r="CX248" s="1">
        <f t="shared" si="138"/>
        <v>47.62222222222222</v>
      </c>
      <c r="CY248" s="1">
        <f t="shared" si="138"/>
        <v>48.12777777777778</v>
      </c>
      <c r="CZ248" s="1">
        <f t="shared" si="138"/>
        <v>48.636111111111113</v>
      </c>
      <c r="DA248" s="1">
        <f t="shared" si="138"/>
        <v>49.144444444444446</v>
      </c>
      <c r="DB248" s="1">
        <f t="shared" si="138"/>
        <v>49.652777777777779</v>
      </c>
      <c r="DC248" s="1">
        <f t="shared" si="138"/>
        <v>49.652777777777779</v>
      </c>
    </row>
    <row r="249" spans="1:107" x14ac:dyDescent="0.25">
      <c r="A249">
        <f t="shared" si="114"/>
        <v>3</v>
      </c>
      <c r="B249" s="2">
        <f>yields_BRUTE!B249</f>
        <v>42367</v>
      </c>
      <c r="C249" s="1">
        <f t="shared" si="143"/>
        <v>-0.84166666666666667</v>
      </c>
      <c r="D249" s="1">
        <f t="shared" si="143"/>
        <v>-0.80277777777777781</v>
      </c>
      <c r="E249" s="1">
        <f t="shared" si="143"/>
        <v>-0.58611111111111114</v>
      </c>
      <c r="F249" s="1">
        <f t="shared" si="143"/>
        <v>-0.33055555555555555</v>
      </c>
      <c r="G249" s="1">
        <f t="shared" si="143"/>
        <v>-0.29166666666666669</v>
      </c>
      <c r="H249" s="1">
        <f t="shared" si="143"/>
        <v>-7.7777777777777779E-2</v>
      </c>
      <c r="I249" s="1">
        <f t="shared" si="143"/>
        <v>-7.7777777777777779E-2</v>
      </c>
      <c r="J249" s="1">
        <f t="shared" si="143"/>
        <v>0.17499999999999999</v>
      </c>
      <c r="K249" s="1">
        <f t="shared" si="143"/>
        <v>0.21388888888888888</v>
      </c>
      <c r="L249" s="1">
        <f t="shared" si="143"/>
        <v>0.43055555555555558</v>
      </c>
      <c r="M249" s="1">
        <f t="shared" si="143"/>
        <v>0.68611111111111112</v>
      </c>
      <c r="N249" s="1">
        <f t="shared" si="143"/>
        <v>0.68611111111111112</v>
      </c>
      <c r="O249" s="1">
        <f t="shared" si="143"/>
        <v>0.72499999999999998</v>
      </c>
      <c r="P249" s="1">
        <f t="shared" si="143"/>
        <v>0.93888888888888888</v>
      </c>
      <c r="Q249" s="1">
        <f t="shared" si="143"/>
        <v>1.2277777777777779</v>
      </c>
      <c r="R249" s="1">
        <f t="shared" si="143"/>
        <v>1.4444444444444444</v>
      </c>
      <c r="S249" s="1">
        <f t="shared" si="139"/>
        <v>1.7388888888888889</v>
      </c>
      <c r="T249" s="1">
        <f t="shared" si="139"/>
        <v>1.9527777777777777</v>
      </c>
      <c r="U249" s="1">
        <f t="shared" si="139"/>
        <v>2.2416666666666667</v>
      </c>
      <c r="V249" s="1">
        <f t="shared" si="139"/>
        <v>2.4583333333333335</v>
      </c>
      <c r="W249" s="1">
        <f t="shared" si="139"/>
        <v>2.7527777777777778</v>
      </c>
      <c r="X249" s="1">
        <f t="shared" si="139"/>
        <v>2.9666666666666668</v>
      </c>
      <c r="Y249" s="1">
        <f t="shared" si="139"/>
        <v>3.2555555555555555</v>
      </c>
      <c r="Z249" s="1">
        <f t="shared" si="139"/>
        <v>3.4722222222222223</v>
      </c>
      <c r="AA249" s="1">
        <f t="shared" si="139"/>
        <v>3.7666666666666666</v>
      </c>
      <c r="AB249" s="1">
        <f t="shared" si="139"/>
        <v>3.9805555555555556</v>
      </c>
      <c r="AC249" s="1">
        <f t="shared" si="139"/>
        <v>4.2722222222222221</v>
      </c>
      <c r="AD249" s="1">
        <f t="shared" si="139"/>
        <v>4.4888888888888889</v>
      </c>
      <c r="AE249" s="1">
        <f t="shared" si="139"/>
        <v>4.4888888888888889</v>
      </c>
      <c r="AF249" s="3">
        <f t="shared" si="139"/>
        <v>4.7833333333333332</v>
      </c>
      <c r="AG249" s="1">
        <f t="shared" si="135"/>
        <v>4.9972222222222218</v>
      </c>
      <c r="AH249" s="1">
        <f t="shared" si="135"/>
        <v>5.2861111111111114</v>
      </c>
      <c r="AI249" s="1">
        <f t="shared" si="135"/>
        <v>5.2861111111111114</v>
      </c>
      <c r="AJ249" s="1">
        <f t="shared" si="135"/>
        <v>5.5027777777777782</v>
      </c>
      <c r="AK249" s="1">
        <f t="shared" si="135"/>
        <v>5.5027777777777782</v>
      </c>
      <c r="AL249" s="1">
        <f t="shared" si="135"/>
        <v>6.0111111111111111</v>
      </c>
      <c r="AM249" s="1">
        <f t="shared" si="135"/>
        <v>6.5166666666666666</v>
      </c>
      <c r="AN249" s="1">
        <f t="shared" si="135"/>
        <v>6.5166666666666666</v>
      </c>
      <c r="AO249" s="1">
        <f t="shared" si="135"/>
        <v>7.0250000000000004</v>
      </c>
      <c r="AP249" s="1">
        <f t="shared" si="135"/>
        <v>7.5305555555555559</v>
      </c>
      <c r="AQ249" s="1">
        <f t="shared" si="135"/>
        <v>7.5305555555555559</v>
      </c>
      <c r="AR249" s="1">
        <f t="shared" si="135"/>
        <v>8.0388888888888896</v>
      </c>
      <c r="AS249" s="1">
        <f t="shared" si="135"/>
        <v>8.5472222222222225</v>
      </c>
      <c r="AT249" s="1">
        <f t="shared" si="135"/>
        <v>9.0555555555555554</v>
      </c>
      <c r="AU249" s="1">
        <f t="shared" si="135"/>
        <v>9.5611111111111118</v>
      </c>
      <c r="AV249" s="1">
        <f t="shared" si="135"/>
        <v>9.5611111111111118</v>
      </c>
      <c r="AW249" s="1">
        <f t="shared" si="140"/>
        <v>14.127777777777778</v>
      </c>
      <c r="AX249" s="1">
        <f t="shared" si="136"/>
        <v>14.633333333333333</v>
      </c>
      <c r="AY249" s="1">
        <f t="shared" si="136"/>
        <v>15.141666666666667</v>
      </c>
      <c r="AZ249" s="1">
        <f t="shared" si="136"/>
        <v>15.647222222222222</v>
      </c>
      <c r="BA249" s="1">
        <f t="shared" si="136"/>
        <v>16.155555555555555</v>
      </c>
      <c r="BB249" s="1">
        <f t="shared" si="136"/>
        <v>16.663888888888888</v>
      </c>
      <c r="BC249" s="1">
        <f t="shared" si="136"/>
        <v>17.172222222222221</v>
      </c>
      <c r="BD249" s="1">
        <f t="shared" si="136"/>
        <v>17.677777777777777</v>
      </c>
      <c r="BE249" s="1">
        <f t="shared" si="136"/>
        <v>17.677777777777777</v>
      </c>
      <c r="BF249" s="1">
        <f t="shared" si="136"/>
        <v>26.302777777777777</v>
      </c>
      <c r="BG249" s="1">
        <f t="shared" si="136"/>
        <v>26.808333333333334</v>
      </c>
      <c r="BH249" s="1">
        <f t="shared" si="136"/>
        <v>27.316666666666666</v>
      </c>
      <c r="BI249" s="1">
        <f t="shared" si="136"/>
        <v>27.822222222222223</v>
      </c>
      <c r="BJ249" s="1">
        <f t="shared" si="136"/>
        <v>28.330555555555556</v>
      </c>
      <c r="BK249" s="1">
        <f t="shared" si="136"/>
        <v>28.838888888888889</v>
      </c>
      <c r="BL249" s="1">
        <f t="shared" si="136"/>
        <v>29.347222222222221</v>
      </c>
      <c r="BM249" s="1">
        <f t="shared" si="136"/>
        <v>29.852777777777778</v>
      </c>
      <c r="BN249" s="1">
        <f t="shared" si="141"/>
        <v>30.361111111111111</v>
      </c>
      <c r="BO249" s="1">
        <f t="shared" si="137"/>
        <v>30.361111111111111</v>
      </c>
      <c r="BP249" s="1">
        <f t="shared" si="137"/>
        <v>30.866666666666667</v>
      </c>
      <c r="BQ249" s="1">
        <f t="shared" si="137"/>
        <v>31.375</v>
      </c>
      <c r="BR249" s="1">
        <f t="shared" si="137"/>
        <v>31.880555555555556</v>
      </c>
      <c r="BS249" s="1">
        <f t="shared" si="137"/>
        <v>32.388888888888886</v>
      </c>
      <c r="BT249" s="1">
        <f t="shared" si="137"/>
        <v>32.897222222222226</v>
      </c>
      <c r="BU249" s="1">
        <f t="shared" si="137"/>
        <v>33.405555555555559</v>
      </c>
      <c r="BV249" s="1">
        <f t="shared" si="137"/>
        <v>33.405555555555559</v>
      </c>
      <c r="BW249" s="1">
        <f t="shared" si="137"/>
        <v>33.911111111111111</v>
      </c>
      <c r="BX249" s="1">
        <f t="shared" si="137"/>
        <v>34.419444444444444</v>
      </c>
      <c r="BY249" s="1">
        <f t="shared" si="137"/>
        <v>34.924999999999997</v>
      </c>
      <c r="BZ249" s="1">
        <f t="shared" si="137"/>
        <v>35.43333333333333</v>
      </c>
      <c r="CA249" s="1">
        <f t="shared" si="137"/>
        <v>35.93888888888889</v>
      </c>
      <c r="CB249" s="1">
        <f t="shared" si="137"/>
        <v>36.447222222222223</v>
      </c>
      <c r="CC249" s="1">
        <f t="shared" si="137"/>
        <v>36.955555555555556</v>
      </c>
      <c r="CD249" s="1">
        <f t="shared" si="137"/>
        <v>37.463888888888889</v>
      </c>
      <c r="CE249" s="1">
        <f t="shared" si="142"/>
        <v>37.969444444444441</v>
      </c>
      <c r="CF249" s="1">
        <f t="shared" si="142"/>
        <v>38.477777777777774</v>
      </c>
      <c r="CG249" s="1">
        <f t="shared" si="142"/>
        <v>38.983333333333334</v>
      </c>
      <c r="CH249" s="1">
        <f t="shared" si="142"/>
        <v>39.491666666666667</v>
      </c>
      <c r="CI249" s="1">
        <f t="shared" si="142"/>
        <v>39.99722222222222</v>
      </c>
      <c r="CJ249" s="1">
        <f t="shared" si="142"/>
        <v>40.505555555555553</v>
      </c>
      <c r="CK249" s="1">
        <f t="shared" si="142"/>
        <v>41.013888888888886</v>
      </c>
      <c r="CL249" s="1">
        <f t="shared" si="142"/>
        <v>41.522222222222226</v>
      </c>
      <c r="CM249" s="1">
        <f t="shared" si="142"/>
        <v>42.027777777777779</v>
      </c>
      <c r="CN249" s="1">
        <f t="shared" si="142"/>
        <v>42.536111111111111</v>
      </c>
      <c r="CO249" s="1">
        <f t="shared" si="142"/>
        <v>43.041666666666664</v>
      </c>
      <c r="CP249" s="1">
        <f t="shared" si="142"/>
        <v>43.55</v>
      </c>
      <c r="CQ249" s="1">
        <f t="shared" si="142"/>
        <v>44.055555555555557</v>
      </c>
      <c r="CR249" s="1">
        <f t="shared" si="142"/>
        <v>44.56388888888889</v>
      </c>
      <c r="CS249" s="1">
        <f t="shared" si="138"/>
        <v>45.072222222222223</v>
      </c>
      <c r="CT249" s="1">
        <f t="shared" si="138"/>
        <v>45.580555555555556</v>
      </c>
      <c r="CU249" s="1">
        <f t="shared" si="138"/>
        <v>46.086111111111109</v>
      </c>
      <c r="CV249" s="1">
        <f t="shared" si="138"/>
        <v>46.594444444444441</v>
      </c>
      <c r="CW249" s="1">
        <f t="shared" si="138"/>
        <v>47.1</v>
      </c>
      <c r="CX249" s="1">
        <f t="shared" si="138"/>
        <v>47.608333333333334</v>
      </c>
      <c r="CY249" s="1">
        <f t="shared" si="138"/>
        <v>48.113888888888887</v>
      </c>
      <c r="CZ249" s="1">
        <f t="shared" si="138"/>
        <v>48.62222222222222</v>
      </c>
      <c r="DA249" s="1">
        <f t="shared" si="138"/>
        <v>49.130555555555553</v>
      </c>
      <c r="DB249" s="1">
        <f t="shared" si="138"/>
        <v>49.638888888888886</v>
      </c>
      <c r="DC249" s="1">
        <f t="shared" si="138"/>
        <v>49.638888888888886</v>
      </c>
    </row>
    <row r="250" spans="1:107" x14ac:dyDescent="0.25">
      <c r="A250">
        <f t="shared" si="114"/>
        <v>4</v>
      </c>
      <c r="B250" s="2">
        <f>yields_BRUTE!B250</f>
        <v>42368</v>
      </c>
      <c r="C250" s="1">
        <f t="shared" si="143"/>
        <v>-0.84444444444444444</v>
      </c>
      <c r="D250" s="1">
        <f t="shared" si="143"/>
        <v>-0.80555555555555558</v>
      </c>
      <c r="E250" s="1">
        <f t="shared" si="143"/>
        <v>-0.58888888888888891</v>
      </c>
      <c r="F250" s="1">
        <f t="shared" si="143"/>
        <v>-0.33333333333333331</v>
      </c>
      <c r="G250" s="1">
        <f t="shared" si="143"/>
        <v>-0.29444444444444445</v>
      </c>
      <c r="H250" s="1">
        <f t="shared" si="143"/>
        <v>-8.0555555555555561E-2</v>
      </c>
      <c r="I250" s="1">
        <f t="shared" si="143"/>
        <v>-8.0555555555555561E-2</v>
      </c>
      <c r="J250" s="1">
        <f t="shared" si="143"/>
        <v>0.17222222222222222</v>
      </c>
      <c r="K250" s="1">
        <f t="shared" si="143"/>
        <v>0.21111111111111111</v>
      </c>
      <c r="L250" s="1">
        <f t="shared" si="143"/>
        <v>0.42777777777777776</v>
      </c>
      <c r="M250" s="1">
        <f t="shared" si="143"/>
        <v>0.68333333333333335</v>
      </c>
      <c r="N250" s="1">
        <f t="shared" si="143"/>
        <v>0.68333333333333335</v>
      </c>
      <c r="O250" s="1">
        <f t="shared" si="143"/>
        <v>0.72222222222222221</v>
      </c>
      <c r="P250" s="1">
        <f t="shared" si="143"/>
        <v>0.93611111111111112</v>
      </c>
      <c r="Q250" s="1">
        <f t="shared" si="143"/>
        <v>1.2250000000000001</v>
      </c>
      <c r="R250" s="1">
        <f t="shared" si="143"/>
        <v>1.4416666666666667</v>
      </c>
      <c r="S250" s="1">
        <f t="shared" si="139"/>
        <v>1.7361111111111112</v>
      </c>
      <c r="T250" s="1">
        <f t="shared" si="139"/>
        <v>1.95</v>
      </c>
      <c r="U250" s="1">
        <f t="shared" si="139"/>
        <v>2.2388888888888889</v>
      </c>
      <c r="V250" s="1">
        <f t="shared" si="139"/>
        <v>2.4555555555555557</v>
      </c>
      <c r="W250" s="1">
        <f t="shared" si="139"/>
        <v>2.75</v>
      </c>
      <c r="X250" s="1">
        <f t="shared" si="139"/>
        <v>2.963888888888889</v>
      </c>
      <c r="Y250" s="1">
        <f t="shared" si="139"/>
        <v>3.2527777777777778</v>
      </c>
      <c r="Z250" s="1">
        <f t="shared" si="139"/>
        <v>3.4694444444444446</v>
      </c>
      <c r="AA250" s="1">
        <f t="shared" si="139"/>
        <v>3.7638888888888888</v>
      </c>
      <c r="AB250" s="1">
        <f t="shared" si="139"/>
        <v>3.9777777777777779</v>
      </c>
      <c r="AC250" s="1">
        <f t="shared" si="139"/>
        <v>4.2694444444444448</v>
      </c>
      <c r="AD250" s="1">
        <f t="shared" si="139"/>
        <v>4.4861111111111107</v>
      </c>
      <c r="AE250" s="1">
        <f t="shared" si="139"/>
        <v>4.4861111111111107</v>
      </c>
      <c r="AF250" s="3">
        <f t="shared" si="139"/>
        <v>4.7805555555555559</v>
      </c>
      <c r="AG250" s="1">
        <f t="shared" si="135"/>
        <v>4.9944444444444445</v>
      </c>
      <c r="AH250" s="1">
        <f t="shared" si="135"/>
        <v>5.2833333333333332</v>
      </c>
      <c r="AI250" s="1">
        <f t="shared" si="135"/>
        <v>5.2833333333333332</v>
      </c>
      <c r="AJ250" s="1">
        <f t="shared" si="135"/>
        <v>5.5</v>
      </c>
      <c r="AK250" s="1">
        <f t="shared" si="135"/>
        <v>5.5</v>
      </c>
      <c r="AL250" s="1">
        <f t="shared" si="135"/>
        <v>6.0083333333333337</v>
      </c>
      <c r="AM250" s="1">
        <f t="shared" si="135"/>
        <v>6.5138888888888893</v>
      </c>
      <c r="AN250" s="1">
        <f t="shared" si="135"/>
        <v>6.5138888888888893</v>
      </c>
      <c r="AO250" s="1">
        <f t="shared" si="135"/>
        <v>7.0222222222222221</v>
      </c>
      <c r="AP250" s="1">
        <f t="shared" si="135"/>
        <v>7.5277777777777777</v>
      </c>
      <c r="AQ250" s="1">
        <f t="shared" si="135"/>
        <v>7.5277777777777777</v>
      </c>
      <c r="AR250" s="1">
        <f t="shared" si="135"/>
        <v>8.0361111111111114</v>
      </c>
      <c r="AS250" s="1">
        <f t="shared" si="135"/>
        <v>8.5444444444444443</v>
      </c>
      <c r="AT250" s="1">
        <f t="shared" si="135"/>
        <v>9.0527777777777771</v>
      </c>
      <c r="AU250" s="1">
        <f t="shared" si="135"/>
        <v>9.5583333333333336</v>
      </c>
      <c r="AV250" s="1">
        <f t="shared" si="135"/>
        <v>9.5583333333333336</v>
      </c>
      <c r="AW250" s="1">
        <f t="shared" si="140"/>
        <v>14.125</v>
      </c>
      <c r="AX250" s="1">
        <f t="shared" si="136"/>
        <v>14.630555555555556</v>
      </c>
      <c r="AY250" s="1">
        <f t="shared" si="136"/>
        <v>15.138888888888889</v>
      </c>
      <c r="AZ250" s="1">
        <f t="shared" si="136"/>
        <v>15.644444444444444</v>
      </c>
      <c r="BA250" s="1">
        <f t="shared" si="136"/>
        <v>16.152777777777779</v>
      </c>
      <c r="BB250" s="1">
        <f t="shared" si="136"/>
        <v>16.661111111111111</v>
      </c>
      <c r="BC250" s="1">
        <f t="shared" si="136"/>
        <v>17.169444444444444</v>
      </c>
      <c r="BD250" s="1">
        <f t="shared" si="136"/>
        <v>17.675000000000001</v>
      </c>
      <c r="BE250" s="1">
        <f t="shared" si="136"/>
        <v>17.675000000000001</v>
      </c>
      <c r="BF250" s="1">
        <f t="shared" si="136"/>
        <v>26.3</v>
      </c>
      <c r="BG250" s="1">
        <f t="shared" si="136"/>
        <v>26.805555555555557</v>
      </c>
      <c r="BH250" s="1">
        <f t="shared" si="136"/>
        <v>27.31388888888889</v>
      </c>
      <c r="BI250" s="1">
        <f t="shared" si="136"/>
        <v>27.819444444444443</v>
      </c>
      <c r="BJ250" s="1">
        <f t="shared" si="136"/>
        <v>28.327777777777779</v>
      </c>
      <c r="BK250" s="1">
        <f t="shared" si="136"/>
        <v>28.836111111111112</v>
      </c>
      <c r="BL250" s="1">
        <f t="shared" si="136"/>
        <v>29.344444444444445</v>
      </c>
      <c r="BM250" s="1">
        <f t="shared" si="136"/>
        <v>29.85</v>
      </c>
      <c r="BN250" s="1">
        <f t="shared" si="141"/>
        <v>30.358333333333334</v>
      </c>
      <c r="BO250" s="1">
        <f t="shared" si="137"/>
        <v>30.358333333333334</v>
      </c>
      <c r="BP250" s="1">
        <f t="shared" si="137"/>
        <v>30.863888888888887</v>
      </c>
      <c r="BQ250" s="1">
        <f t="shared" si="137"/>
        <v>31.372222222222224</v>
      </c>
      <c r="BR250" s="1">
        <f t="shared" si="137"/>
        <v>31.877777777777776</v>
      </c>
      <c r="BS250" s="1">
        <f t="shared" si="137"/>
        <v>32.386111111111113</v>
      </c>
      <c r="BT250" s="1">
        <f t="shared" si="137"/>
        <v>32.894444444444446</v>
      </c>
      <c r="BU250" s="1">
        <f t="shared" si="137"/>
        <v>33.402777777777779</v>
      </c>
      <c r="BV250" s="1">
        <f t="shared" si="137"/>
        <v>33.402777777777779</v>
      </c>
      <c r="BW250" s="1">
        <f t="shared" si="137"/>
        <v>33.908333333333331</v>
      </c>
      <c r="BX250" s="1">
        <f t="shared" si="137"/>
        <v>34.416666666666664</v>
      </c>
      <c r="BY250" s="1">
        <f t="shared" si="137"/>
        <v>34.922222222222224</v>
      </c>
      <c r="BZ250" s="1">
        <f t="shared" si="137"/>
        <v>35.430555555555557</v>
      </c>
      <c r="CA250" s="1">
        <f t="shared" si="137"/>
        <v>35.93611111111111</v>
      </c>
      <c r="CB250" s="1">
        <f t="shared" si="137"/>
        <v>36.444444444444443</v>
      </c>
      <c r="CC250" s="1">
        <f t="shared" si="137"/>
        <v>36.952777777777776</v>
      </c>
      <c r="CD250" s="1">
        <f t="shared" si="137"/>
        <v>37.461111111111109</v>
      </c>
      <c r="CE250" s="1">
        <f t="shared" si="142"/>
        <v>37.966666666666669</v>
      </c>
      <c r="CF250" s="1">
        <f t="shared" si="142"/>
        <v>38.475000000000001</v>
      </c>
      <c r="CG250" s="1">
        <f t="shared" si="142"/>
        <v>38.980555555555554</v>
      </c>
      <c r="CH250" s="1">
        <f t="shared" si="142"/>
        <v>39.488888888888887</v>
      </c>
      <c r="CI250" s="1">
        <f t="shared" si="142"/>
        <v>39.994444444444447</v>
      </c>
      <c r="CJ250" s="1">
        <f t="shared" si="142"/>
        <v>40.50277777777778</v>
      </c>
      <c r="CK250" s="1">
        <f t="shared" si="142"/>
        <v>41.011111111111113</v>
      </c>
      <c r="CL250" s="1">
        <f t="shared" si="142"/>
        <v>41.519444444444446</v>
      </c>
      <c r="CM250" s="1">
        <f t="shared" si="142"/>
        <v>42.024999999999999</v>
      </c>
      <c r="CN250" s="1">
        <f t="shared" si="142"/>
        <v>42.533333333333331</v>
      </c>
      <c r="CO250" s="1">
        <f t="shared" si="142"/>
        <v>43.038888888888891</v>
      </c>
      <c r="CP250" s="1">
        <f t="shared" si="142"/>
        <v>43.547222222222224</v>
      </c>
      <c r="CQ250" s="1">
        <f t="shared" si="142"/>
        <v>44.052777777777777</v>
      </c>
      <c r="CR250" s="1">
        <f t="shared" si="142"/>
        <v>44.56111111111111</v>
      </c>
      <c r="CS250" s="1">
        <f t="shared" si="138"/>
        <v>45.069444444444443</v>
      </c>
      <c r="CT250" s="1">
        <f t="shared" si="138"/>
        <v>45.577777777777776</v>
      </c>
      <c r="CU250" s="1">
        <f t="shared" si="138"/>
        <v>46.083333333333336</v>
      </c>
      <c r="CV250" s="1">
        <f t="shared" si="138"/>
        <v>46.591666666666669</v>
      </c>
      <c r="CW250" s="1">
        <f t="shared" si="138"/>
        <v>47.097222222222221</v>
      </c>
      <c r="CX250" s="1">
        <f t="shared" si="138"/>
        <v>47.605555555555554</v>
      </c>
      <c r="CY250" s="1">
        <f t="shared" si="138"/>
        <v>48.111111111111114</v>
      </c>
      <c r="CZ250" s="1">
        <f t="shared" si="138"/>
        <v>48.619444444444447</v>
      </c>
      <c r="DA250" s="1">
        <f t="shared" si="138"/>
        <v>49.12777777777778</v>
      </c>
      <c r="DB250" s="1">
        <f t="shared" si="138"/>
        <v>49.636111111111113</v>
      </c>
      <c r="DC250" s="1">
        <f t="shared" si="138"/>
        <v>49.636111111111113</v>
      </c>
    </row>
    <row r="251" spans="1:107" x14ac:dyDescent="0.25">
      <c r="A251">
        <f t="shared" si="114"/>
        <v>5</v>
      </c>
      <c r="B251" s="2">
        <f>yields_BRUTE!B251</f>
        <v>42369</v>
      </c>
      <c r="C251" s="1">
        <f t="shared" si="143"/>
        <v>-0.84722222222222221</v>
      </c>
      <c r="D251" s="1">
        <f t="shared" si="143"/>
        <v>-0.80833333333333335</v>
      </c>
      <c r="E251" s="1">
        <f t="shared" si="143"/>
        <v>-0.59166666666666667</v>
      </c>
      <c r="F251" s="1">
        <f t="shared" si="143"/>
        <v>-0.33611111111111114</v>
      </c>
      <c r="G251" s="1">
        <f t="shared" si="143"/>
        <v>-0.29722222222222222</v>
      </c>
      <c r="H251" s="1">
        <f t="shared" si="143"/>
        <v>-8.3333333333333329E-2</v>
      </c>
      <c r="I251" s="1">
        <f t="shared" si="143"/>
        <v>-8.3333333333333329E-2</v>
      </c>
      <c r="J251" s="1">
        <f t="shared" si="143"/>
        <v>0.16944444444444445</v>
      </c>
      <c r="K251" s="1">
        <f t="shared" si="143"/>
        <v>0.20833333333333334</v>
      </c>
      <c r="L251" s="1">
        <f t="shared" si="143"/>
        <v>0.42499999999999999</v>
      </c>
      <c r="M251" s="1">
        <f t="shared" si="143"/>
        <v>0.68055555555555558</v>
      </c>
      <c r="N251" s="1">
        <f t="shared" si="143"/>
        <v>0.68055555555555558</v>
      </c>
      <c r="O251" s="1">
        <f t="shared" si="143"/>
        <v>0.71944444444444444</v>
      </c>
      <c r="P251" s="1">
        <f t="shared" si="143"/>
        <v>0.93333333333333335</v>
      </c>
      <c r="Q251" s="1">
        <f t="shared" si="143"/>
        <v>1.2222222222222223</v>
      </c>
      <c r="R251" s="1">
        <f t="shared" si="143"/>
        <v>1.4388888888888889</v>
      </c>
      <c r="S251" s="1">
        <f t="shared" si="139"/>
        <v>1.7333333333333334</v>
      </c>
      <c r="T251" s="1">
        <f t="shared" si="139"/>
        <v>1.9472222222222222</v>
      </c>
      <c r="U251" s="1">
        <f t="shared" si="139"/>
        <v>2.2361111111111112</v>
      </c>
      <c r="V251" s="1">
        <f t="shared" si="139"/>
        <v>2.4527777777777779</v>
      </c>
      <c r="W251" s="1">
        <f t="shared" si="139"/>
        <v>2.7472222222222222</v>
      </c>
      <c r="X251" s="1">
        <f t="shared" si="139"/>
        <v>2.9611111111111112</v>
      </c>
      <c r="Y251" s="1">
        <f t="shared" si="139"/>
        <v>3.25</v>
      </c>
      <c r="Z251" s="1">
        <f t="shared" si="139"/>
        <v>3.4666666666666668</v>
      </c>
      <c r="AA251" s="1">
        <f t="shared" si="139"/>
        <v>3.7611111111111111</v>
      </c>
      <c r="AB251" s="1">
        <f t="shared" si="139"/>
        <v>3.9750000000000001</v>
      </c>
      <c r="AC251" s="1">
        <f t="shared" si="139"/>
        <v>4.2666666666666666</v>
      </c>
      <c r="AD251" s="1">
        <f t="shared" si="139"/>
        <v>4.4833333333333334</v>
      </c>
      <c r="AE251" s="1">
        <f t="shared" si="139"/>
        <v>4.4833333333333334</v>
      </c>
      <c r="AF251" s="3">
        <f t="shared" si="139"/>
        <v>4.7777777777777777</v>
      </c>
      <c r="AG251" s="1">
        <f t="shared" si="135"/>
        <v>4.9916666666666663</v>
      </c>
      <c r="AH251" s="1">
        <f t="shared" si="135"/>
        <v>5.2805555555555559</v>
      </c>
      <c r="AI251" s="1">
        <f t="shared" si="135"/>
        <v>5.2805555555555559</v>
      </c>
      <c r="AJ251" s="1">
        <f t="shared" si="135"/>
        <v>5.4972222222222218</v>
      </c>
      <c r="AK251" s="1">
        <f t="shared" si="135"/>
        <v>5.4972222222222218</v>
      </c>
      <c r="AL251" s="1">
        <f t="shared" si="135"/>
        <v>6.0055555555555555</v>
      </c>
      <c r="AM251" s="1">
        <f t="shared" si="135"/>
        <v>6.5111111111111111</v>
      </c>
      <c r="AN251" s="1">
        <f t="shared" si="135"/>
        <v>6.5111111111111111</v>
      </c>
      <c r="AO251" s="1">
        <f t="shared" si="135"/>
        <v>7.0194444444444448</v>
      </c>
      <c r="AP251" s="1">
        <f t="shared" si="135"/>
        <v>7.5250000000000004</v>
      </c>
      <c r="AQ251" s="1">
        <f t="shared" si="135"/>
        <v>7.5250000000000004</v>
      </c>
      <c r="AR251" s="1">
        <f t="shared" si="135"/>
        <v>8.0333333333333332</v>
      </c>
      <c r="AS251" s="1">
        <f t="shared" si="135"/>
        <v>8.5416666666666661</v>
      </c>
      <c r="AT251" s="1">
        <f t="shared" si="135"/>
        <v>9.0500000000000007</v>
      </c>
      <c r="AU251" s="1">
        <f t="shared" si="135"/>
        <v>9.5555555555555554</v>
      </c>
      <c r="AV251" s="1">
        <f t="shared" si="135"/>
        <v>9.5555555555555554</v>
      </c>
      <c r="AW251" s="1">
        <f t="shared" si="140"/>
        <v>14.122222222222222</v>
      </c>
      <c r="AX251" s="1">
        <f t="shared" si="136"/>
        <v>14.627777777777778</v>
      </c>
      <c r="AY251" s="1">
        <f t="shared" si="136"/>
        <v>15.136111111111111</v>
      </c>
      <c r="AZ251" s="1">
        <f t="shared" si="136"/>
        <v>15.641666666666667</v>
      </c>
      <c r="BA251" s="1">
        <f t="shared" si="136"/>
        <v>16.149999999999999</v>
      </c>
      <c r="BB251" s="1">
        <f t="shared" si="136"/>
        <v>16.658333333333335</v>
      </c>
      <c r="BC251" s="1">
        <f t="shared" si="136"/>
        <v>17.166666666666668</v>
      </c>
      <c r="BD251" s="1">
        <f t="shared" si="136"/>
        <v>17.672222222222221</v>
      </c>
      <c r="BE251" s="1">
        <f t="shared" si="136"/>
        <v>17.672222222222221</v>
      </c>
      <c r="BF251" s="1">
        <f t="shared" si="136"/>
        <v>26.297222222222221</v>
      </c>
      <c r="BG251" s="1">
        <f t="shared" si="136"/>
        <v>26.802777777777777</v>
      </c>
      <c r="BH251" s="1">
        <f t="shared" si="136"/>
        <v>27.31111111111111</v>
      </c>
      <c r="BI251" s="1">
        <f t="shared" si="136"/>
        <v>27.816666666666666</v>
      </c>
      <c r="BJ251" s="1">
        <f t="shared" si="136"/>
        <v>28.324999999999999</v>
      </c>
      <c r="BK251" s="1">
        <f t="shared" si="136"/>
        <v>28.833333333333332</v>
      </c>
      <c r="BL251" s="1">
        <f t="shared" si="136"/>
        <v>29.341666666666665</v>
      </c>
      <c r="BM251" s="1">
        <f t="shared" si="136"/>
        <v>29.847222222222221</v>
      </c>
      <c r="BN251" s="1">
        <f t="shared" si="141"/>
        <v>30.355555555555554</v>
      </c>
      <c r="BO251" s="1">
        <f t="shared" si="137"/>
        <v>30.355555555555554</v>
      </c>
      <c r="BP251" s="1">
        <f t="shared" si="137"/>
        <v>30.861111111111111</v>
      </c>
      <c r="BQ251" s="1">
        <f t="shared" si="137"/>
        <v>31.369444444444444</v>
      </c>
      <c r="BR251" s="1">
        <f t="shared" si="137"/>
        <v>31.875</v>
      </c>
      <c r="BS251" s="1">
        <f t="shared" si="137"/>
        <v>32.383333333333333</v>
      </c>
      <c r="BT251" s="1">
        <f t="shared" si="137"/>
        <v>32.891666666666666</v>
      </c>
      <c r="BU251" s="1">
        <f t="shared" si="137"/>
        <v>33.4</v>
      </c>
      <c r="BV251" s="1">
        <f t="shared" si="137"/>
        <v>33.4</v>
      </c>
      <c r="BW251" s="1">
        <f t="shared" si="137"/>
        <v>33.905555555555559</v>
      </c>
      <c r="BX251" s="1">
        <f t="shared" si="137"/>
        <v>34.413888888888891</v>
      </c>
      <c r="BY251" s="1">
        <f t="shared" si="137"/>
        <v>34.919444444444444</v>
      </c>
      <c r="BZ251" s="1">
        <f t="shared" si="137"/>
        <v>35.427777777777777</v>
      </c>
      <c r="CA251" s="1">
        <f t="shared" si="137"/>
        <v>35.93333333333333</v>
      </c>
      <c r="CB251" s="1">
        <f t="shared" si="137"/>
        <v>36.44166666666667</v>
      </c>
      <c r="CC251" s="1">
        <f t="shared" si="137"/>
        <v>36.950000000000003</v>
      </c>
      <c r="CD251" s="1">
        <f t="shared" si="137"/>
        <v>37.458333333333336</v>
      </c>
      <c r="CE251" s="1">
        <f t="shared" si="142"/>
        <v>37.963888888888889</v>
      </c>
      <c r="CF251" s="1">
        <f t="shared" si="142"/>
        <v>38.472222222222221</v>
      </c>
      <c r="CG251" s="1">
        <f t="shared" si="142"/>
        <v>38.977777777777774</v>
      </c>
      <c r="CH251" s="1">
        <f t="shared" si="142"/>
        <v>39.486111111111114</v>
      </c>
      <c r="CI251" s="1">
        <f t="shared" si="142"/>
        <v>39.991666666666667</v>
      </c>
      <c r="CJ251" s="1">
        <f t="shared" si="142"/>
        <v>40.5</v>
      </c>
      <c r="CK251" s="1">
        <f t="shared" si="142"/>
        <v>41.008333333333333</v>
      </c>
      <c r="CL251" s="1">
        <f t="shared" si="142"/>
        <v>41.516666666666666</v>
      </c>
      <c r="CM251" s="1">
        <f t="shared" si="142"/>
        <v>42.022222222222226</v>
      </c>
      <c r="CN251" s="1">
        <f t="shared" si="142"/>
        <v>42.530555555555559</v>
      </c>
      <c r="CO251" s="1">
        <f t="shared" si="142"/>
        <v>43.036111111111111</v>
      </c>
      <c r="CP251" s="1">
        <f t="shared" si="142"/>
        <v>43.544444444444444</v>
      </c>
      <c r="CQ251" s="1">
        <f t="shared" si="142"/>
        <v>44.05</v>
      </c>
      <c r="CR251" s="1">
        <f t="shared" si="142"/>
        <v>44.55833333333333</v>
      </c>
      <c r="CS251" s="1">
        <f t="shared" si="138"/>
        <v>45.06666666666667</v>
      </c>
      <c r="CT251" s="1">
        <f t="shared" si="138"/>
        <v>45.575000000000003</v>
      </c>
      <c r="CU251" s="1">
        <f t="shared" si="138"/>
        <v>46.080555555555556</v>
      </c>
      <c r="CV251" s="1">
        <f t="shared" si="138"/>
        <v>46.588888888888889</v>
      </c>
      <c r="CW251" s="1">
        <f t="shared" si="138"/>
        <v>47.094444444444441</v>
      </c>
      <c r="CX251" s="1">
        <f t="shared" si="138"/>
        <v>47.602777777777774</v>
      </c>
      <c r="CY251" s="1">
        <f t="shared" si="138"/>
        <v>48.108333333333334</v>
      </c>
      <c r="CZ251" s="1">
        <f t="shared" si="138"/>
        <v>48.616666666666667</v>
      </c>
      <c r="DA251" s="1">
        <f t="shared" si="138"/>
        <v>49.125</v>
      </c>
      <c r="DB251" s="1">
        <f t="shared" si="138"/>
        <v>49.633333333333333</v>
      </c>
      <c r="DC251" s="1">
        <f t="shared" si="138"/>
        <v>49.633333333333333</v>
      </c>
    </row>
  </sheetData>
  <autoFilter ref="A1:DC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3"/>
  <sheetViews>
    <sheetView workbookViewId="0">
      <selection activeCell="K9" sqref="K9"/>
    </sheetView>
  </sheetViews>
  <sheetFormatPr defaultColWidth="8.85546875" defaultRowHeight="15" x14ac:dyDescent="0.25"/>
  <cols>
    <col min="1" max="1" width="11.7109375" bestFit="1" customWidth="1"/>
    <col min="2" max="2" width="12" customWidth="1"/>
    <col min="3" max="3" width="17.42578125" customWidth="1"/>
    <col min="4" max="4" width="14.28515625" customWidth="1"/>
    <col min="5" max="6" width="12.85546875" customWidth="1"/>
  </cols>
  <sheetData>
    <row r="1" spans="1:6" s="6" customFormat="1" x14ac:dyDescent="0.25">
      <c r="A1" s="6" t="s">
        <v>1</v>
      </c>
      <c r="B1" s="6" t="s">
        <v>0</v>
      </c>
      <c r="C1" s="6">
        <v>42887</v>
      </c>
      <c r="D1" s="7">
        <v>44089</v>
      </c>
      <c r="E1" s="6">
        <v>45809</v>
      </c>
      <c r="F1" s="6">
        <v>45809</v>
      </c>
    </row>
    <row r="2" spans="1:6" ht="15" customHeight="1" x14ac:dyDescent="0.25">
      <c r="A2">
        <f t="shared" ref="A2:A14" si="0">WEEKDAY(B2)</f>
        <v>5</v>
      </c>
      <c r="B2" s="2">
        <v>42012</v>
      </c>
      <c r="C2">
        <v>1.04267</v>
      </c>
      <c r="D2">
        <v>1.46678</v>
      </c>
      <c r="E2">
        <v>1.9313800000000001</v>
      </c>
      <c r="F2">
        <v>1.8514999999999999</v>
      </c>
    </row>
    <row r="3" spans="1:6" ht="15" customHeight="1" x14ac:dyDescent="0.25">
      <c r="A3">
        <f t="shared" si="0"/>
        <v>5</v>
      </c>
      <c r="B3" s="2">
        <v>42019</v>
      </c>
      <c r="C3">
        <v>0.87270999999999999</v>
      </c>
      <c r="D3">
        <v>1.24644</v>
      </c>
      <c r="E3">
        <v>1.6851499999999999</v>
      </c>
      <c r="F3">
        <v>1.62009</v>
      </c>
    </row>
    <row r="4" spans="1:6" ht="15" customHeight="1" x14ac:dyDescent="0.25">
      <c r="A4">
        <f t="shared" si="0"/>
        <v>5</v>
      </c>
      <c r="B4" s="2">
        <v>42026</v>
      </c>
      <c r="C4">
        <v>0.61267000000000005</v>
      </c>
      <c r="D4">
        <v>1.08535</v>
      </c>
      <c r="E4">
        <v>1.6252</v>
      </c>
      <c r="F4">
        <v>1.57229</v>
      </c>
    </row>
    <row r="5" spans="1:6" ht="15" customHeight="1" x14ac:dyDescent="0.25">
      <c r="A5">
        <f t="shared" si="0"/>
        <v>5</v>
      </c>
      <c r="B5" s="2">
        <v>42033</v>
      </c>
      <c r="C5">
        <v>0.51356999999999997</v>
      </c>
      <c r="D5">
        <v>0.93457000000000001</v>
      </c>
      <c r="E5">
        <v>1.4626999999999999</v>
      </c>
      <c r="F5">
        <v>1.39547</v>
      </c>
    </row>
    <row r="6" spans="1:6" ht="15" customHeight="1" x14ac:dyDescent="0.25">
      <c r="A6">
        <f t="shared" si="0"/>
        <v>5</v>
      </c>
      <c r="B6" s="2">
        <v>42040</v>
      </c>
      <c r="C6">
        <v>0.48581999999999997</v>
      </c>
      <c r="D6">
        <v>0.9153</v>
      </c>
      <c r="E6">
        <v>1.44492</v>
      </c>
      <c r="F6">
        <v>1.3818999999999999</v>
      </c>
    </row>
    <row r="7" spans="1:6" ht="15" customHeight="1" x14ac:dyDescent="0.25">
      <c r="A7">
        <f t="shared" si="0"/>
        <v>5</v>
      </c>
      <c r="B7" s="2">
        <v>42047</v>
      </c>
      <c r="C7">
        <v>0.48137999999999997</v>
      </c>
      <c r="D7">
        <v>0.93896999999999997</v>
      </c>
      <c r="E7">
        <v>1.47072</v>
      </c>
      <c r="F7">
        <v>1.42703</v>
      </c>
    </row>
    <row r="8" spans="1:6" ht="15" customHeight="1" x14ac:dyDescent="0.25">
      <c r="A8">
        <f t="shared" si="0"/>
        <v>5</v>
      </c>
      <c r="B8" s="2">
        <v>42054</v>
      </c>
      <c r="C8">
        <v>0.48997000000000002</v>
      </c>
      <c r="D8">
        <v>0.98955000000000004</v>
      </c>
      <c r="E8">
        <v>1.5345599999999999</v>
      </c>
      <c r="F8">
        <v>1.4781599999999999</v>
      </c>
    </row>
    <row r="9" spans="1:6" ht="15" customHeight="1" x14ac:dyDescent="0.25">
      <c r="A9">
        <f t="shared" si="0"/>
        <v>5</v>
      </c>
      <c r="B9" s="2">
        <v>42061</v>
      </c>
      <c r="C9">
        <v>0.56855999999999995</v>
      </c>
      <c r="D9">
        <v>0.94205000000000005</v>
      </c>
      <c r="E9">
        <v>1.44651</v>
      </c>
      <c r="F9">
        <v>1.3846499999999999</v>
      </c>
    </row>
    <row r="10" spans="1:6" ht="15" customHeight="1" x14ac:dyDescent="0.25">
      <c r="A10">
        <f t="shared" si="0"/>
        <v>5</v>
      </c>
      <c r="B10" s="2">
        <v>42068</v>
      </c>
      <c r="C10">
        <v>0.69211999999999996</v>
      </c>
      <c r="D10">
        <v>1.09158</v>
      </c>
      <c r="E10">
        <v>1.6154999999999999</v>
      </c>
      <c r="F10">
        <v>1.54573</v>
      </c>
    </row>
    <row r="11" spans="1:6" ht="15" customHeight="1" x14ac:dyDescent="0.25">
      <c r="A11">
        <f t="shared" si="0"/>
        <v>5</v>
      </c>
      <c r="B11" s="2">
        <v>42075</v>
      </c>
      <c r="C11">
        <v>0.65476000000000001</v>
      </c>
      <c r="D11">
        <v>1.03223</v>
      </c>
      <c r="E11">
        <v>1.58331</v>
      </c>
      <c r="F11">
        <v>1.51566</v>
      </c>
    </row>
    <row r="12" spans="1:6" ht="15" customHeight="1" x14ac:dyDescent="0.25">
      <c r="A12">
        <f t="shared" si="0"/>
        <v>5</v>
      </c>
      <c r="B12" s="2">
        <v>42082</v>
      </c>
      <c r="C12">
        <v>0.56764000000000003</v>
      </c>
      <c r="D12">
        <v>0.89732000000000001</v>
      </c>
      <c r="E12">
        <v>1.4104000000000001</v>
      </c>
      <c r="F12">
        <v>1.3398099999999999</v>
      </c>
    </row>
    <row r="13" spans="1:6" ht="15" customHeight="1" x14ac:dyDescent="0.25">
      <c r="A13">
        <f t="shared" si="0"/>
        <v>5</v>
      </c>
      <c r="B13" s="2">
        <v>42089</v>
      </c>
      <c r="C13">
        <v>0.67054999999999998</v>
      </c>
      <c r="D13">
        <v>1.0221800000000001</v>
      </c>
      <c r="E13">
        <v>1.52322</v>
      </c>
      <c r="F13">
        <v>1.4582299999999999</v>
      </c>
    </row>
    <row r="14" spans="1:6" ht="15" customHeight="1" x14ac:dyDescent="0.25">
      <c r="A14">
        <f t="shared" si="0"/>
        <v>5</v>
      </c>
      <c r="B14" s="2">
        <v>42096</v>
      </c>
      <c r="C14">
        <v>0.57757999999999998</v>
      </c>
      <c r="D14">
        <v>0.89888000000000001</v>
      </c>
      <c r="E14">
        <v>1.3983099999999999</v>
      </c>
      <c r="F14">
        <v>1.3321000000000001</v>
      </c>
    </row>
    <row r="15" spans="1:6" ht="15" customHeight="1" x14ac:dyDescent="0.25">
      <c r="A15">
        <f t="shared" ref="A15:A27" si="1">WEEKDAY(B15)</f>
        <v>5</v>
      </c>
      <c r="B15" s="2">
        <v>42103</v>
      </c>
      <c r="C15">
        <v>0.59660000000000002</v>
      </c>
      <c r="D15">
        <v>0.94550000000000001</v>
      </c>
      <c r="E15">
        <v>1.45706</v>
      </c>
      <c r="F15">
        <v>1.3906799999999999</v>
      </c>
    </row>
    <row r="16" spans="1:6" ht="15" customHeight="1" x14ac:dyDescent="0.25">
      <c r="A16">
        <f t="shared" si="1"/>
        <v>5</v>
      </c>
      <c r="B16" s="2">
        <v>42110</v>
      </c>
      <c r="C16">
        <v>0.66274</v>
      </c>
      <c r="D16">
        <v>0.97616000000000003</v>
      </c>
      <c r="E16">
        <v>1.46065</v>
      </c>
      <c r="F16">
        <v>1.39028</v>
      </c>
    </row>
    <row r="17" spans="1:6" ht="15" customHeight="1" x14ac:dyDescent="0.25">
      <c r="A17">
        <f t="shared" si="1"/>
        <v>5</v>
      </c>
      <c r="B17" s="2">
        <v>42117</v>
      </c>
      <c r="C17">
        <v>0.74214999999999998</v>
      </c>
      <c r="D17">
        <v>1.08626</v>
      </c>
      <c r="E17">
        <v>1.57826</v>
      </c>
      <c r="F17">
        <v>1.5035400000000001</v>
      </c>
    </row>
    <row r="18" spans="1:6" ht="15" customHeight="1" x14ac:dyDescent="0.25">
      <c r="A18">
        <f t="shared" si="1"/>
        <v>5</v>
      </c>
      <c r="B18" s="2">
        <v>42124</v>
      </c>
      <c r="C18">
        <v>0.76934999999999998</v>
      </c>
      <c r="D18">
        <v>1.15201</v>
      </c>
      <c r="E18">
        <v>1.6869499999999999</v>
      </c>
      <c r="F18">
        <v>1.6077300000000001</v>
      </c>
    </row>
    <row r="19" spans="1:6" ht="15" customHeight="1" x14ac:dyDescent="0.25">
      <c r="A19">
        <f t="shared" si="1"/>
        <v>5</v>
      </c>
      <c r="B19" s="2">
        <v>42131</v>
      </c>
      <c r="C19">
        <v>0.78710999999999998</v>
      </c>
      <c r="D19">
        <v>1.2451099999999999</v>
      </c>
      <c r="E19">
        <v>1.81758</v>
      </c>
      <c r="F19">
        <v>1.7625200000000001</v>
      </c>
    </row>
    <row r="20" spans="1:6" ht="15" customHeight="1" x14ac:dyDescent="0.25">
      <c r="A20">
        <f t="shared" si="1"/>
        <v>5</v>
      </c>
      <c r="B20" s="2">
        <v>42138</v>
      </c>
      <c r="C20">
        <v>0.77688999999999997</v>
      </c>
      <c r="D20">
        <v>1.2604900000000001</v>
      </c>
      <c r="E20">
        <v>1.8763700000000001</v>
      </c>
      <c r="F20">
        <v>1.82759</v>
      </c>
    </row>
    <row r="21" spans="1:6" ht="15" customHeight="1" x14ac:dyDescent="0.25">
      <c r="A21">
        <f t="shared" si="1"/>
        <v>5</v>
      </c>
      <c r="B21" s="2">
        <v>42145</v>
      </c>
      <c r="C21">
        <v>0.77415</v>
      </c>
      <c r="D21">
        <v>1.25146</v>
      </c>
      <c r="E21">
        <v>1.8550800000000001</v>
      </c>
      <c r="F21">
        <v>1.7756799999999999</v>
      </c>
    </row>
    <row r="22" spans="1:6" ht="15" customHeight="1" x14ac:dyDescent="0.25">
      <c r="A22">
        <f t="shared" si="1"/>
        <v>5</v>
      </c>
      <c r="B22" s="2">
        <v>42152</v>
      </c>
      <c r="C22">
        <v>0.72138999999999998</v>
      </c>
      <c r="D22">
        <v>1.1453100000000001</v>
      </c>
      <c r="E22">
        <v>1.7628200000000001</v>
      </c>
      <c r="F22">
        <v>1.68113</v>
      </c>
    </row>
    <row r="23" spans="1:6" ht="15" customHeight="1" x14ac:dyDescent="0.25">
      <c r="A23">
        <f t="shared" si="1"/>
        <v>5</v>
      </c>
      <c r="B23" s="2">
        <v>42159</v>
      </c>
      <c r="C23">
        <v>0.68084</v>
      </c>
      <c r="D23">
        <v>1.18127</v>
      </c>
      <c r="E23">
        <v>1.8450299999999999</v>
      </c>
      <c r="F23">
        <v>1.75868</v>
      </c>
    </row>
    <row r="24" spans="1:6" ht="15" customHeight="1" x14ac:dyDescent="0.25">
      <c r="A24">
        <f t="shared" si="1"/>
        <v>5</v>
      </c>
      <c r="B24" s="2">
        <v>42166</v>
      </c>
      <c r="C24">
        <v>0.75036999999999998</v>
      </c>
      <c r="D24">
        <v>1.2605299999999999</v>
      </c>
      <c r="E24">
        <v>1.9277500000000001</v>
      </c>
      <c r="F24">
        <v>1.84</v>
      </c>
    </row>
    <row r="25" spans="1:6" ht="15" customHeight="1" x14ac:dyDescent="0.25">
      <c r="A25">
        <f t="shared" si="1"/>
        <v>5</v>
      </c>
      <c r="B25" s="2">
        <v>42173</v>
      </c>
      <c r="C25">
        <v>0.71319999999999995</v>
      </c>
      <c r="D25">
        <v>1.19937</v>
      </c>
      <c r="E25">
        <v>1.8945700000000001</v>
      </c>
      <c r="F25">
        <v>1.8132999999999999</v>
      </c>
    </row>
    <row r="26" spans="1:6" ht="15" customHeight="1" x14ac:dyDescent="0.25">
      <c r="A26">
        <f t="shared" si="1"/>
        <v>5</v>
      </c>
      <c r="B26" s="2">
        <v>42180</v>
      </c>
      <c r="C26">
        <v>0.71355000000000002</v>
      </c>
      <c r="D26">
        <v>1.23908</v>
      </c>
      <c r="E26">
        <v>1.92425</v>
      </c>
      <c r="F26">
        <v>1.8411999999999999</v>
      </c>
    </row>
    <row r="27" spans="1:6" ht="15" customHeight="1" x14ac:dyDescent="0.25">
      <c r="A27">
        <f t="shared" si="1"/>
        <v>5</v>
      </c>
      <c r="B27" s="2">
        <v>42187</v>
      </c>
      <c r="C27">
        <v>0.58301999999999998</v>
      </c>
      <c r="D27">
        <v>1.0854699999999999</v>
      </c>
      <c r="E27">
        <v>1.8134999999999999</v>
      </c>
      <c r="F27">
        <v>1.76007</v>
      </c>
    </row>
    <row r="28" spans="1:6" ht="15" customHeight="1" x14ac:dyDescent="0.25">
      <c r="A28">
        <f t="shared" ref="A28:A40" si="2">WEEKDAY(B28)</f>
        <v>5</v>
      </c>
      <c r="B28" s="2">
        <v>42194</v>
      </c>
      <c r="C28">
        <v>0.55710000000000004</v>
      </c>
      <c r="D28">
        <v>0.97540000000000004</v>
      </c>
      <c r="E28">
        <v>1.6862299999999999</v>
      </c>
      <c r="F28">
        <v>1.6202300000000001</v>
      </c>
    </row>
    <row r="29" spans="1:6" ht="15" customHeight="1" x14ac:dyDescent="0.25">
      <c r="A29">
        <f t="shared" si="2"/>
        <v>5</v>
      </c>
      <c r="B29" s="2">
        <v>42201</v>
      </c>
      <c r="C29">
        <v>0.50948000000000004</v>
      </c>
      <c r="D29">
        <v>0.94447000000000003</v>
      </c>
      <c r="E29">
        <v>1.6594599999999999</v>
      </c>
      <c r="F29">
        <v>1.5901400000000001</v>
      </c>
    </row>
    <row r="30" spans="1:6" ht="15" customHeight="1" x14ac:dyDescent="0.25">
      <c r="A30">
        <f t="shared" si="2"/>
        <v>5</v>
      </c>
      <c r="B30" s="2">
        <v>42208</v>
      </c>
      <c r="C30">
        <v>0.52337999999999996</v>
      </c>
      <c r="D30">
        <v>0.86995</v>
      </c>
      <c r="E30">
        <v>1.59355</v>
      </c>
      <c r="F30">
        <v>1.5266900000000001</v>
      </c>
    </row>
    <row r="31" spans="1:6" ht="15" customHeight="1" x14ac:dyDescent="0.25">
      <c r="A31">
        <f t="shared" si="2"/>
        <v>5</v>
      </c>
      <c r="B31" s="2">
        <v>42215</v>
      </c>
      <c r="C31">
        <v>0.53927000000000003</v>
      </c>
      <c r="D31">
        <v>0.93522000000000005</v>
      </c>
      <c r="E31">
        <v>1.57498</v>
      </c>
      <c r="F31">
        <v>1.5169900000000001</v>
      </c>
    </row>
    <row r="32" spans="1:6" ht="15" customHeight="1" x14ac:dyDescent="0.25">
      <c r="A32">
        <f t="shared" si="2"/>
        <v>5</v>
      </c>
      <c r="B32" s="2">
        <v>42222</v>
      </c>
      <c r="C32">
        <v>0.52112000000000003</v>
      </c>
      <c r="D32">
        <v>0.87165999999999999</v>
      </c>
      <c r="E32">
        <v>1.52955</v>
      </c>
      <c r="F32">
        <v>1.4709700000000001</v>
      </c>
    </row>
    <row r="33" spans="1:6" ht="15" customHeight="1" x14ac:dyDescent="0.25">
      <c r="A33">
        <f t="shared" si="2"/>
        <v>5</v>
      </c>
      <c r="B33" s="2">
        <v>42229</v>
      </c>
      <c r="C33">
        <v>0.51097999999999999</v>
      </c>
      <c r="D33">
        <v>0.82603000000000004</v>
      </c>
      <c r="E33">
        <v>1.48075</v>
      </c>
      <c r="F33">
        <v>1.4220299999999999</v>
      </c>
    </row>
    <row r="34" spans="1:6" ht="15" customHeight="1" x14ac:dyDescent="0.25">
      <c r="A34">
        <f t="shared" si="2"/>
        <v>5</v>
      </c>
      <c r="B34" s="2">
        <v>42236</v>
      </c>
      <c r="C34">
        <v>0.45038</v>
      </c>
      <c r="D34">
        <v>0.73126000000000002</v>
      </c>
      <c r="E34">
        <v>1.37751</v>
      </c>
      <c r="F34">
        <v>1.3248200000000001</v>
      </c>
    </row>
    <row r="35" spans="1:6" ht="15" customHeight="1" x14ac:dyDescent="0.25">
      <c r="A35">
        <f t="shared" si="2"/>
        <v>5</v>
      </c>
      <c r="B35" s="2">
        <v>42243</v>
      </c>
      <c r="C35">
        <v>0.51132</v>
      </c>
      <c r="D35">
        <v>0.82915000000000005</v>
      </c>
      <c r="E35">
        <v>1.5641099999999999</v>
      </c>
      <c r="F35">
        <v>1.48342</v>
      </c>
    </row>
    <row r="36" spans="1:6" ht="15" customHeight="1" x14ac:dyDescent="0.25">
      <c r="A36">
        <f t="shared" si="2"/>
        <v>5</v>
      </c>
      <c r="B36" s="2">
        <v>42250</v>
      </c>
      <c r="C36">
        <v>0.54905000000000004</v>
      </c>
      <c r="D36">
        <v>0.85650999999999999</v>
      </c>
      <c r="E36">
        <v>1.5725100000000001</v>
      </c>
      <c r="F36">
        <v>1.4859500000000001</v>
      </c>
    </row>
    <row r="37" spans="1:6" ht="15" customHeight="1" x14ac:dyDescent="0.25">
      <c r="A37">
        <f t="shared" si="2"/>
        <v>5</v>
      </c>
      <c r="B37" s="2">
        <v>42257</v>
      </c>
      <c r="C37">
        <v>0.58187999999999995</v>
      </c>
      <c r="D37">
        <v>0.89217999999999997</v>
      </c>
      <c r="E37">
        <v>1.60734</v>
      </c>
      <c r="F37">
        <v>1.51461</v>
      </c>
    </row>
    <row r="38" spans="1:6" ht="15" customHeight="1" x14ac:dyDescent="0.25">
      <c r="A38">
        <f t="shared" si="2"/>
        <v>5</v>
      </c>
      <c r="B38" s="2">
        <v>42264</v>
      </c>
      <c r="C38">
        <v>0.60943999999999998</v>
      </c>
      <c r="D38">
        <v>0.92645</v>
      </c>
      <c r="E38">
        <v>1.6409499999999999</v>
      </c>
      <c r="F38">
        <v>1.5561499999999999</v>
      </c>
    </row>
    <row r="39" spans="1:6" ht="15" customHeight="1" x14ac:dyDescent="0.25">
      <c r="A39">
        <f t="shared" si="2"/>
        <v>5</v>
      </c>
      <c r="B39" s="2">
        <v>42271</v>
      </c>
      <c r="C39">
        <v>0.63188999999999995</v>
      </c>
      <c r="D39">
        <v>0.91605999999999999</v>
      </c>
      <c r="E39">
        <v>1.57748</v>
      </c>
      <c r="F39">
        <v>1.49512</v>
      </c>
    </row>
    <row r="40" spans="1:6" ht="15" customHeight="1" x14ac:dyDescent="0.25">
      <c r="A40">
        <f t="shared" si="2"/>
        <v>5</v>
      </c>
      <c r="B40" s="2">
        <v>42278</v>
      </c>
      <c r="C40">
        <v>0.64507000000000003</v>
      </c>
      <c r="D40">
        <v>0.91830000000000001</v>
      </c>
      <c r="E40">
        <v>1.5330900000000001</v>
      </c>
      <c r="F40">
        <v>1.4614100000000001</v>
      </c>
    </row>
    <row r="41" spans="1:6" ht="15" customHeight="1" x14ac:dyDescent="0.25">
      <c r="A41">
        <f t="shared" ref="A41:A53" si="3">WEEKDAY(B41)</f>
        <v>5</v>
      </c>
      <c r="B41" s="2">
        <v>42285</v>
      </c>
      <c r="C41">
        <v>0.65688000000000002</v>
      </c>
      <c r="D41">
        <v>0.95967999999999998</v>
      </c>
      <c r="E41">
        <v>1.59782</v>
      </c>
      <c r="F41">
        <v>1.5307500000000001</v>
      </c>
    </row>
    <row r="42" spans="1:6" ht="15" customHeight="1" x14ac:dyDescent="0.25">
      <c r="A42">
        <f t="shared" si="3"/>
        <v>5</v>
      </c>
      <c r="B42" s="2">
        <v>42292</v>
      </c>
      <c r="C42">
        <v>0.6421</v>
      </c>
      <c r="D42">
        <v>0.91722999999999999</v>
      </c>
      <c r="E42">
        <v>1.5504800000000001</v>
      </c>
      <c r="F42">
        <v>1.4615</v>
      </c>
    </row>
    <row r="43" spans="1:6" ht="15" customHeight="1" x14ac:dyDescent="0.25">
      <c r="A43">
        <f t="shared" si="3"/>
        <v>5</v>
      </c>
      <c r="B43" s="2">
        <v>42299</v>
      </c>
      <c r="C43">
        <v>0.64512999999999998</v>
      </c>
      <c r="D43">
        <v>0.93118999999999996</v>
      </c>
      <c r="E43">
        <v>1.54976</v>
      </c>
      <c r="F43">
        <v>1.4702200000000001</v>
      </c>
    </row>
    <row r="44" spans="1:6" ht="15" customHeight="1" x14ac:dyDescent="0.25">
      <c r="A44">
        <f t="shared" si="3"/>
        <v>5</v>
      </c>
      <c r="B44" s="2">
        <v>42306</v>
      </c>
      <c r="C44">
        <v>0.69103999999999999</v>
      </c>
      <c r="D44">
        <v>1.0069699999999999</v>
      </c>
      <c r="E44">
        <v>1.64791</v>
      </c>
      <c r="F44">
        <v>1.5687</v>
      </c>
    </row>
    <row r="45" spans="1:6" ht="15" customHeight="1" x14ac:dyDescent="0.25">
      <c r="A45">
        <f t="shared" si="3"/>
        <v>5</v>
      </c>
      <c r="B45" s="2">
        <v>42313</v>
      </c>
      <c r="C45">
        <v>0.73553999999999997</v>
      </c>
      <c r="D45">
        <v>1.0767</v>
      </c>
      <c r="E45">
        <v>1.75674</v>
      </c>
      <c r="F45">
        <v>1.66845</v>
      </c>
    </row>
    <row r="46" spans="1:6" ht="15" customHeight="1" x14ac:dyDescent="0.25">
      <c r="A46">
        <f t="shared" si="3"/>
        <v>5</v>
      </c>
      <c r="B46" s="2">
        <v>42320</v>
      </c>
      <c r="C46">
        <v>0.75746000000000002</v>
      </c>
      <c r="D46">
        <v>1.1073</v>
      </c>
      <c r="E46">
        <v>1.8354200000000001</v>
      </c>
      <c r="F46">
        <v>1.7261299999999999</v>
      </c>
    </row>
    <row r="47" spans="1:6" ht="15" customHeight="1" x14ac:dyDescent="0.25">
      <c r="A47">
        <f t="shared" si="3"/>
        <v>5</v>
      </c>
      <c r="B47" s="2">
        <v>42327</v>
      </c>
      <c r="C47">
        <v>0.72629999999999995</v>
      </c>
      <c r="D47">
        <v>1.0553300000000001</v>
      </c>
      <c r="E47">
        <v>1.74769</v>
      </c>
      <c r="F47">
        <v>1.6462699999999999</v>
      </c>
    </row>
    <row r="48" spans="1:6" ht="15" customHeight="1" x14ac:dyDescent="0.25">
      <c r="A48">
        <f t="shared" si="3"/>
        <v>5</v>
      </c>
      <c r="B48" s="2">
        <v>42334</v>
      </c>
      <c r="C48">
        <v>0.73397000000000001</v>
      </c>
      <c r="D48">
        <v>1.0341499999999999</v>
      </c>
      <c r="E48">
        <v>1.6874400000000001</v>
      </c>
      <c r="F48">
        <v>1.5901099999999999</v>
      </c>
    </row>
    <row r="49" spans="1:6" ht="15" customHeight="1" x14ac:dyDescent="0.25">
      <c r="A49">
        <f t="shared" si="3"/>
        <v>5</v>
      </c>
      <c r="B49" s="2">
        <v>42341</v>
      </c>
      <c r="C49">
        <v>0.76605000000000001</v>
      </c>
      <c r="D49">
        <v>1.09344</v>
      </c>
      <c r="E49">
        <v>1.75451</v>
      </c>
      <c r="F49">
        <v>1.64527</v>
      </c>
    </row>
    <row r="50" spans="1:6" ht="15" customHeight="1" x14ac:dyDescent="0.25">
      <c r="A50">
        <f t="shared" si="3"/>
        <v>5</v>
      </c>
      <c r="B50" s="2">
        <v>42348</v>
      </c>
      <c r="C50">
        <v>0.65178999999999998</v>
      </c>
      <c r="D50">
        <v>0.94979000000000002</v>
      </c>
      <c r="E50">
        <v>1.6043700000000001</v>
      </c>
      <c r="F50">
        <v>1.5049300000000001</v>
      </c>
    </row>
    <row r="51" spans="1:6" ht="15" customHeight="1" x14ac:dyDescent="0.25">
      <c r="A51">
        <f t="shared" si="3"/>
        <v>5</v>
      </c>
      <c r="B51" s="2">
        <v>42355</v>
      </c>
      <c r="C51">
        <v>0.63110999999999995</v>
      </c>
      <c r="D51">
        <v>0.92481999999999998</v>
      </c>
      <c r="E51">
        <v>1.55094</v>
      </c>
      <c r="F51">
        <v>1.4548399999999999</v>
      </c>
    </row>
    <row r="52" spans="1:6" ht="15" customHeight="1" x14ac:dyDescent="0.25">
      <c r="A52">
        <f t="shared" si="3"/>
        <v>5</v>
      </c>
      <c r="B52" s="2">
        <v>42362</v>
      </c>
      <c r="C52">
        <v>0.59806000000000004</v>
      </c>
      <c r="D52">
        <v>0.87073999999999996</v>
      </c>
      <c r="E52">
        <v>1.50396</v>
      </c>
      <c r="F52">
        <v>1.39252</v>
      </c>
    </row>
    <row r="53" spans="1:6" ht="15" customHeight="1" x14ac:dyDescent="0.25">
      <c r="A53">
        <f t="shared" si="3"/>
        <v>5</v>
      </c>
      <c r="B53" s="2">
        <v>42369</v>
      </c>
      <c r="C53">
        <v>0.59780999999999995</v>
      </c>
      <c r="D53">
        <v>0.87644999999999995</v>
      </c>
      <c r="E53">
        <v>1.5049300000000001</v>
      </c>
      <c r="F53">
        <v>1.4188700000000001</v>
      </c>
    </row>
  </sheetData>
  <autoFilter ref="A1:F53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zoomScale="115" zoomScaleNormal="115" workbookViewId="0">
      <pane xSplit="2" ySplit="2" topLeftCell="C3" activePane="bottomRight" state="frozen"/>
      <selection pane="topRight" activeCell="B1" sqref="B1"/>
      <selection pane="bottomLeft" activeCell="A2" sqref="A2"/>
      <selection pane="bottomRight" activeCell="M15" sqref="M15"/>
    </sheetView>
  </sheetViews>
  <sheetFormatPr defaultColWidth="8.85546875" defaultRowHeight="15" x14ac:dyDescent="0.25"/>
  <cols>
    <col min="1" max="1" width="11.7109375" bestFit="1" customWidth="1"/>
    <col min="2" max="2" width="11.85546875" bestFit="1" customWidth="1"/>
    <col min="3" max="3" width="10.7109375" customWidth="1"/>
    <col min="4" max="4" width="10.7109375" style="4" customWidth="1"/>
    <col min="5" max="5" width="10.7109375" customWidth="1"/>
    <col min="6" max="6" width="3.85546875" customWidth="1"/>
  </cols>
  <sheetData>
    <row r="1" spans="1:5" x14ac:dyDescent="0.25">
      <c r="C1" s="20"/>
      <c r="D1" s="20"/>
      <c r="E1" s="20"/>
    </row>
    <row r="2" spans="1:5" s="5" customFormat="1" x14ac:dyDescent="0.25">
      <c r="A2" s="5" t="s">
        <v>1</v>
      </c>
      <c r="B2" s="9" t="str">
        <f>yields!B1</f>
        <v xml:space="preserve">Date </v>
      </c>
      <c r="C2" s="10">
        <v>42887</v>
      </c>
      <c r="D2" s="11">
        <v>44089</v>
      </c>
      <c r="E2" s="10">
        <v>45809</v>
      </c>
    </row>
    <row r="3" spans="1:5" x14ac:dyDescent="0.25">
      <c r="A3">
        <f t="shared" ref="A3:A15" si="0">WEEKDAY(B3)</f>
        <v>5</v>
      </c>
      <c r="B3" s="2">
        <f>yields!B2</f>
        <v>42012</v>
      </c>
      <c r="C3" s="1">
        <f t="shared" ref="C3:E22" si="1">(C$2-$B3)/360</f>
        <v>2.4305555555555554</v>
      </c>
      <c r="D3" s="3">
        <f t="shared" si="1"/>
        <v>5.7694444444444448</v>
      </c>
      <c r="E3" s="1">
        <f t="shared" si="1"/>
        <v>10.547222222222222</v>
      </c>
    </row>
    <row r="4" spans="1:5" x14ac:dyDescent="0.25">
      <c r="A4">
        <f t="shared" si="0"/>
        <v>5</v>
      </c>
      <c r="B4" s="2">
        <f>yields!B3</f>
        <v>42019</v>
      </c>
      <c r="C4" s="1">
        <f t="shared" si="1"/>
        <v>2.411111111111111</v>
      </c>
      <c r="D4" s="3">
        <f t="shared" si="1"/>
        <v>5.75</v>
      </c>
      <c r="E4" s="1">
        <f t="shared" si="1"/>
        <v>10.527777777777779</v>
      </c>
    </row>
    <row r="5" spans="1:5" x14ac:dyDescent="0.25">
      <c r="A5">
        <f t="shared" si="0"/>
        <v>5</v>
      </c>
      <c r="B5" s="2">
        <f>yields!B4</f>
        <v>42026</v>
      </c>
      <c r="C5" s="1">
        <f t="shared" si="1"/>
        <v>2.3916666666666666</v>
      </c>
      <c r="D5" s="3">
        <f t="shared" si="1"/>
        <v>5.7305555555555552</v>
      </c>
      <c r="E5" s="1">
        <f t="shared" si="1"/>
        <v>10.508333333333333</v>
      </c>
    </row>
    <row r="6" spans="1:5" x14ac:dyDescent="0.25">
      <c r="A6">
        <f t="shared" si="0"/>
        <v>5</v>
      </c>
      <c r="B6" s="2">
        <f>yields!B5</f>
        <v>42033</v>
      </c>
      <c r="C6" s="1">
        <f t="shared" si="1"/>
        <v>2.3722222222222222</v>
      </c>
      <c r="D6" s="3">
        <f t="shared" si="1"/>
        <v>5.7111111111111112</v>
      </c>
      <c r="E6" s="1">
        <f t="shared" si="1"/>
        <v>10.488888888888889</v>
      </c>
    </row>
    <row r="7" spans="1:5" x14ac:dyDescent="0.25">
      <c r="A7">
        <f t="shared" si="0"/>
        <v>5</v>
      </c>
      <c r="B7" s="2">
        <f>yields!B6</f>
        <v>42040</v>
      </c>
      <c r="C7" s="1">
        <f t="shared" si="1"/>
        <v>2.3527777777777779</v>
      </c>
      <c r="D7" s="3">
        <f t="shared" si="1"/>
        <v>5.6916666666666664</v>
      </c>
      <c r="E7" s="1">
        <f t="shared" si="1"/>
        <v>10.469444444444445</v>
      </c>
    </row>
    <row r="8" spans="1:5" x14ac:dyDescent="0.25">
      <c r="A8">
        <f t="shared" si="0"/>
        <v>5</v>
      </c>
      <c r="B8" s="2">
        <f>yields!B7</f>
        <v>42047</v>
      </c>
      <c r="C8" s="1">
        <f t="shared" si="1"/>
        <v>2.3333333333333335</v>
      </c>
      <c r="D8" s="3">
        <f t="shared" si="1"/>
        <v>5.6722222222222225</v>
      </c>
      <c r="E8" s="1">
        <f t="shared" si="1"/>
        <v>10.45</v>
      </c>
    </row>
    <row r="9" spans="1:5" x14ac:dyDescent="0.25">
      <c r="A9">
        <f t="shared" si="0"/>
        <v>5</v>
      </c>
      <c r="B9" s="2">
        <f>yields!B8</f>
        <v>42054</v>
      </c>
      <c r="C9" s="1">
        <f t="shared" si="1"/>
        <v>2.3138888888888891</v>
      </c>
      <c r="D9" s="3">
        <f t="shared" si="1"/>
        <v>5.6527777777777777</v>
      </c>
      <c r="E9" s="1">
        <f t="shared" si="1"/>
        <v>10.430555555555555</v>
      </c>
    </row>
    <row r="10" spans="1:5" x14ac:dyDescent="0.25">
      <c r="A10">
        <f t="shared" si="0"/>
        <v>5</v>
      </c>
      <c r="B10" s="2">
        <f>yields!B9</f>
        <v>42061</v>
      </c>
      <c r="C10" s="1">
        <f t="shared" si="1"/>
        <v>2.2944444444444443</v>
      </c>
      <c r="D10" s="3">
        <f t="shared" si="1"/>
        <v>5.6333333333333337</v>
      </c>
      <c r="E10" s="1">
        <f t="shared" si="1"/>
        <v>10.411111111111111</v>
      </c>
    </row>
    <row r="11" spans="1:5" x14ac:dyDescent="0.25">
      <c r="A11">
        <f t="shared" si="0"/>
        <v>5</v>
      </c>
      <c r="B11" s="2">
        <f>yields!B10</f>
        <v>42068</v>
      </c>
      <c r="C11" s="1">
        <f t="shared" si="1"/>
        <v>2.2749999999999999</v>
      </c>
      <c r="D11" s="3">
        <f t="shared" si="1"/>
        <v>5.6138888888888889</v>
      </c>
      <c r="E11" s="1">
        <f t="shared" si="1"/>
        <v>10.391666666666667</v>
      </c>
    </row>
    <row r="12" spans="1:5" x14ac:dyDescent="0.25">
      <c r="A12">
        <f t="shared" si="0"/>
        <v>5</v>
      </c>
      <c r="B12" s="2">
        <f>yields!B11</f>
        <v>42075</v>
      </c>
      <c r="C12" s="1">
        <f t="shared" si="1"/>
        <v>2.2555555555555555</v>
      </c>
      <c r="D12" s="3">
        <f t="shared" si="1"/>
        <v>5.5944444444444441</v>
      </c>
      <c r="E12" s="1">
        <f t="shared" si="1"/>
        <v>10.372222222222222</v>
      </c>
    </row>
    <row r="13" spans="1:5" x14ac:dyDescent="0.25">
      <c r="A13">
        <f t="shared" si="0"/>
        <v>5</v>
      </c>
      <c r="B13" s="2">
        <f>yields!B12</f>
        <v>42082</v>
      </c>
      <c r="C13" s="1">
        <f t="shared" si="1"/>
        <v>2.2361111111111112</v>
      </c>
      <c r="D13" s="3">
        <f t="shared" si="1"/>
        <v>5.5750000000000002</v>
      </c>
      <c r="E13" s="1">
        <f t="shared" si="1"/>
        <v>10.352777777777778</v>
      </c>
    </row>
    <row r="14" spans="1:5" x14ac:dyDescent="0.25">
      <c r="A14">
        <f t="shared" si="0"/>
        <v>5</v>
      </c>
      <c r="B14" s="2">
        <f>yields!B13</f>
        <v>42089</v>
      </c>
      <c r="C14" s="1">
        <f t="shared" si="1"/>
        <v>2.2166666666666668</v>
      </c>
      <c r="D14" s="3">
        <f t="shared" si="1"/>
        <v>5.5555555555555554</v>
      </c>
      <c r="E14" s="1">
        <f t="shared" si="1"/>
        <v>10.333333333333334</v>
      </c>
    </row>
    <row r="15" spans="1:5" x14ac:dyDescent="0.25">
      <c r="A15">
        <f t="shared" si="0"/>
        <v>5</v>
      </c>
      <c r="B15" s="2">
        <f>yields!B14</f>
        <v>42096</v>
      </c>
      <c r="C15" s="1">
        <f t="shared" si="1"/>
        <v>2.1972222222222224</v>
      </c>
      <c r="D15" s="3">
        <f t="shared" si="1"/>
        <v>5.5361111111111114</v>
      </c>
      <c r="E15" s="1">
        <f t="shared" si="1"/>
        <v>10.313888888888888</v>
      </c>
    </row>
    <row r="16" spans="1:5" x14ac:dyDescent="0.25">
      <c r="A16">
        <f t="shared" ref="A16:A28" si="2">WEEKDAY(B16)</f>
        <v>5</v>
      </c>
      <c r="B16" s="2">
        <f>yields!B15</f>
        <v>42103</v>
      </c>
      <c r="C16" s="1">
        <f t="shared" si="1"/>
        <v>2.1777777777777776</v>
      </c>
      <c r="D16" s="3">
        <f t="shared" si="1"/>
        <v>5.5166666666666666</v>
      </c>
      <c r="E16" s="1">
        <f t="shared" si="1"/>
        <v>10.294444444444444</v>
      </c>
    </row>
    <row r="17" spans="1:5" x14ac:dyDescent="0.25">
      <c r="A17">
        <f t="shared" si="2"/>
        <v>5</v>
      </c>
      <c r="B17" s="2">
        <f>yields!B16</f>
        <v>42110</v>
      </c>
      <c r="C17" s="1">
        <f t="shared" si="1"/>
        <v>2.1583333333333332</v>
      </c>
      <c r="D17" s="3">
        <f t="shared" si="1"/>
        <v>5.4972222222222218</v>
      </c>
      <c r="E17" s="1">
        <f t="shared" si="1"/>
        <v>10.275</v>
      </c>
    </row>
    <row r="18" spans="1:5" x14ac:dyDescent="0.25">
      <c r="A18">
        <f t="shared" si="2"/>
        <v>5</v>
      </c>
      <c r="B18" s="2">
        <f>yields!B17</f>
        <v>42117</v>
      </c>
      <c r="C18" s="1">
        <f t="shared" si="1"/>
        <v>2.1388888888888888</v>
      </c>
      <c r="D18" s="3">
        <f t="shared" si="1"/>
        <v>5.4777777777777779</v>
      </c>
      <c r="E18" s="1">
        <f t="shared" si="1"/>
        <v>10.255555555555556</v>
      </c>
    </row>
    <row r="19" spans="1:5" x14ac:dyDescent="0.25">
      <c r="A19">
        <f t="shared" si="2"/>
        <v>5</v>
      </c>
      <c r="B19" s="2">
        <f>yields!B18</f>
        <v>42124</v>
      </c>
      <c r="C19" s="1">
        <f t="shared" si="1"/>
        <v>2.1194444444444445</v>
      </c>
      <c r="D19" s="3">
        <f t="shared" si="1"/>
        <v>5.458333333333333</v>
      </c>
      <c r="E19" s="1">
        <f t="shared" si="1"/>
        <v>10.236111111111111</v>
      </c>
    </row>
    <row r="20" spans="1:5" x14ac:dyDescent="0.25">
      <c r="A20">
        <f t="shared" si="2"/>
        <v>5</v>
      </c>
      <c r="B20" s="2">
        <f>yields!B19</f>
        <v>42131</v>
      </c>
      <c r="C20" s="1">
        <f t="shared" si="1"/>
        <v>2.1</v>
      </c>
      <c r="D20" s="3">
        <f t="shared" si="1"/>
        <v>5.4388888888888891</v>
      </c>
      <c r="E20" s="1">
        <f t="shared" si="1"/>
        <v>10.216666666666667</v>
      </c>
    </row>
    <row r="21" spans="1:5" x14ac:dyDescent="0.25">
      <c r="A21">
        <f t="shared" si="2"/>
        <v>5</v>
      </c>
      <c r="B21" s="2">
        <f>yields!B20</f>
        <v>42138</v>
      </c>
      <c r="C21" s="1">
        <f t="shared" si="1"/>
        <v>2.0805555555555557</v>
      </c>
      <c r="D21" s="3">
        <f t="shared" si="1"/>
        <v>5.4194444444444443</v>
      </c>
      <c r="E21" s="1">
        <f t="shared" si="1"/>
        <v>10.197222222222223</v>
      </c>
    </row>
    <row r="22" spans="1:5" x14ac:dyDescent="0.25">
      <c r="A22">
        <f t="shared" si="2"/>
        <v>5</v>
      </c>
      <c r="B22" s="2">
        <f>yields!B21</f>
        <v>42145</v>
      </c>
      <c r="C22" s="1">
        <f t="shared" si="1"/>
        <v>2.0611111111111109</v>
      </c>
      <c r="D22" s="3">
        <f t="shared" si="1"/>
        <v>5.4</v>
      </c>
      <c r="E22" s="1">
        <f t="shared" si="1"/>
        <v>10.177777777777777</v>
      </c>
    </row>
    <row r="23" spans="1:5" x14ac:dyDescent="0.25">
      <c r="A23">
        <f t="shared" si="2"/>
        <v>5</v>
      </c>
      <c r="B23" s="2">
        <f>yields!B22</f>
        <v>42152</v>
      </c>
      <c r="C23" s="1">
        <f t="shared" ref="C23:E42" si="3">(C$2-$B23)/360</f>
        <v>2.0416666666666665</v>
      </c>
      <c r="D23" s="3">
        <f t="shared" si="3"/>
        <v>5.3805555555555555</v>
      </c>
      <c r="E23" s="1">
        <f t="shared" si="3"/>
        <v>10.158333333333333</v>
      </c>
    </row>
    <row r="24" spans="1:5" x14ac:dyDescent="0.25">
      <c r="A24">
        <f t="shared" si="2"/>
        <v>5</v>
      </c>
      <c r="B24" s="2">
        <f>yields!B23</f>
        <v>42159</v>
      </c>
      <c r="C24" s="1">
        <f t="shared" si="3"/>
        <v>2.0222222222222221</v>
      </c>
      <c r="D24" s="3">
        <f t="shared" si="3"/>
        <v>5.3611111111111107</v>
      </c>
      <c r="E24" s="1">
        <f t="shared" si="3"/>
        <v>10.138888888888889</v>
      </c>
    </row>
    <row r="25" spans="1:5" x14ac:dyDescent="0.25">
      <c r="A25">
        <f t="shared" si="2"/>
        <v>5</v>
      </c>
      <c r="B25" s="2">
        <f>yields!B24</f>
        <v>42166</v>
      </c>
      <c r="C25" s="1">
        <f t="shared" si="3"/>
        <v>2.0027777777777778</v>
      </c>
      <c r="D25" s="3">
        <f t="shared" si="3"/>
        <v>5.3416666666666668</v>
      </c>
      <c r="E25" s="1">
        <f t="shared" si="3"/>
        <v>10.119444444444444</v>
      </c>
    </row>
    <row r="26" spans="1:5" x14ac:dyDescent="0.25">
      <c r="A26">
        <f t="shared" si="2"/>
        <v>5</v>
      </c>
      <c r="B26" s="2">
        <f>yields!B25</f>
        <v>42173</v>
      </c>
      <c r="C26" s="1">
        <f t="shared" si="3"/>
        <v>1.9833333333333334</v>
      </c>
      <c r="D26" s="3">
        <f t="shared" si="3"/>
        <v>5.322222222222222</v>
      </c>
      <c r="E26" s="1">
        <f t="shared" si="3"/>
        <v>10.1</v>
      </c>
    </row>
    <row r="27" spans="1:5" x14ac:dyDescent="0.25">
      <c r="A27">
        <f t="shared" si="2"/>
        <v>5</v>
      </c>
      <c r="B27" s="2">
        <f>yields!B26</f>
        <v>42180</v>
      </c>
      <c r="C27" s="1">
        <f t="shared" si="3"/>
        <v>1.9638888888888888</v>
      </c>
      <c r="D27" s="3">
        <f t="shared" si="3"/>
        <v>5.302777777777778</v>
      </c>
      <c r="E27" s="1">
        <f t="shared" si="3"/>
        <v>10.080555555555556</v>
      </c>
    </row>
    <row r="28" spans="1:5" x14ac:dyDescent="0.25">
      <c r="A28">
        <f t="shared" si="2"/>
        <v>5</v>
      </c>
      <c r="B28" s="2">
        <f>yields!B27</f>
        <v>42187</v>
      </c>
      <c r="C28" s="1">
        <f t="shared" si="3"/>
        <v>1.9444444444444444</v>
      </c>
      <c r="D28" s="3">
        <f t="shared" si="3"/>
        <v>5.2833333333333332</v>
      </c>
      <c r="E28" s="1">
        <f t="shared" si="3"/>
        <v>10.061111111111112</v>
      </c>
    </row>
    <row r="29" spans="1:5" x14ac:dyDescent="0.25">
      <c r="A29">
        <f t="shared" ref="A29:A41" si="4">WEEKDAY(B29)</f>
        <v>5</v>
      </c>
      <c r="B29" s="2">
        <f>yields!B28</f>
        <v>42194</v>
      </c>
      <c r="C29" s="1">
        <f t="shared" si="3"/>
        <v>1.925</v>
      </c>
      <c r="D29" s="3">
        <f t="shared" si="3"/>
        <v>5.2638888888888893</v>
      </c>
      <c r="E29" s="1">
        <f t="shared" si="3"/>
        <v>10.041666666666666</v>
      </c>
    </row>
    <row r="30" spans="1:5" x14ac:dyDescent="0.25">
      <c r="A30">
        <f t="shared" si="4"/>
        <v>5</v>
      </c>
      <c r="B30" s="2">
        <f>yields!B29</f>
        <v>42201</v>
      </c>
      <c r="C30" s="1">
        <f t="shared" si="3"/>
        <v>1.9055555555555554</v>
      </c>
      <c r="D30" s="3">
        <f t="shared" si="3"/>
        <v>5.2444444444444445</v>
      </c>
      <c r="E30" s="1">
        <f t="shared" si="3"/>
        <v>10.022222222222222</v>
      </c>
    </row>
    <row r="31" spans="1:5" x14ac:dyDescent="0.25">
      <c r="A31">
        <f t="shared" si="4"/>
        <v>5</v>
      </c>
      <c r="B31" s="2">
        <f>yields!B30</f>
        <v>42208</v>
      </c>
      <c r="C31" s="1">
        <f t="shared" si="3"/>
        <v>1.8861111111111111</v>
      </c>
      <c r="D31" s="3">
        <f t="shared" si="3"/>
        <v>5.2249999999999996</v>
      </c>
      <c r="E31" s="1">
        <f t="shared" si="3"/>
        <v>10.002777777777778</v>
      </c>
    </row>
    <row r="32" spans="1:5" x14ac:dyDescent="0.25">
      <c r="A32">
        <f t="shared" si="4"/>
        <v>5</v>
      </c>
      <c r="B32" s="2">
        <f>yields!B31</f>
        <v>42215</v>
      </c>
      <c r="C32" s="1">
        <f t="shared" si="3"/>
        <v>1.8666666666666667</v>
      </c>
      <c r="D32" s="3">
        <f t="shared" si="3"/>
        <v>5.2055555555555557</v>
      </c>
      <c r="E32" s="1">
        <f t="shared" si="3"/>
        <v>9.9833333333333325</v>
      </c>
    </row>
    <row r="33" spans="1:5" x14ac:dyDescent="0.25">
      <c r="A33">
        <f t="shared" si="4"/>
        <v>5</v>
      </c>
      <c r="B33" s="2">
        <f>yields!B32</f>
        <v>42222</v>
      </c>
      <c r="C33" s="1">
        <f t="shared" si="3"/>
        <v>1.8472222222222223</v>
      </c>
      <c r="D33" s="3">
        <f t="shared" si="3"/>
        <v>5.1861111111111109</v>
      </c>
      <c r="E33" s="1">
        <f t="shared" si="3"/>
        <v>9.9638888888888886</v>
      </c>
    </row>
    <row r="34" spans="1:5" x14ac:dyDescent="0.25">
      <c r="A34">
        <f t="shared" si="4"/>
        <v>5</v>
      </c>
      <c r="B34" s="2">
        <f>yields!B33</f>
        <v>42229</v>
      </c>
      <c r="C34" s="1">
        <f t="shared" si="3"/>
        <v>1.8277777777777777</v>
      </c>
      <c r="D34" s="3">
        <f t="shared" si="3"/>
        <v>5.166666666666667</v>
      </c>
      <c r="E34" s="1">
        <f t="shared" si="3"/>
        <v>9.9444444444444446</v>
      </c>
    </row>
    <row r="35" spans="1:5" x14ac:dyDescent="0.25">
      <c r="A35">
        <f t="shared" si="4"/>
        <v>5</v>
      </c>
      <c r="B35" s="2">
        <f>yields!B34</f>
        <v>42236</v>
      </c>
      <c r="C35" s="1">
        <f t="shared" si="3"/>
        <v>1.8083333333333333</v>
      </c>
      <c r="D35" s="3">
        <f t="shared" si="3"/>
        <v>5.1472222222222221</v>
      </c>
      <c r="E35" s="1">
        <f t="shared" si="3"/>
        <v>9.9250000000000007</v>
      </c>
    </row>
    <row r="36" spans="1:5" x14ac:dyDescent="0.25">
      <c r="A36">
        <f t="shared" si="4"/>
        <v>5</v>
      </c>
      <c r="B36" s="2">
        <f>yields!B35</f>
        <v>42243</v>
      </c>
      <c r="C36" s="1">
        <f t="shared" si="3"/>
        <v>1.788888888888889</v>
      </c>
      <c r="D36" s="3">
        <f t="shared" si="3"/>
        <v>5.1277777777777782</v>
      </c>
      <c r="E36" s="1">
        <f t="shared" si="3"/>
        <v>9.905555555555555</v>
      </c>
    </row>
    <row r="37" spans="1:5" x14ac:dyDescent="0.25">
      <c r="A37">
        <f t="shared" si="4"/>
        <v>5</v>
      </c>
      <c r="B37" s="2">
        <f>yields!B36</f>
        <v>42250</v>
      </c>
      <c r="C37" s="1">
        <f t="shared" si="3"/>
        <v>1.7694444444444444</v>
      </c>
      <c r="D37" s="3">
        <f t="shared" si="3"/>
        <v>5.1083333333333334</v>
      </c>
      <c r="E37" s="1">
        <f t="shared" si="3"/>
        <v>9.8861111111111111</v>
      </c>
    </row>
    <row r="38" spans="1:5" x14ac:dyDescent="0.25">
      <c r="A38">
        <f t="shared" si="4"/>
        <v>5</v>
      </c>
      <c r="B38" s="2">
        <f>yields!B37</f>
        <v>42257</v>
      </c>
      <c r="C38" s="1">
        <f t="shared" si="3"/>
        <v>1.75</v>
      </c>
      <c r="D38" s="3">
        <f t="shared" si="3"/>
        <v>5.0888888888888886</v>
      </c>
      <c r="E38" s="1">
        <f t="shared" si="3"/>
        <v>9.8666666666666671</v>
      </c>
    </row>
    <row r="39" spans="1:5" x14ac:dyDescent="0.25">
      <c r="A39">
        <f t="shared" si="4"/>
        <v>5</v>
      </c>
      <c r="B39" s="2">
        <f>yields!B38</f>
        <v>42264</v>
      </c>
      <c r="C39" s="1">
        <f t="shared" si="3"/>
        <v>1.7305555555555556</v>
      </c>
      <c r="D39" s="3">
        <f t="shared" si="3"/>
        <v>5.0694444444444446</v>
      </c>
      <c r="E39" s="1">
        <f t="shared" si="3"/>
        <v>9.8472222222222214</v>
      </c>
    </row>
    <row r="40" spans="1:5" x14ac:dyDescent="0.25">
      <c r="A40">
        <f t="shared" si="4"/>
        <v>5</v>
      </c>
      <c r="B40" s="2">
        <f>yields!B39</f>
        <v>42271</v>
      </c>
      <c r="C40" s="1">
        <f t="shared" si="3"/>
        <v>1.711111111111111</v>
      </c>
      <c r="D40" s="3">
        <f t="shared" si="3"/>
        <v>5.05</v>
      </c>
      <c r="E40" s="1">
        <f t="shared" si="3"/>
        <v>9.8277777777777775</v>
      </c>
    </row>
    <row r="41" spans="1:5" x14ac:dyDescent="0.25">
      <c r="A41">
        <f t="shared" si="4"/>
        <v>5</v>
      </c>
      <c r="B41" s="2">
        <f>yields!B40</f>
        <v>42278</v>
      </c>
      <c r="C41" s="1">
        <f t="shared" si="3"/>
        <v>1.6916666666666667</v>
      </c>
      <c r="D41" s="3">
        <f t="shared" si="3"/>
        <v>5.0305555555555559</v>
      </c>
      <c r="E41" s="1">
        <f t="shared" si="3"/>
        <v>9.8083333333333336</v>
      </c>
    </row>
    <row r="42" spans="1:5" x14ac:dyDescent="0.25">
      <c r="A42">
        <f t="shared" ref="A42:A54" si="5">WEEKDAY(B42)</f>
        <v>5</v>
      </c>
      <c r="B42" s="2">
        <f>yields!B41</f>
        <v>42285</v>
      </c>
      <c r="C42" s="1">
        <f t="shared" si="3"/>
        <v>1.6722222222222223</v>
      </c>
      <c r="D42" s="3">
        <f t="shared" si="3"/>
        <v>5.0111111111111111</v>
      </c>
      <c r="E42" s="1">
        <f t="shared" si="3"/>
        <v>9.7888888888888896</v>
      </c>
    </row>
    <row r="43" spans="1:5" x14ac:dyDescent="0.25">
      <c r="A43">
        <f t="shared" si="5"/>
        <v>5</v>
      </c>
      <c r="B43" s="2">
        <f>yields!B42</f>
        <v>42292</v>
      </c>
      <c r="C43" s="1">
        <f t="shared" ref="C43:E54" si="6">(C$2-$B43)/360</f>
        <v>1.6527777777777777</v>
      </c>
      <c r="D43" s="3">
        <f t="shared" si="6"/>
        <v>4.9916666666666663</v>
      </c>
      <c r="E43" s="1">
        <f t="shared" si="6"/>
        <v>9.7694444444444439</v>
      </c>
    </row>
    <row r="44" spans="1:5" x14ac:dyDescent="0.25">
      <c r="A44">
        <f t="shared" si="5"/>
        <v>5</v>
      </c>
      <c r="B44" s="2">
        <f>yields!B43</f>
        <v>42299</v>
      </c>
      <c r="C44" s="1">
        <f t="shared" si="6"/>
        <v>1.6333333333333333</v>
      </c>
      <c r="D44" s="3">
        <f t="shared" si="6"/>
        <v>4.9722222222222223</v>
      </c>
      <c r="E44" s="1">
        <f t="shared" si="6"/>
        <v>9.75</v>
      </c>
    </row>
    <row r="45" spans="1:5" x14ac:dyDescent="0.25">
      <c r="A45">
        <f t="shared" si="5"/>
        <v>5</v>
      </c>
      <c r="B45" s="2">
        <f>yields!B44</f>
        <v>42306</v>
      </c>
      <c r="C45" s="1">
        <f t="shared" si="6"/>
        <v>1.6138888888888889</v>
      </c>
      <c r="D45" s="3">
        <f t="shared" si="6"/>
        <v>4.9527777777777775</v>
      </c>
      <c r="E45" s="1">
        <f t="shared" si="6"/>
        <v>9.7305555555555561</v>
      </c>
    </row>
    <row r="46" spans="1:5" x14ac:dyDescent="0.25">
      <c r="A46">
        <f t="shared" si="5"/>
        <v>5</v>
      </c>
      <c r="B46" s="2">
        <f>yields!B45</f>
        <v>42313</v>
      </c>
      <c r="C46" s="1">
        <f t="shared" si="6"/>
        <v>1.5944444444444446</v>
      </c>
      <c r="D46" s="3">
        <f t="shared" si="6"/>
        <v>4.9333333333333336</v>
      </c>
      <c r="E46" s="1">
        <f t="shared" si="6"/>
        <v>9.7111111111111104</v>
      </c>
    </row>
    <row r="47" spans="1:5" x14ac:dyDescent="0.25">
      <c r="A47">
        <f t="shared" si="5"/>
        <v>5</v>
      </c>
      <c r="B47" s="2">
        <f>yields!B46</f>
        <v>42320</v>
      </c>
      <c r="C47" s="1">
        <f t="shared" si="6"/>
        <v>1.575</v>
      </c>
      <c r="D47" s="3">
        <f t="shared" si="6"/>
        <v>4.9138888888888888</v>
      </c>
      <c r="E47" s="1">
        <f t="shared" si="6"/>
        <v>9.6916666666666664</v>
      </c>
    </row>
    <row r="48" spans="1:5" x14ac:dyDescent="0.25">
      <c r="A48">
        <f t="shared" si="5"/>
        <v>5</v>
      </c>
      <c r="B48" s="2">
        <f>yields!B47</f>
        <v>42327</v>
      </c>
      <c r="C48" s="1">
        <f t="shared" si="6"/>
        <v>1.5555555555555556</v>
      </c>
      <c r="D48" s="3">
        <f t="shared" si="6"/>
        <v>4.8944444444444448</v>
      </c>
      <c r="E48" s="1">
        <f t="shared" si="6"/>
        <v>9.6722222222222225</v>
      </c>
    </row>
    <row r="49" spans="1:5" x14ac:dyDescent="0.25">
      <c r="A49">
        <f t="shared" si="5"/>
        <v>5</v>
      </c>
      <c r="B49" s="2">
        <f>yields!B48</f>
        <v>42334</v>
      </c>
      <c r="C49" s="1">
        <f t="shared" si="6"/>
        <v>1.5361111111111112</v>
      </c>
      <c r="D49" s="3">
        <f t="shared" si="6"/>
        <v>4.875</v>
      </c>
      <c r="E49" s="1">
        <f t="shared" si="6"/>
        <v>9.6527777777777786</v>
      </c>
    </row>
    <row r="50" spans="1:5" x14ac:dyDescent="0.25">
      <c r="A50">
        <f t="shared" si="5"/>
        <v>5</v>
      </c>
      <c r="B50" s="2">
        <f>yields!B49</f>
        <v>42341</v>
      </c>
      <c r="C50" s="1">
        <f t="shared" si="6"/>
        <v>1.5166666666666666</v>
      </c>
      <c r="D50" s="3">
        <f t="shared" si="6"/>
        <v>4.8555555555555552</v>
      </c>
      <c r="E50" s="1">
        <f t="shared" si="6"/>
        <v>9.6333333333333329</v>
      </c>
    </row>
    <row r="51" spans="1:5" x14ac:dyDescent="0.25">
      <c r="A51">
        <f t="shared" si="5"/>
        <v>5</v>
      </c>
      <c r="B51" s="2">
        <f>yields!B50</f>
        <v>42348</v>
      </c>
      <c r="C51" s="1">
        <f t="shared" si="6"/>
        <v>1.4972222222222222</v>
      </c>
      <c r="D51" s="3">
        <f t="shared" si="6"/>
        <v>4.8361111111111112</v>
      </c>
      <c r="E51" s="1">
        <f t="shared" si="6"/>
        <v>9.6138888888888889</v>
      </c>
    </row>
    <row r="52" spans="1:5" x14ac:dyDescent="0.25">
      <c r="A52">
        <f t="shared" si="5"/>
        <v>5</v>
      </c>
      <c r="B52" s="2">
        <f>yields!B51</f>
        <v>42355</v>
      </c>
      <c r="C52" s="1">
        <f t="shared" si="6"/>
        <v>1.4777777777777779</v>
      </c>
      <c r="D52" s="3">
        <f t="shared" si="6"/>
        <v>4.8166666666666664</v>
      </c>
      <c r="E52" s="1">
        <f t="shared" si="6"/>
        <v>9.594444444444445</v>
      </c>
    </row>
    <row r="53" spans="1:5" x14ac:dyDescent="0.25">
      <c r="A53">
        <f t="shared" si="5"/>
        <v>5</v>
      </c>
      <c r="B53" s="2">
        <f>yields!B52</f>
        <v>42362</v>
      </c>
      <c r="C53" s="1">
        <f t="shared" si="6"/>
        <v>1.4583333333333333</v>
      </c>
      <c r="D53" s="3">
        <f t="shared" si="6"/>
        <v>4.7972222222222225</v>
      </c>
      <c r="E53" s="1">
        <f t="shared" si="6"/>
        <v>9.5749999999999993</v>
      </c>
    </row>
    <row r="54" spans="1:5" x14ac:dyDescent="0.25">
      <c r="A54">
        <f t="shared" si="5"/>
        <v>5</v>
      </c>
      <c r="B54" s="2">
        <f>yields!B53</f>
        <v>42369</v>
      </c>
      <c r="C54" s="1">
        <f t="shared" si="6"/>
        <v>1.4388888888888889</v>
      </c>
      <c r="D54" s="3">
        <f t="shared" si="6"/>
        <v>4.7777777777777777</v>
      </c>
      <c r="E54" s="1">
        <f t="shared" si="6"/>
        <v>9.5555555555555554</v>
      </c>
    </row>
  </sheetData>
  <autoFilter ref="A2:E54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4"/>
  <sheetViews>
    <sheetView zoomScale="115" zoomScaleNormal="115" workbookViewId="0">
      <pane xSplit="2" ySplit="2" topLeftCell="S3" activePane="bottomRight" state="frozen"/>
      <selection pane="topRight" activeCell="C1" sqref="C1"/>
      <selection pane="bottomLeft" activeCell="A3" sqref="A3"/>
      <selection pane="bottomRight" activeCell="W4" sqref="W4"/>
    </sheetView>
  </sheetViews>
  <sheetFormatPr defaultColWidth="8.85546875" defaultRowHeight="15" x14ac:dyDescent="0.25"/>
  <cols>
    <col min="1" max="1" width="11.7109375" bestFit="1" customWidth="1"/>
    <col min="2" max="2" width="11.85546875" bestFit="1" customWidth="1"/>
    <col min="3" max="5" width="11.85546875" customWidth="1"/>
    <col min="6" max="6" width="6" style="25" customWidth="1"/>
    <col min="7" max="7" width="10.7109375" customWidth="1"/>
    <col min="8" max="8" width="10.7109375" style="4" customWidth="1"/>
    <col min="9" max="9" width="10.7109375" customWidth="1"/>
    <col min="10" max="10" width="3.85546875" style="25" customWidth="1"/>
    <col min="11" max="11" width="10.42578125" bestFit="1" customWidth="1"/>
    <col min="12" max="14" width="11" customWidth="1"/>
    <col min="15" max="16" width="11.85546875" customWidth="1"/>
    <col min="17" max="17" width="3.85546875" style="25" customWidth="1"/>
    <col min="18" max="19" width="13.42578125" customWidth="1"/>
    <col min="20" max="20" width="14.85546875" bestFit="1" customWidth="1"/>
    <col min="21" max="21" width="16.28515625" bestFit="1" customWidth="1"/>
    <col min="22" max="22" width="18.42578125" customWidth="1"/>
    <col min="23" max="23" width="10.7109375" style="8" customWidth="1"/>
    <col min="25" max="25" width="11.140625" bestFit="1" customWidth="1"/>
  </cols>
  <sheetData>
    <row r="1" spans="1:25" ht="15.75" thickBot="1" x14ac:dyDescent="0.3">
      <c r="C1" s="62" t="s">
        <v>10</v>
      </c>
      <c r="D1" s="62"/>
      <c r="E1" s="62"/>
      <c r="F1" s="22"/>
      <c r="G1" s="62" t="s">
        <v>11</v>
      </c>
      <c r="H1" s="62"/>
      <c r="I1" s="62"/>
      <c r="K1" s="62" t="s">
        <v>4</v>
      </c>
      <c r="L1" s="62"/>
      <c r="M1" s="62" t="s">
        <v>12</v>
      </c>
      <c r="N1" s="62"/>
      <c r="O1" s="62" t="s">
        <v>13</v>
      </c>
      <c r="P1" s="62"/>
      <c r="U1" s="62" t="s">
        <v>15</v>
      </c>
      <c r="V1" s="62"/>
      <c r="W1" s="33"/>
    </row>
    <row r="2" spans="1:25" s="5" customFormat="1" ht="15.75" thickBot="1" x14ac:dyDescent="0.3">
      <c r="A2" s="5" t="s">
        <v>1</v>
      </c>
      <c r="B2" s="9" t="str">
        <f>yields!B1</f>
        <v xml:space="preserve">Date </v>
      </c>
      <c r="C2" s="10">
        <v>42887</v>
      </c>
      <c r="D2" s="26">
        <v>44089</v>
      </c>
      <c r="E2" s="10">
        <v>45809</v>
      </c>
      <c r="F2" s="11"/>
      <c r="G2" s="10">
        <v>42887</v>
      </c>
      <c r="H2" s="26">
        <v>44089</v>
      </c>
      <c r="I2" s="10">
        <v>45809</v>
      </c>
      <c r="J2" s="27"/>
      <c r="K2" s="18" t="s">
        <v>3</v>
      </c>
      <c r="L2" s="19" t="s">
        <v>2</v>
      </c>
      <c r="M2" s="18" t="s">
        <v>3</v>
      </c>
      <c r="N2" s="19" t="s">
        <v>2</v>
      </c>
      <c r="O2" s="18" t="s">
        <v>3</v>
      </c>
      <c r="P2" s="19" t="s">
        <v>2</v>
      </c>
      <c r="Q2" s="27"/>
      <c r="R2" s="19" t="s">
        <v>6</v>
      </c>
      <c r="S2" s="19" t="s">
        <v>14</v>
      </c>
      <c r="T2" s="19" t="s">
        <v>5</v>
      </c>
      <c r="U2" s="19" t="s">
        <v>7</v>
      </c>
      <c r="V2" s="19" t="s">
        <v>8</v>
      </c>
      <c r="W2" s="8" t="s">
        <v>9</v>
      </c>
    </row>
    <row r="3" spans="1:25" x14ac:dyDescent="0.25">
      <c r="A3">
        <f t="shared" ref="A3:A54" si="0">WEEKDAY(B3)</f>
        <v>5</v>
      </c>
      <c r="B3" s="2">
        <f>yields!B2</f>
        <v>42012</v>
      </c>
      <c r="C3" s="13">
        <f>+yields!C2/100</f>
        <v>1.0426700000000001E-2</v>
      </c>
      <c r="D3" s="13">
        <f>+yields!D2/100</f>
        <v>1.46678E-2</v>
      </c>
      <c r="E3" s="13">
        <f>+yields!E2/100</f>
        <v>1.9313800000000002E-2</v>
      </c>
      <c r="F3" s="23"/>
      <c r="G3" s="1">
        <f t="shared" ref="G3:I22" si="1">(G$2-$B3)/360</f>
        <v>2.4305555555555554</v>
      </c>
      <c r="H3" s="3">
        <f t="shared" si="1"/>
        <v>5.7694444444444448</v>
      </c>
      <c r="I3" s="1">
        <f t="shared" si="1"/>
        <v>10.547222222222222</v>
      </c>
      <c r="K3" s="14">
        <f>H3</f>
        <v>5.7694444444444448</v>
      </c>
      <c r="L3" s="15">
        <f>K3^2</f>
        <v>33.286489197530869</v>
      </c>
      <c r="M3" s="28">
        <f>+G3</f>
        <v>2.4305555555555554</v>
      </c>
      <c r="N3" s="28">
        <f t="shared" ref="N3:P4" si="2">+M3^2</f>
        <v>5.9076003086419746</v>
      </c>
      <c r="O3" s="28">
        <f>+I3</f>
        <v>10.547222222222222</v>
      </c>
      <c r="P3" s="28">
        <f t="shared" si="2"/>
        <v>111.24389660493827</v>
      </c>
      <c r="R3" s="29">
        <f>100*EXP(-C3*G3)</f>
        <v>97.497575631526772</v>
      </c>
      <c r="S3" s="29">
        <f>100*EXP(-D3*H3)</f>
        <v>91.885673852005056</v>
      </c>
      <c r="T3" s="12">
        <f>100*EXP(-E3*I3)</f>
        <v>81.570138515769813</v>
      </c>
      <c r="U3" s="13">
        <f>((M3-K3)*R3)/((K3-O3)*T3)</f>
        <v>0.83529260717028442</v>
      </c>
      <c r="V3" s="21">
        <f>R3-(U3*T3)</f>
        <v>29.362641963448169</v>
      </c>
    </row>
    <row r="4" spans="1:25" x14ac:dyDescent="0.25">
      <c r="A4">
        <f t="shared" si="0"/>
        <v>5</v>
      </c>
      <c r="B4" s="2">
        <f>yields!B3</f>
        <v>42019</v>
      </c>
      <c r="C4" s="13">
        <f>+yields!C3/100</f>
        <v>8.7270999999999998E-3</v>
      </c>
      <c r="D4" s="13">
        <f>+yields!D3/100</f>
        <v>1.24644E-2</v>
      </c>
      <c r="E4" s="13">
        <f>+yields!E3/100</f>
        <v>1.6851499999999998E-2</v>
      </c>
      <c r="F4" s="24"/>
      <c r="G4" s="1">
        <f t="shared" si="1"/>
        <v>2.411111111111111</v>
      </c>
      <c r="H4" s="3">
        <f t="shared" si="1"/>
        <v>5.75</v>
      </c>
      <c r="I4" s="1">
        <f t="shared" si="1"/>
        <v>10.527777777777779</v>
      </c>
      <c r="K4" s="14">
        <f t="shared" ref="K4:K54" si="3">H4</f>
        <v>5.75</v>
      </c>
      <c r="L4" s="15">
        <f t="shared" ref="L4:L54" si="4">K4^2</f>
        <v>33.0625</v>
      </c>
      <c r="M4" s="28">
        <f t="shared" ref="M4:M54" si="5">+G4</f>
        <v>2.411111111111111</v>
      </c>
      <c r="N4" s="28">
        <f t="shared" si="2"/>
        <v>5.813456790123456</v>
      </c>
      <c r="O4" s="28">
        <f t="shared" ref="O4:O54" si="6">+I4</f>
        <v>10.527777777777779</v>
      </c>
      <c r="P4" s="28">
        <f t="shared" ref="P4" si="7">+O4^2</f>
        <v>110.83410493827162</v>
      </c>
      <c r="R4" s="29">
        <f t="shared" ref="R4:R54" si="8">100*EXP(-C4*G4)</f>
        <v>97.917783062077916</v>
      </c>
      <c r="S4" s="29">
        <f t="shared" ref="S4:S54" si="9">100*EXP(-D4*H4)</f>
        <v>93.083774242844001</v>
      </c>
      <c r="T4" s="12">
        <f t="shared" ref="T4:T54" si="10">100*EXP(-E4*I4)</f>
        <v>83.743733059569649</v>
      </c>
      <c r="U4" s="13">
        <f t="shared" ref="U4:U54" si="11">((M4-K4)*R4)/((K4-O4)*T4)</f>
        <v>0.81711893841056216</v>
      </c>
      <c r="V4" s="21">
        <f t="shared" ref="V4:V54" si="12">R4-(U4*T4)</f>
        <v>29.489192805904864</v>
      </c>
      <c r="W4" s="30">
        <f>((V4/V3)-1)*100</f>
        <v>0.43099269682282948</v>
      </c>
    </row>
    <row r="5" spans="1:25" x14ac:dyDescent="0.25">
      <c r="A5">
        <f t="shared" si="0"/>
        <v>5</v>
      </c>
      <c r="B5" s="2">
        <f>yields!B4</f>
        <v>42026</v>
      </c>
      <c r="C5" s="13">
        <f>+yields!C4/100</f>
        <v>6.1267000000000005E-3</v>
      </c>
      <c r="D5" s="13">
        <f>+yields!D4/100</f>
        <v>1.08535E-2</v>
      </c>
      <c r="E5" s="13">
        <f>+yields!E4/100</f>
        <v>1.6251999999999999E-2</v>
      </c>
      <c r="F5" s="24"/>
      <c r="G5" s="1">
        <f t="shared" si="1"/>
        <v>2.3916666666666666</v>
      </c>
      <c r="H5" s="3">
        <f t="shared" si="1"/>
        <v>5.7305555555555552</v>
      </c>
      <c r="I5" s="1">
        <f t="shared" si="1"/>
        <v>10.508333333333333</v>
      </c>
      <c r="K5" s="14">
        <f t="shared" si="3"/>
        <v>5.7305555555555552</v>
      </c>
      <c r="L5" s="15">
        <f t="shared" si="4"/>
        <v>32.839266975308639</v>
      </c>
      <c r="M5" s="28">
        <f t="shared" si="5"/>
        <v>2.3916666666666666</v>
      </c>
      <c r="N5" s="28">
        <f t="shared" ref="N5" si="13">+M5^2</f>
        <v>5.7200694444444444</v>
      </c>
      <c r="O5" s="28">
        <f t="shared" si="6"/>
        <v>10.508333333333333</v>
      </c>
      <c r="P5" s="28">
        <f t="shared" ref="P5" si="14">+O5^2</f>
        <v>110.42506944444443</v>
      </c>
      <c r="R5" s="29">
        <f t="shared" si="8"/>
        <v>98.545380894600328</v>
      </c>
      <c r="S5" s="29">
        <f t="shared" si="9"/>
        <v>93.969813833482462</v>
      </c>
      <c r="T5" s="12">
        <f t="shared" si="10"/>
        <v>84.300580630637327</v>
      </c>
      <c r="U5" s="13">
        <f t="shared" si="11"/>
        <v>0.81692413573944977</v>
      </c>
      <c r="V5" s="21">
        <f t="shared" si="12"/>
        <v>29.678201920583135</v>
      </c>
      <c r="W5" s="30">
        <f t="shared" ref="W5:W54" si="15">((V5/V4)-1)*100</f>
        <v>0.64094367018558973</v>
      </c>
    </row>
    <row r="6" spans="1:25" x14ac:dyDescent="0.25">
      <c r="A6">
        <f t="shared" si="0"/>
        <v>5</v>
      </c>
      <c r="B6" s="2">
        <f>yields!B5</f>
        <v>42033</v>
      </c>
      <c r="C6" s="13">
        <f>+yields!C5/100</f>
        <v>5.1357E-3</v>
      </c>
      <c r="D6" s="13">
        <f>+yields!D5/100</f>
        <v>9.3457000000000002E-3</v>
      </c>
      <c r="E6" s="13">
        <f>+yields!E5/100</f>
        <v>1.4626999999999999E-2</v>
      </c>
      <c r="F6" s="24"/>
      <c r="G6" s="1">
        <f t="shared" si="1"/>
        <v>2.3722222222222222</v>
      </c>
      <c r="H6" s="3">
        <f t="shared" si="1"/>
        <v>5.7111111111111112</v>
      </c>
      <c r="I6" s="1">
        <f t="shared" si="1"/>
        <v>10.488888888888889</v>
      </c>
      <c r="K6" s="14">
        <f t="shared" si="3"/>
        <v>5.7111111111111112</v>
      </c>
      <c r="L6" s="15">
        <f t="shared" si="4"/>
        <v>32.616790123456795</v>
      </c>
      <c r="M6" s="28">
        <f t="shared" si="5"/>
        <v>2.3722222222222222</v>
      </c>
      <c r="N6" s="28">
        <f t="shared" ref="N6" si="16">+M6^2</f>
        <v>5.6274382716049383</v>
      </c>
      <c r="O6" s="28">
        <f t="shared" si="6"/>
        <v>10.488888888888889</v>
      </c>
      <c r="P6" s="28">
        <f t="shared" ref="P6" si="17">+O6^2</f>
        <v>110.01679012345679</v>
      </c>
      <c r="R6" s="29">
        <f t="shared" si="8"/>
        <v>98.789089087793158</v>
      </c>
      <c r="S6" s="29">
        <f t="shared" si="9"/>
        <v>94.802507077547645</v>
      </c>
      <c r="T6" s="12">
        <f t="shared" si="10"/>
        <v>85.776854429724821</v>
      </c>
      <c r="U6" s="13">
        <f t="shared" si="11"/>
        <v>0.80484988388322376</v>
      </c>
      <c r="V6" s="21">
        <f t="shared" si="12"/>
        <v>29.751597760160948</v>
      </c>
      <c r="W6" s="30">
        <f t="shared" si="15"/>
        <v>0.24730554692704576</v>
      </c>
      <c r="Y6" s="32"/>
    </row>
    <row r="7" spans="1:25" x14ac:dyDescent="0.25">
      <c r="A7">
        <f t="shared" si="0"/>
        <v>5</v>
      </c>
      <c r="B7" s="2">
        <f>yields!B6</f>
        <v>42040</v>
      </c>
      <c r="C7" s="13">
        <f>+yields!C6/100</f>
        <v>4.8582E-3</v>
      </c>
      <c r="D7" s="13">
        <f>+yields!D6/100</f>
        <v>9.1529999999999997E-3</v>
      </c>
      <c r="E7" s="13">
        <f>+yields!E6/100</f>
        <v>1.4449200000000001E-2</v>
      </c>
      <c r="F7" s="24"/>
      <c r="G7" s="1">
        <f t="shared" si="1"/>
        <v>2.3527777777777779</v>
      </c>
      <c r="H7" s="3">
        <f t="shared" si="1"/>
        <v>5.6916666666666664</v>
      </c>
      <c r="I7" s="1">
        <f t="shared" si="1"/>
        <v>10.469444444444445</v>
      </c>
      <c r="K7" s="14">
        <f t="shared" si="3"/>
        <v>5.6916666666666664</v>
      </c>
      <c r="L7" s="15">
        <f t="shared" si="4"/>
        <v>32.395069444444445</v>
      </c>
      <c r="M7" s="28">
        <f t="shared" si="5"/>
        <v>2.3527777777777779</v>
      </c>
      <c r="N7" s="28">
        <f t="shared" ref="N7" si="18">+M7^2</f>
        <v>5.5355632716049383</v>
      </c>
      <c r="O7" s="28">
        <f t="shared" si="6"/>
        <v>10.469444444444445</v>
      </c>
      <c r="P7" s="28">
        <f t="shared" ref="P7" si="19">+O7^2</f>
        <v>109.60926697530866</v>
      </c>
      <c r="R7" s="29">
        <f t="shared" si="8"/>
        <v>98.863481229275322</v>
      </c>
      <c r="S7" s="29">
        <f t="shared" si="9"/>
        <v>94.92379017626584</v>
      </c>
      <c r="T7" s="12">
        <f t="shared" si="10"/>
        <v>85.961118995633285</v>
      </c>
      <c r="U7" s="13">
        <f t="shared" si="11"/>
        <v>0.80372940849791941</v>
      </c>
      <c r="V7" s="21">
        <f t="shared" si="12"/>
        <v>29.774001905095716</v>
      </c>
      <c r="W7" s="30">
        <f t="shared" si="15"/>
        <v>7.5304005907095295E-2</v>
      </c>
    </row>
    <row r="8" spans="1:25" x14ac:dyDescent="0.25">
      <c r="A8">
        <f t="shared" si="0"/>
        <v>5</v>
      </c>
      <c r="B8" s="2">
        <f>yields!B7</f>
        <v>42047</v>
      </c>
      <c r="C8" s="13">
        <f>+yields!C7/100</f>
        <v>4.8138E-3</v>
      </c>
      <c r="D8" s="13">
        <f>+yields!D7/100</f>
        <v>9.3896999999999991E-3</v>
      </c>
      <c r="E8" s="13">
        <f>+yields!E7/100</f>
        <v>1.47072E-2</v>
      </c>
      <c r="F8" s="24"/>
      <c r="G8" s="1">
        <f t="shared" si="1"/>
        <v>2.3333333333333335</v>
      </c>
      <c r="H8" s="3">
        <f t="shared" si="1"/>
        <v>5.6722222222222225</v>
      </c>
      <c r="I8" s="1">
        <f t="shared" si="1"/>
        <v>10.45</v>
      </c>
      <c r="K8" s="14">
        <f t="shared" si="3"/>
        <v>5.6722222222222225</v>
      </c>
      <c r="L8" s="15">
        <f t="shared" si="4"/>
        <v>32.174104938271611</v>
      </c>
      <c r="M8" s="28">
        <f t="shared" si="5"/>
        <v>2.3333333333333335</v>
      </c>
      <c r="N8" s="28">
        <f t="shared" ref="N8" si="20">+M8^2</f>
        <v>5.4444444444444455</v>
      </c>
      <c r="O8" s="28">
        <f t="shared" si="6"/>
        <v>10.45</v>
      </c>
      <c r="P8" s="28">
        <f t="shared" ref="P8" si="21">+O8^2</f>
        <v>109.20249999999999</v>
      </c>
      <c r="R8" s="29">
        <f t="shared" si="8"/>
        <v>98.883064564007583</v>
      </c>
      <c r="S8" s="29">
        <f t="shared" si="9"/>
        <v>94.813302484956026</v>
      </c>
      <c r="T8" s="12">
        <f t="shared" si="10"/>
        <v>85.753761072509718</v>
      </c>
      <c r="U8" s="13">
        <f t="shared" si="11"/>
        <v>0.80583246755488736</v>
      </c>
      <c r="V8" s="21">
        <f t="shared" si="12"/>
        <v>29.77989967683483</v>
      </c>
      <c r="W8" s="30">
        <f t="shared" si="15"/>
        <v>1.9808461616666051E-2</v>
      </c>
      <c r="Y8" s="32"/>
    </row>
    <row r="9" spans="1:25" x14ac:dyDescent="0.25">
      <c r="A9">
        <f t="shared" si="0"/>
        <v>5</v>
      </c>
      <c r="B9" s="2">
        <f>yields!B8</f>
        <v>42054</v>
      </c>
      <c r="C9" s="13">
        <f>+yields!C8/100</f>
        <v>4.8996999999999999E-3</v>
      </c>
      <c r="D9" s="13">
        <f>+yields!D8/100</f>
        <v>9.8954999999999998E-3</v>
      </c>
      <c r="E9" s="13">
        <f>+yields!E8/100</f>
        <v>1.5345599999999999E-2</v>
      </c>
      <c r="F9" s="24"/>
      <c r="G9" s="1">
        <f t="shared" si="1"/>
        <v>2.3138888888888891</v>
      </c>
      <c r="H9" s="3">
        <f t="shared" si="1"/>
        <v>5.6527777777777777</v>
      </c>
      <c r="I9" s="1">
        <f t="shared" si="1"/>
        <v>10.430555555555555</v>
      </c>
      <c r="K9" s="14">
        <f t="shared" si="3"/>
        <v>5.6527777777777777</v>
      </c>
      <c r="L9" s="15">
        <f t="shared" si="4"/>
        <v>31.953896604938272</v>
      </c>
      <c r="M9" s="28">
        <f t="shared" si="5"/>
        <v>2.3138888888888891</v>
      </c>
      <c r="N9" s="28">
        <f t="shared" ref="N9" si="22">+M9^2</f>
        <v>5.3540817901234581</v>
      </c>
      <c r="O9" s="28">
        <f t="shared" si="6"/>
        <v>10.430555555555555</v>
      </c>
      <c r="P9" s="28">
        <f t="shared" ref="P9" si="23">+O9^2</f>
        <v>108.79648919753086</v>
      </c>
      <c r="R9" s="29">
        <f t="shared" si="8"/>
        <v>98.872666430351103</v>
      </c>
      <c r="S9" s="29">
        <f t="shared" si="9"/>
        <v>94.559864763250189</v>
      </c>
      <c r="T9" s="12">
        <f t="shared" si="10"/>
        <v>85.208999198654382</v>
      </c>
      <c r="U9" s="13">
        <f t="shared" si="11"/>
        <v>0.81089907092298585</v>
      </c>
      <c r="V9" s="21">
        <f t="shared" si="12"/>
        <v>29.776768145884816</v>
      </c>
      <c r="W9" s="30">
        <f t="shared" si="15"/>
        <v>-1.051558596233404E-2</v>
      </c>
    </row>
    <row r="10" spans="1:25" x14ac:dyDescent="0.25">
      <c r="A10">
        <f t="shared" si="0"/>
        <v>5</v>
      </c>
      <c r="B10" s="2">
        <f>yields!B9</f>
        <v>42061</v>
      </c>
      <c r="C10" s="13">
        <f>+yields!C9/100</f>
        <v>5.6855999999999999E-3</v>
      </c>
      <c r="D10" s="13">
        <f>+yields!D9/100</f>
        <v>9.4205000000000001E-3</v>
      </c>
      <c r="E10" s="13">
        <f>+yields!E9/100</f>
        <v>1.44651E-2</v>
      </c>
      <c r="F10" s="24"/>
      <c r="G10" s="1">
        <f t="shared" si="1"/>
        <v>2.2944444444444443</v>
      </c>
      <c r="H10" s="3">
        <f t="shared" si="1"/>
        <v>5.6333333333333337</v>
      </c>
      <c r="I10" s="1">
        <f t="shared" si="1"/>
        <v>10.411111111111111</v>
      </c>
      <c r="K10" s="14">
        <f t="shared" si="3"/>
        <v>5.6333333333333337</v>
      </c>
      <c r="L10" s="15">
        <f t="shared" si="4"/>
        <v>31.734444444444449</v>
      </c>
      <c r="M10" s="28">
        <f t="shared" si="5"/>
        <v>2.2944444444444443</v>
      </c>
      <c r="N10" s="28">
        <f t="shared" ref="N10" si="24">+M10^2</f>
        <v>5.2644753086419742</v>
      </c>
      <c r="O10" s="28">
        <f t="shared" si="6"/>
        <v>10.411111111111111</v>
      </c>
      <c r="P10" s="28">
        <f t="shared" ref="P10" si="25">+O10^2</f>
        <v>108.39123456790124</v>
      </c>
      <c r="R10" s="29">
        <f t="shared" si="8"/>
        <v>98.703942770201152</v>
      </c>
      <c r="S10" s="29">
        <f t="shared" si="9"/>
        <v>94.831475037669193</v>
      </c>
      <c r="T10" s="12">
        <f t="shared" si="10"/>
        <v>86.01936304999262</v>
      </c>
      <c r="U10" s="13">
        <f t="shared" si="11"/>
        <v>0.80188908016646565</v>
      </c>
      <c r="V10" s="21">
        <f t="shared" si="12"/>
        <v>29.725954857537303</v>
      </c>
      <c r="W10" s="30">
        <f t="shared" si="15"/>
        <v>-0.17064742586758719</v>
      </c>
    </row>
    <row r="11" spans="1:25" x14ac:dyDescent="0.25">
      <c r="A11">
        <f t="shared" si="0"/>
        <v>5</v>
      </c>
      <c r="B11" s="2">
        <f>yields!B10</f>
        <v>42068</v>
      </c>
      <c r="C11" s="13">
        <f>+yields!C10/100</f>
        <v>6.9211999999999997E-3</v>
      </c>
      <c r="D11" s="13">
        <f>+yields!D10/100</f>
        <v>1.09158E-2</v>
      </c>
      <c r="E11" s="13">
        <f>+yields!E10/100</f>
        <v>1.6154999999999999E-2</v>
      </c>
      <c r="F11" s="24"/>
      <c r="G11" s="1">
        <f t="shared" si="1"/>
        <v>2.2749999999999999</v>
      </c>
      <c r="H11" s="3">
        <f t="shared" si="1"/>
        <v>5.6138888888888889</v>
      </c>
      <c r="I11" s="1">
        <f t="shared" si="1"/>
        <v>10.391666666666667</v>
      </c>
      <c r="K11" s="14">
        <f t="shared" si="3"/>
        <v>5.6138888888888889</v>
      </c>
      <c r="L11" s="15">
        <f t="shared" si="4"/>
        <v>31.515748456790124</v>
      </c>
      <c r="M11" s="28">
        <f t="shared" si="5"/>
        <v>2.2749999999999999</v>
      </c>
      <c r="N11" s="28">
        <f t="shared" ref="N11" si="26">+M11^2</f>
        <v>5.1756249999999993</v>
      </c>
      <c r="O11" s="28">
        <f t="shared" si="6"/>
        <v>10.391666666666667</v>
      </c>
      <c r="P11" s="28">
        <f t="shared" ref="P11" si="27">+O11^2</f>
        <v>107.98673611111113</v>
      </c>
      <c r="R11" s="29">
        <f t="shared" si="8"/>
        <v>98.437758592515863</v>
      </c>
      <c r="S11" s="29">
        <f t="shared" si="9"/>
        <v>94.055976306291882</v>
      </c>
      <c r="T11" s="12">
        <f t="shared" si="10"/>
        <v>84.545750255464341</v>
      </c>
      <c r="U11" s="13">
        <f t="shared" si="11"/>
        <v>0.81366559876643418</v>
      </c>
      <c r="V11" s="21">
        <f t="shared" si="12"/>
        <v>29.645790087746065</v>
      </c>
      <c r="W11" s="30">
        <f t="shared" si="15"/>
        <v>-0.26967937674476916</v>
      </c>
    </row>
    <row r="12" spans="1:25" x14ac:dyDescent="0.25">
      <c r="A12">
        <f t="shared" si="0"/>
        <v>5</v>
      </c>
      <c r="B12" s="2">
        <f>yields!B11</f>
        <v>42075</v>
      </c>
      <c r="C12" s="13">
        <f>+yields!C11/100</f>
        <v>6.5475999999999998E-3</v>
      </c>
      <c r="D12" s="13">
        <f>+yields!D11/100</f>
        <v>1.03223E-2</v>
      </c>
      <c r="E12" s="13">
        <f>+yields!E11/100</f>
        <v>1.5833099999999999E-2</v>
      </c>
      <c r="F12" s="24"/>
      <c r="G12" s="1">
        <f t="shared" si="1"/>
        <v>2.2555555555555555</v>
      </c>
      <c r="H12" s="3">
        <f t="shared" si="1"/>
        <v>5.5944444444444441</v>
      </c>
      <c r="I12" s="1">
        <f t="shared" si="1"/>
        <v>10.372222222222222</v>
      </c>
      <c r="K12" s="14">
        <f t="shared" si="3"/>
        <v>5.5944444444444441</v>
      </c>
      <c r="L12" s="15">
        <f t="shared" si="4"/>
        <v>31.297808641975305</v>
      </c>
      <c r="M12" s="28">
        <f t="shared" si="5"/>
        <v>2.2555555555555555</v>
      </c>
      <c r="N12" s="28">
        <f t="shared" ref="N12" si="28">+M12^2</f>
        <v>5.0875308641975305</v>
      </c>
      <c r="O12" s="28">
        <f t="shared" si="6"/>
        <v>10.372222222222222</v>
      </c>
      <c r="P12" s="28">
        <f t="shared" ref="P12" si="29">+O12^2</f>
        <v>107.58299382716048</v>
      </c>
      <c r="R12" s="29">
        <f t="shared" si="8"/>
        <v>98.53400435023903</v>
      </c>
      <c r="S12" s="29">
        <f t="shared" si="9"/>
        <v>94.388821714552591</v>
      </c>
      <c r="T12" s="12">
        <f t="shared" si="10"/>
        <v>84.855155866745378</v>
      </c>
      <c r="U12" s="13">
        <f t="shared" si="11"/>
        <v>0.81149139281105354</v>
      </c>
      <c r="V12" s="21">
        <f t="shared" si="12"/>
        <v>29.674775728734787</v>
      </c>
      <c r="W12" s="30">
        <f t="shared" si="15"/>
        <v>9.7773211315765884E-2</v>
      </c>
    </row>
    <row r="13" spans="1:25" x14ac:dyDescent="0.25">
      <c r="A13">
        <f t="shared" si="0"/>
        <v>5</v>
      </c>
      <c r="B13" s="2">
        <f>yields!B12</f>
        <v>42082</v>
      </c>
      <c r="C13" s="13">
        <f>+yields!C12/100</f>
        <v>5.6764000000000007E-3</v>
      </c>
      <c r="D13" s="13">
        <f>+yields!D12/100</f>
        <v>8.9732000000000006E-3</v>
      </c>
      <c r="E13" s="13">
        <f>+yields!E12/100</f>
        <v>1.4104E-2</v>
      </c>
      <c r="F13" s="24"/>
      <c r="G13" s="1">
        <f t="shared" si="1"/>
        <v>2.2361111111111112</v>
      </c>
      <c r="H13" s="3">
        <f t="shared" si="1"/>
        <v>5.5750000000000002</v>
      </c>
      <c r="I13" s="1">
        <f t="shared" si="1"/>
        <v>10.352777777777778</v>
      </c>
      <c r="K13" s="14">
        <f t="shared" si="3"/>
        <v>5.5750000000000002</v>
      </c>
      <c r="L13" s="15">
        <f t="shared" si="4"/>
        <v>31.080625000000001</v>
      </c>
      <c r="M13" s="28">
        <f t="shared" si="5"/>
        <v>2.2361111111111112</v>
      </c>
      <c r="N13" s="28">
        <f t="shared" ref="N13" si="30">+M13^2</f>
        <v>5.0001929012345681</v>
      </c>
      <c r="O13" s="28">
        <f t="shared" si="6"/>
        <v>10.352777777777778</v>
      </c>
      <c r="P13" s="28">
        <f t="shared" ref="P13" si="31">+O13^2</f>
        <v>107.18000771604939</v>
      </c>
      <c r="R13" s="29">
        <f t="shared" si="8"/>
        <v>98.738715603001765</v>
      </c>
      <c r="S13" s="29">
        <f t="shared" si="9"/>
        <v>95.120508285119371</v>
      </c>
      <c r="T13" s="12">
        <f t="shared" si="10"/>
        <v>86.414424163282831</v>
      </c>
      <c r="U13" s="13">
        <f t="shared" si="11"/>
        <v>0.79850429057671779</v>
      </c>
      <c r="V13" s="21">
        <f t="shared" si="12"/>
        <v>29.736427140904027</v>
      </c>
      <c r="W13" s="30">
        <f t="shared" si="15"/>
        <v>0.20775696076968941</v>
      </c>
    </row>
    <row r="14" spans="1:25" x14ac:dyDescent="0.25">
      <c r="A14">
        <f t="shared" si="0"/>
        <v>5</v>
      </c>
      <c r="B14" s="2">
        <f>yields!B13</f>
        <v>42089</v>
      </c>
      <c r="C14" s="13">
        <f>+yields!C13/100</f>
        <v>6.7054999999999997E-3</v>
      </c>
      <c r="D14" s="13">
        <f>+yields!D13/100</f>
        <v>1.0221800000000001E-2</v>
      </c>
      <c r="E14" s="13">
        <f>+yields!E13/100</f>
        <v>1.52322E-2</v>
      </c>
      <c r="F14" s="24"/>
      <c r="G14" s="1">
        <f t="shared" si="1"/>
        <v>2.2166666666666668</v>
      </c>
      <c r="H14" s="3">
        <f t="shared" si="1"/>
        <v>5.5555555555555554</v>
      </c>
      <c r="I14" s="1">
        <f t="shared" si="1"/>
        <v>10.333333333333334</v>
      </c>
      <c r="K14" s="14">
        <f t="shared" si="3"/>
        <v>5.5555555555555554</v>
      </c>
      <c r="L14" s="15">
        <f t="shared" si="4"/>
        <v>30.864197530864196</v>
      </c>
      <c r="M14" s="28">
        <f t="shared" si="5"/>
        <v>2.2166666666666668</v>
      </c>
      <c r="N14" s="28">
        <f t="shared" ref="N14" si="32">+M14^2</f>
        <v>4.9136111111111118</v>
      </c>
      <c r="O14" s="28">
        <f t="shared" si="6"/>
        <v>10.333333333333334</v>
      </c>
      <c r="P14" s="28">
        <f t="shared" ref="P14" si="33">+O14^2</f>
        <v>106.77777777777779</v>
      </c>
      <c r="R14" s="29">
        <f t="shared" si="8"/>
        <v>98.524606351409275</v>
      </c>
      <c r="S14" s="29">
        <f t="shared" si="9"/>
        <v>94.479455449196919</v>
      </c>
      <c r="T14" s="12">
        <f t="shared" si="10"/>
        <v>85.436275817886781</v>
      </c>
      <c r="U14" s="13">
        <f t="shared" si="11"/>
        <v>0.80589492333435908</v>
      </c>
      <c r="V14" s="21">
        <f t="shared" si="12"/>
        <v>29.671945401180253</v>
      </c>
      <c r="W14" s="30">
        <f t="shared" si="15"/>
        <v>-0.21684427459368605</v>
      </c>
    </row>
    <row r="15" spans="1:25" x14ac:dyDescent="0.25">
      <c r="A15">
        <f t="shared" si="0"/>
        <v>5</v>
      </c>
      <c r="B15" s="2">
        <f>yields!B14</f>
        <v>42096</v>
      </c>
      <c r="C15" s="13">
        <f>+yields!C14/100</f>
        <v>5.7758000000000002E-3</v>
      </c>
      <c r="D15" s="13">
        <f>+yields!D14/100</f>
        <v>8.9887999999999999E-3</v>
      </c>
      <c r="E15" s="13">
        <f>+yields!E14/100</f>
        <v>1.39831E-2</v>
      </c>
      <c r="F15" s="24"/>
      <c r="G15" s="1">
        <f t="shared" si="1"/>
        <v>2.1972222222222224</v>
      </c>
      <c r="H15" s="3">
        <f t="shared" si="1"/>
        <v>5.5361111111111114</v>
      </c>
      <c r="I15" s="1">
        <f t="shared" si="1"/>
        <v>10.313888888888888</v>
      </c>
      <c r="K15" s="14">
        <f t="shared" si="3"/>
        <v>5.5361111111111114</v>
      </c>
      <c r="L15" s="15">
        <f t="shared" si="4"/>
        <v>30.648526234567903</v>
      </c>
      <c r="M15" s="28">
        <f t="shared" si="5"/>
        <v>2.1972222222222224</v>
      </c>
      <c r="N15" s="28">
        <f t="shared" ref="N15" si="34">+M15^2</f>
        <v>4.8277854938271609</v>
      </c>
      <c r="O15" s="28">
        <f t="shared" si="6"/>
        <v>10.313888888888888</v>
      </c>
      <c r="P15" s="28">
        <f t="shared" ref="P15" si="35">+O15^2</f>
        <v>106.37630401234567</v>
      </c>
      <c r="R15" s="29">
        <f t="shared" si="8"/>
        <v>98.738947145561326</v>
      </c>
      <c r="S15" s="29">
        <f t="shared" si="9"/>
        <v>95.145489681992245</v>
      </c>
      <c r="T15" s="12">
        <f t="shared" si="10"/>
        <v>86.569715275044047</v>
      </c>
      <c r="U15" s="13">
        <f t="shared" si="11"/>
        <v>0.79707378098014436</v>
      </c>
      <c r="V15" s="21">
        <f t="shared" si="12"/>
        <v>29.736496872907409</v>
      </c>
      <c r="W15" s="30">
        <f t="shared" si="15"/>
        <v>0.21755052071708025</v>
      </c>
    </row>
    <row r="16" spans="1:25" x14ac:dyDescent="0.25">
      <c r="A16">
        <f t="shared" si="0"/>
        <v>5</v>
      </c>
      <c r="B16" s="2">
        <f>yields!B15</f>
        <v>42103</v>
      </c>
      <c r="C16" s="13">
        <f>+yields!C15/100</f>
        <v>5.9659999999999999E-3</v>
      </c>
      <c r="D16" s="13">
        <f>+yields!D15/100</f>
        <v>9.4549999999999999E-3</v>
      </c>
      <c r="E16" s="13">
        <f>+yields!E15/100</f>
        <v>1.45706E-2</v>
      </c>
      <c r="F16" s="24"/>
      <c r="G16" s="1">
        <f t="shared" si="1"/>
        <v>2.1777777777777776</v>
      </c>
      <c r="H16" s="3">
        <f t="shared" si="1"/>
        <v>5.5166666666666666</v>
      </c>
      <c r="I16" s="1">
        <f t="shared" si="1"/>
        <v>10.294444444444444</v>
      </c>
      <c r="K16" s="14">
        <f t="shared" si="3"/>
        <v>5.5166666666666666</v>
      </c>
      <c r="L16" s="15">
        <f t="shared" si="4"/>
        <v>30.433611111111109</v>
      </c>
      <c r="M16" s="28">
        <f t="shared" si="5"/>
        <v>2.1777777777777776</v>
      </c>
      <c r="N16" s="28">
        <f t="shared" ref="N16" si="36">+M16^2</f>
        <v>4.7427160493827154</v>
      </c>
      <c r="O16" s="28">
        <f t="shared" si="6"/>
        <v>10.294444444444444</v>
      </c>
      <c r="P16" s="28">
        <f t="shared" ref="P16" si="37">+O16^2</f>
        <v>105.97558641975309</v>
      </c>
      <c r="R16" s="29">
        <f t="shared" si="8"/>
        <v>98.709141753454816</v>
      </c>
      <c r="S16" s="29">
        <f t="shared" si="9"/>
        <v>94.917690727687727</v>
      </c>
      <c r="T16" s="12">
        <f t="shared" si="10"/>
        <v>86.071121938755397</v>
      </c>
      <c r="U16" s="13">
        <f t="shared" si="11"/>
        <v>0.80144907608729044</v>
      </c>
      <c r="V16" s="21">
        <f t="shared" si="12"/>
        <v>29.727520597842783</v>
      </c>
      <c r="W16" s="30">
        <f t="shared" si="15"/>
        <v>-3.0186054204672796E-2</v>
      </c>
    </row>
    <row r="17" spans="1:23" x14ac:dyDescent="0.25">
      <c r="A17">
        <f t="shared" si="0"/>
        <v>5</v>
      </c>
      <c r="B17" s="2">
        <f>yields!B16</f>
        <v>42110</v>
      </c>
      <c r="C17" s="13">
        <f>+yields!C16/100</f>
        <v>6.6274000000000003E-3</v>
      </c>
      <c r="D17" s="13">
        <f>+yields!D16/100</f>
        <v>9.7616000000000005E-3</v>
      </c>
      <c r="E17" s="13">
        <f>+yields!E16/100</f>
        <v>1.46065E-2</v>
      </c>
      <c r="F17" s="24"/>
      <c r="G17" s="1">
        <f t="shared" si="1"/>
        <v>2.1583333333333332</v>
      </c>
      <c r="H17" s="3">
        <f t="shared" si="1"/>
        <v>5.4972222222222218</v>
      </c>
      <c r="I17" s="1">
        <f t="shared" si="1"/>
        <v>10.275</v>
      </c>
      <c r="K17" s="14">
        <f t="shared" si="3"/>
        <v>5.4972222222222218</v>
      </c>
      <c r="L17" s="15">
        <f t="shared" si="4"/>
        <v>30.219452160493823</v>
      </c>
      <c r="M17" s="28">
        <f t="shared" si="5"/>
        <v>2.1583333333333332</v>
      </c>
      <c r="N17" s="28">
        <f t="shared" ref="N17" si="38">+M17^2</f>
        <v>4.658402777777777</v>
      </c>
      <c r="O17" s="28">
        <f t="shared" si="6"/>
        <v>10.275</v>
      </c>
      <c r="P17" s="28">
        <f t="shared" ref="P17" si="39">+O17^2</f>
        <v>105.575625</v>
      </c>
      <c r="R17" s="29">
        <f t="shared" si="8"/>
        <v>98.579767980169592</v>
      </c>
      <c r="S17" s="29">
        <f t="shared" si="9"/>
        <v>94.775269174769065</v>
      </c>
      <c r="T17" s="12">
        <f t="shared" si="10"/>
        <v>86.063758415007925</v>
      </c>
      <c r="U17" s="13">
        <f t="shared" si="11"/>
        <v>0.80046713294499927</v>
      </c>
      <c r="V17" s="21">
        <f t="shared" si="12"/>
        <v>29.68855803123715</v>
      </c>
      <c r="W17" s="30">
        <f t="shared" si="15"/>
        <v>-0.13106564497161743</v>
      </c>
    </row>
    <row r="18" spans="1:23" x14ac:dyDescent="0.25">
      <c r="A18">
        <f t="shared" si="0"/>
        <v>5</v>
      </c>
      <c r="B18" s="2">
        <f>yields!B17</f>
        <v>42117</v>
      </c>
      <c r="C18" s="13">
        <f>+yields!C17/100</f>
        <v>7.4215000000000001E-3</v>
      </c>
      <c r="D18" s="13">
        <f>+yields!D17/100</f>
        <v>1.08626E-2</v>
      </c>
      <c r="E18" s="13">
        <f>+yields!E17/100</f>
        <v>1.5782600000000001E-2</v>
      </c>
      <c r="F18" s="24"/>
      <c r="G18" s="1">
        <f t="shared" si="1"/>
        <v>2.1388888888888888</v>
      </c>
      <c r="H18" s="3">
        <f t="shared" si="1"/>
        <v>5.4777777777777779</v>
      </c>
      <c r="I18" s="1">
        <f t="shared" si="1"/>
        <v>10.255555555555556</v>
      </c>
      <c r="K18" s="14">
        <f t="shared" si="3"/>
        <v>5.4777777777777779</v>
      </c>
      <c r="L18" s="15">
        <f t="shared" si="4"/>
        <v>30.00604938271605</v>
      </c>
      <c r="M18" s="28">
        <f t="shared" si="5"/>
        <v>2.1388888888888888</v>
      </c>
      <c r="N18" s="28">
        <f t="shared" ref="N18" si="40">+M18^2</f>
        <v>4.5748456790123457</v>
      </c>
      <c r="O18" s="28">
        <f t="shared" si="6"/>
        <v>10.255555555555556</v>
      </c>
      <c r="P18" s="28">
        <f t="shared" ref="P18" si="41">+O18^2</f>
        <v>105.17641975308644</v>
      </c>
      <c r="R18" s="29">
        <f t="shared" si="8"/>
        <v>98.425156030264489</v>
      </c>
      <c r="S18" s="29">
        <f t="shared" si="9"/>
        <v>94.223279273674208</v>
      </c>
      <c r="T18" s="12">
        <f t="shared" si="10"/>
        <v>85.056084357408864</v>
      </c>
      <c r="U18" s="13">
        <f t="shared" si="11"/>
        <v>0.80868008308854855</v>
      </c>
      <c r="V18" s="21">
        <f t="shared" si="12"/>
        <v>29.64199466492849</v>
      </c>
      <c r="W18" s="30">
        <f t="shared" si="15"/>
        <v>-0.15683943376323395</v>
      </c>
    </row>
    <row r="19" spans="1:23" x14ac:dyDescent="0.25">
      <c r="A19">
        <f t="shared" si="0"/>
        <v>5</v>
      </c>
      <c r="B19" s="2">
        <f>yields!B18</f>
        <v>42124</v>
      </c>
      <c r="C19" s="13">
        <f>+yields!C18/100</f>
        <v>7.6934999999999998E-3</v>
      </c>
      <c r="D19" s="13">
        <f>+yields!D18/100</f>
        <v>1.15201E-2</v>
      </c>
      <c r="E19" s="13">
        <f>+yields!E18/100</f>
        <v>1.6869499999999999E-2</v>
      </c>
      <c r="F19" s="24"/>
      <c r="G19" s="1">
        <f t="shared" si="1"/>
        <v>2.1194444444444445</v>
      </c>
      <c r="H19" s="3">
        <f t="shared" si="1"/>
        <v>5.458333333333333</v>
      </c>
      <c r="I19" s="1">
        <f t="shared" si="1"/>
        <v>10.236111111111111</v>
      </c>
      <c r="K19" s="14">
        <f t="shared" si="3"/>
        <v>5.458333333333333</v>
      </c>
      <c r="L19" s="15">
        <f t="shared" si="4"/>
        <v>29.793402777777775</v>
      </c>
      <c r="M19" s="28">
        <f t="shared" si="5"/>
        <v>2.1194444444444445</v>
      </c>
      <c r="N19" s="28">
        <f t="shared" ref="N19" si="42">+M19^2</f>
        <v>4.4920447530864198</v>
      </c>
      <c r="O19" s="28">
        <f t="shared" si="6"/>
        <v>10.236111111111111</v>
      </c>
      <c r="P19" s="28">
        <f t="shared" ref="P19" si="43">+O19^2</f>
        <v>104.77797067901234</v>
      </c>
      <c r="R19" s="29">
        <f t="shared" si="8"/>
        <v>98.382627645611038</v>
      </c>
      <c r="S19" s="29">
        <f t="shared" si="9"/>
        <v>93.905564109862866</v>
      </c>
      <c r="T19" s="12">
        <f t="shared" si="10"/>
        <v>84.140844049328194</v>
      </c>
      <c r="U19" s="13">
        <f t="shared" si="11"/>
        <v>0.81712326188909434</v>
      </c>
      <c r="V19" s="21">
        <f t="shared" si="12"/>
        <v>29.629186697922393</v>
      </c>
      <c r="W19" s="30">
        <f t="shared" si="15"/>
        <v>-4.3208856728027545E-2</v>
      </c>
    </row>
    <row r="20" spans="1:23" x14ac:dyDescent="0.25">
      <c r="A20">
        <f t="shared" si="0"/>
        <v>5</v>
      </c>
      <c r="B20" s="2">
        <f>yields!B19</f>
        <v>42131</v>
      </c>
      <c r="C20" s="13">
        <f>+yields!C19/100</f>
        <v>7.8710999999999989E-3</v>
      </c>
      <c r="D20" s="13">
        <f>+yields!D19/100</f>
        <v>1.24511E-2</v>
      </c>
      <c r="E20" s="13">
        <f>+yields!E19/100</f>
        <v>1.8175799999999999E-2</v>
      </c>
      <c r="F20" s="24"/>
      <c r="G20" s="1">
        <f t="shared" si="1"/>
        <v>2.1</v>
      </c>
      <c r="H20" s="3">
        <f t="shared" si="1"/>
        <v>5.4388888888888891</v>
      </c>
      <c r="I20" s="1">
        <f t="shared" si="1"/>
        <v>10.216666666666667</v>
      </c>
      <c r="K20" s="14">
        <f t="shared" si="3"/>
        <v>5.4388888888888891</v>
      </c>
      <c r="L20" s="15">
        <f t="shared" si="4"/>
        <v>29.581512345679016</v>
      </c>
      <c r="M20" s="28">
        <f t="shared" si="5"/>
        <v>2.1</v>
      </c>
      <c r="N20" s="28">
        <f t="shared" ref="N20" si="44">+M20^2</f>
        <v>4.41</v>
      </c>
      <c r="O20" s="28">
        <f t="shared" si="6"/>
        <v>10.216666666666667</v>
      </c>
      <c r="P20" s="28">
        <f t="shared" ref="P20" si="45">+O20^2</f>
        <v>104.38027777777778</v>
      </c>
      <c r="R20" s="29">
        <f t="shared" si="8"/>
        <v>98.360654946020702</v>
      </c>
      <c r="S20" s="29">
        <f t="shared" si="9"/>
        <v>93.452196347711805</v>
      </c>
      <c r="T20" s="12">
        <f t="shared" si="10"/>
        <v>83.052596177663744</v>
      </c>
      <c r="U20" s="13">
        <f t="shared" si="11"/>
        <v>0.82764523652678523</v>
      </c>
      <c r="V20" s="21">
        <f t="shared" si="12"/>
        <v>29.622569338394612</v>
      </c>
      <c r="W20" s="30">
        <f t="shared" si="15"/>
        <v>-2.2333922274841989E-2</v>
      </c>
    </row>
    <row r="21" spans="1:23" x14ac:dyDescent="0.25">
      <c r="A21">
        <f t="shared" si="0"/>
        <v>5</v>
      </c>
      <c r="B21" s="2">
        <f>yields!B20</f>
        <v>42138</v>
      </c>
      <c r="C21" s="13">
        <f>+yields!C20/100</f>
        <v>7.7688999999999996E-3</v>
      </c>
      <c r="D21" s="13">
        <f>+yields!D20/100</f>
        <v>1.26049E-2</v>
      </c>
      <c r="E21" s="13">
        <f>+yields!E20/100</f>
        <v>1.8763700000000001E-2</v>
      </c>
      <c r="F21" s="24"/>
      <c r="G21" s="1">
        <f t="shared" si="1"/>
        <v>2.0805555555555557</v>
      </c>
      <c r="H21" s="3">
        <f t="shared" si="1"/>
        <v>5.4194444444444443</v>
      </c>
      <c r="I21" s="1">
        <f t="shared" si="1"/>
        <v>10.197222222222223</v>
      </c>
      <c r="K21" s="14">
        <f t="shared" si="3"/>
        <v>5.4194444444444443</v>
      </c>
      <c r="L21" s="15">
        <f t="shared" si="4"/>
        <v>29.370378086419752</v>
      </c>
      <c r="M21" s="28">
        <f t="shared" si="5"/>
        <v>2.0805555555555557</v>
      </c>
      <c r="N21" s="28">
        <f t="shared" ref="N21" si="46">+M21^2</f>
        <v>4.3287114197530867</v>
      </c>
      <c r="O21" s="28">
        <f t="shared" si="6"/>
        <v>10.197222222222223</v>
      </c>
      <c r="P21" s="28">
        <f t="shared" ref="P21" si="47">+O21^2</f>
        <v>103.98334104938273</v>
      </c>
      <c r="R21" s="29">
        <f t="shared" si="8"/>
        <v>98.396630238934847</v>
      </c>
      <c r="S21" s="29">
        <f t="shared" si="9"/>
        <v>93.396944513392924</v>
      </c>
      <c r="T21" s="12">
        <f t="shared" si="10"/>
        <v>82.585371749279972</v>
      </c>
      <c r="U21" s="13">
        <f t="shared" si="11"/>
        <v>0.83263203911810868</v>
      </c>
      <c r="V21" s="21">
        <f t="shared" si="12"/>
        <v>29.633403758004818</v>
      </c>
      <c r="W21" s="30">
        <f t="shared" si="15"/>
        <v>3.6574881423812045E-2</v>
      </c>
    </row>
    <row r="22" spans="1:23" x14ac:dyDescent="0.25">
      <c r="A22">
        <f t="shared" si="0"/>
        <v>5</v>
      </c>
      <c r="B22" s="2">
        <f>yields!B21</f>
        <v>42145</v>
      </c>
      <c r="C22" s="13">
        <f>+yields!C21/100</f>
        <v>7.7415000000000001E-3</v>
      </c>
      <c r="D22" s="13">
        <f>+yields!D21/100</f>
        <v>1.2514600000000001E-2</v>
      </c>
      <c r="E22" s="13">
        <f>+yields!E21/100</f>
        <v>1.8550799999999999E-2</v>
      </c>
      <c r="F22" s="24"/>
      <c r="G22" s="1">
        <f t="shared" si="1"/>
        <v>2.0611111111111109</v>
      </c>
      <c r="H22" s="3">
        <f t="shared" si="1"/>
        <v>5.4</v>
      </c>
      <c r="I22" s="1">
        <f t="shared" si="1"/>
        <v>10.177777777777777</v>
      </c>
      <c r="K22" s="14">
        <f t="shared" si="3"/>
        <v>5.4</v>
      </c>
      <c r="L22" s="15">
        <f t="shared" si="4"/>
        <v>29.160000000000004</v>
      </c>
      <c r="M22" s="28">
        <f t="shared" si="5"/>
        <v>2.0611111111111109</v>
      </c>
      <c r="N22" s="28">
        <f t="shared" ref="N22" si="48">+M22^2</f>
        <v>4.2481790123456777</v>
      </c>
      <c r="O22" s="28">
        <f t="shared" si="6"/>
        <v>10.177777777777777</v>
      </c>
      <c r="P22" s="28">
        <f t="shared" ref="P22" si="49">+O22^2</f>
        <v>103.58716049382714</v>
      </c>
      <c r="R22" s="29">
        <f t="shared" si="8"/>
        <v>98.417053239438047</v>
      </c>
      <c r="S22" s="29">
        <f t="shared" si="9"/>
        <v>93.465402958747262</v>
      </c>
      <c r="T22" s="12">
        <f t="shared" si="10"/>
        <v>82.794717909109792</v>
      </c>
      <c r="U22" s="13">
        <f t="shared" si="11"/>
        <v>0.8306991142733251</v>
      </c>
      <c r="V22" s="21">
        <f t="shared" si="12"/>
        <v>29.639554405830737</v>
      </c>
      <c r="W22" s="30">
        <f t="shared" si="15"/>
        <v>2.0755792605364753E-2</v>
      </c>
    </row>
    <row r="23" spans="1:23" x14ac:dyDescent="0.25">
      <c r="A23">
        <f t="shared" si="0"/>
        <v>5</v>
      </c>
      <c r="B23" s="2">
        <f>yields!B22</f>
        <v>42152</v>
      </c>
      <c r="C23" s="13">
        <f>+yields!C22/100</f>
        <v>7.2138999999999997E-3</v>
      </c>
      <c r="D23" s="13">
        <f>+yields!D22/100</f>
        <v>1.1453100000000001E-2</v>
      </c>
      <c r="E23" s="13">
        <f>+yields!E22/100</f>
        <v>1.76282E-2</v>
      </c>
      <c r="F23" s="24"/>
      <c r="G23" s="1">
        <f t="shared" ref="G23:I42" si="50">(G$2-$B23)/360</f>
        <v>2.0416666666666665</v>
      </c>
      <c r="H23" s="3">
        <f t="shared" si="50"/>
        <v>5.3805555555555555</v>
      </c>
      <c r="I23" s="1">
        <f t="shared" si="50"/>
        <v>10.158333333333333</v>
      </c>
      <c r="K23" s="14">
        <f t="shared" si="3"/>
        <v>5.3805555555555555</v>
      </c>
      <c r="L23" s="15">
        <f t="shared" si="4"/>
        <v>28.950378086419754</v>
      </c>
      <c r="M23" s="28">
        <f t="shared" si="5"/>
        <v>2.0416666666666665</v>
      </c>
      <c r="N23" s="28">
        <f t="shared" ref="N23" si="51">+M23^2</f>
        <v>4.1684027777777768</v>
      </c>
      <c r="O23" s="28">
        <f t="shared" si="6"/>
        <v>10.158333333333333</v>
      </c>
      <c r="P23" s="28">
        <f t="shared" ref="P23" si="52">+O23^2</f>
        <v>103.19173611111111</v>
      </c>
      <c r="R23" s="29">
        <f t="shared" si="8"/>
        <v>98.537955287204852</v>
      </c>
      <c r="S23" s="29">
        <f t="shared" si="9"/>
        <v>94.023631081030814</v>
      </c>
      <c r="T23" s="12">
        <f t="shared" si="10"/>
        <v>83.604475581489595</v>
      </c>
      <c r="U23" s="13">
        <f t="shared" si="11"/>
        <v>0.82366391517099524</v>
      </c>
      <c r="V23" s="21">
        <f t="shared" si="12"/>
        <v>29.675965603937257</v>
      </c>
      <c r="W23" s="30">
        <f t="shared" si="15"/>
        <v>0.12284664475035179</v>
      </c>
    </row>
    <row r="24" spans="1:23" x14ac:dyDescent="0.25">
      <c r="A24">
        <f t="shared" si="0"/>
        <v>5</v>
      </c>
      <c r="B24" s="2">
        <f>yields!B23</f>
        <v>42159</v>
      </c>
      <c r="C24" s="13">
        <f>+yields!C23/100</f>
        <v>6.8084E-3</v>
      </c>
      <c r="D24" s="13">
        <f>+yields!D23/100</f>
        <v>1.1812700000000001E-2</v>
      </c>
      <c r="E24" s="13">
        <f>+yields!E23/100</f>
        <v>1.8450299999999999E-2</v>
      </c>
      <c r="F24" s="24"/>
      <c r="G24" s="1">
        <f t="shared" si="50"/>
        <v>2.0222222222222221</v>
      </c>
      <c r="H24" s="3">
        <f t="shared" si="50"/>
        <v>5.3611111111111107</v>
      </c>
      <c r="I24" s="1">
        <f t="shared" si="50"/>
        <v>10.138888888888889</v>
      </c>
      <c r="K24" s="14">
        <f t="shared" si="3"/>
        <v>5.3611111111111107</v>
      </c>
      <c r="L24" s="15">
        <f t="shared" si="4"/>
        <v>28.741512345679009</v>
      </c>
      <c r="M24" s="28">
        <f t="shared" si="5"/>
        <v>2.0222222222222221</v>
      </c>
      <c r="N24" s="28">
        <f t="shared" ref="N24" si="53">+M24^2</f>
        <v>4.0893827160493821</v>
      </c>
      <c r="O24" s="28">
        <f t="shared" si="6"/>
        <v>10.138888888888889</v>
      </c>
      <c r="P24" s="28">
        <f t="shared" ref="P24" si="54">+O24^2</f>
        <v>102.79706790123457</v>
      </c>
      <c r="R24" s="29">
        <f t="shared" si="8"/>
        <v>98.63262489922468</v>
      </c>
      <c r="S24" s="29">
        <f t="shared" si="9"/>
        <v>93.863442697722164</v>
      </c>
      <c r="T24" s="12">
        <f t="shared" si="10"/>
        <v>82.938937504200098</v>
      </c>
      <c r="U24" s="13">
        <f t="shared" si="11"/>
        <v>0.83107103135058435</v>
      </c>
      <c r="V24" s="21">
        <f t="shared" si="12"/>
        <v>29.704476568487451</v>
      </c>
      <c r="W24" s="30">
        <f t="shared" si="15"/>
        <v>9.6074260668399525E-2</v>
      </c>
    </row>
    <row r="25" spans="1:23" x14ac:dyDescent="0.25">
      <c r="A25">
        <f t="shared" si="0"/>
        <v>5</v>
      </c>
      <c r="B25" s="2">
        <f>yields!B24</f>
        <v>42166</v>
      </c>
      <c r="C25" s="13">
        <f>+yields!C24/100</f>
        <v>7.5036999999999994E-3</v>
      </c>
      <c r="D25" s="13">
        <f>+yields!D24/100</f>
        <v>1.26053E-2</v>
      </c>
      <c r="E25" s="13">
        <f>+yields!E24/100</f>
        <v>1.9277499999999999E-2</v>
      </c>
      <c r="F25" s="24"/>
      <c r="G25" s="1">
        <f t="shared" si="50"/>
        <v>2.0027777777777778</v>
      </c>
      <c r="H25" s="3">
        <f t="shared" si="50"/>
        <v>5.3416666666666668</v>
      </c>
      <c r="I25" s="1">
        <f t="shared" si="50"/>
        <v>10.119444444444444</v>
      </c>
      <c r="K25" s="14">
        <f t="shared" si="3"/>
        <v>5.3416666666666668</v>
      </c>
      <c r="L25" s="15">
        <f t="shared" si="4"/>
        <v>28.533402777777781</v>
      </c>
      <c r="M25" s="28">
        <f t="shared" si="5"/>
        <v>2.0027777777777778</v>
      </c>
      <c r="N25" s="28">
        <f t="shared" ref="N25" si="55">+M25^2</f>
        <v>4.0111188271604936</v>
      </c>
      <c r="O25" s="28">
        <f t="shared" si="6"/>
        <v>10.119444444444444</v>
      </c>
      <c r="P25" s="28">
        <f t="shared" ref="P25" si="56">+O25^2</f>
        <v>102.40315586419752</v>
      </c>
      <c r="R25" s="29">
        <f t="shared" si="8"/>
        <v>98.508411687744854</v>
      </c>
      <c r="S25" s="29">
        <f t="shared" si="9"/>
        <v>93.488354258739363</v>
      </c>
      <c r="T25" s="12">
        <f t="shared" si="10"/>
        <v>82.277081656310628</v>
      </c>
      <c r="U25" s="13">
        <f t="shared" si="11"/>
        <v>0.83670132837517952</v>
      </c>
      <c r="V25" s="21">
        <f t="shared" si="12"/>
        <v>29.667068171076636</v>
      </c>
      <c r="W25" s="30">
        <f t="shared" si="15"/>
        <v>-0.12593521829803445</v>
      </c>
    </row>
    <row r="26" spans="1:23" x14ac:dyDescent="0.25">
      <c r="A26">
        <f t="shared" si="0"/>
        <v>5</v>
      </c>
      <c r="B26" s="2">
        <f>yields!B25</f>
        <v>42173</v>
      </c>
      <c r="C26" s="13">
        <f>+yields!C25/100</f>
        <v>7.1319999999999995E-3</v>
      </c>
      <c r="D26" s="13">
        <f>+yields!D25/100</f>
        <v>1.1993700000000001E-2</v>
      </c>
      <c r="E26" s="13">
        <f>+yields!E25/100</f>
        <v>1.8945699999999999E-2</v>
      </c>
      <c r="F26" s="24"/>
      <c r="G26" s="1">
        <f t="shared" si="50"/>
        <v>1.9833333333333334</v>
      </c>
      <c r="H26" s="3">
        <f t="shared" si="50"/>
        <v>5.322222222222222</v>
      </c>
      <c r="I26" s="1">
        <f t="shared" si="50"/>
        <v>10.1</v>
      </c>
      <c r="K26" s="14">
        <f t="shared" si="3"/>
        <v>5.322222222222222</v>
      </c>
      <c r="L26" s="15">
        <f t="shared" si="4"/>
        <v>28.326049382716047</v>
      </c>
      <c r="M26" s="28">
        <f t="shared" si="5"/>
        <v>1.9833333333333334</v>
      </c>
      <c r="N26" s="28">
        <f t="shared" ref="N26" si="57">+M26^2</f>
        <v>3.9336111111111114</v>
      </c>
      <c r="O26" s="28">
        <f t="shared" si="6"/>
        <v>10.1</v>
      </c>
      <c r="P26" s="28">
        <f t="shared" ref="P26" si="58">+O26^2</f>
        <v>102.00999999999999</v>
      </c>
      <c r="R26" s="29">
        <f t="shared" si="8"/>
        <v>98.595443902419248</v>
      </c>
      <c r="S26" s="29">
        <f t="shared" si="9"/>
        <v>93.816153123097195</v>
      </c>
      <c r="T26" s="12">
        <f t="shared" si="10"/>
        <v>82.584219576679402</v>
      </c>
      <c r="U26" s="13">
        <f t="shared" si="11"/>
        <v>0.83432603976738007</v>
      </c>
      <c r="V26" s="21">
        <f t="shared" si="12"/>
        <v>29.69327903572858</v>
      </c>
      <c r="W26" s="30">
        <f t="shared" si="15"/>
        <v>8.8350033447182064E-2</v>
      </c>
    </row>
    <row r="27" spans="1:23" x14ac:dyDescent="0.25">
      <c r="A27">
        <f t="shared" si="0"/>
        <v>5</v>
      </c>
      <c r="B27" s="2">
        <f>yields!B26</f>
        <v>42180</v>
      </c>
      <c r="C27" s="13">
        <f>+yields!C26/100</f>
        <v>7.1355000000000003E-3</v>
      </c>
      <c r="D27" s="13">
        <f>+yields!D26/100</f>
        <v>1.23908E-2</v>
      </c>
      <c r="E27" s="13">
        <f>+yields!E26/100</f>
        <v>1.9242499999999999E-2</v>
      </c>
      <c r="F27" s="24"/>
      <c r="G27" s="1">
        <f t="shared" si="50"/>
        <v>1.9638888888888888</v>
      </c>
      <c r="H27" s="3">
        <f t="shared" si="50"/>
        <v>5.302777777777778</v>
      </c>
      <c r="I27" s="1">
        <f t="shared" si="50"/>
        <v>10.080555555555556</v>
      </c>
      <c r="K27" s="14">
        <f t="shared" si="3"/>
        <v>5.302777777777778</v>
      </c>
      <c r="L27" s="15">
        <f t="shared" si="4"/>
        <v>28.119452160493829</v>
      </c>
      <c r="M27" s="28">
        <f t="shared" si="5"/>
        <v>1.9638888888888888</v>
      </c>
      <c r="N27" s="28">
        <f t="shared" ref="N27" si="59">+M27^2</f>
        <v>3.8568595679012341</v>
      </c>
      <c r="O27" s="28">
        <f t="shared" si="6"/>
        <v>10.080555555555556</v>
      </c>
      <c r="P27" s="28">
        <f t="shared" ref="P27" si="60">+O27^2</f>
        <v>101.61760030864198</v>
      </c>
      <c r="R27" s="29">
        <f t="shared" si="8"/>
        <v>98.608440049194286</v>
      </c>
      <c r="S27" s="29">
        <f t="shared" si="9"/>
        <v>93.640644664597843</v>
      </c>
      <c r="T27" s="12">
        <f t="shared" si="10"/>
        <v>82.367842161371797</v>
      </c>
      <c r="U27" s="13">
        <f t="shared" si="11"/>
        <v>0.83662804863367013</v>
      </c>
      <c r="V27" s="21">
        <f t="shared" si="12"/>
        <v>29.69719299155966</v>
      </c>
      <c r="W27" s="30">
        <f t="shared" si="15"/>
        <v>1.3181285321750558E-2</v>
      </c>
    </row>
    <row r="28" spans="1:23" x14ac:dyDescent="0.25">
      <c r="A28">
        <f t="shared" si="0"/>
        <v>5</v>
      </c>
      <c r="B28" s="2">
        <f>yields!B27</f>
        <v>42187</v>
      </c>
      <c r="C28" s="13">
        <f>+yields!C27/100</f>
        <v>5.8301999999999998E-3</v>
      </c>
      <c r="D28" s="13">
        <f>+yields!D27/100</f>
        <v>1.08547E-2</v>
      </c>
      <c r="E28" s="13">
        <f>+yields!E27/100</f>
        <v>1.8134999999999998E-2</v>
      </c>
      <c r="F28" s="24"/>
      <c r="G28" s="1">
        <f t="shared" si="50"/>
        <v>1.9444444444444444</v>
      </c>
      <c r="H28" s="3">
        <f t="shared" si="50"/>
        <v>5.2833333333333332</v>
      </c>
      <c r="I28" s="1">
        <f t="shared" si="50"/>
        <v>10.061111111111112</v>
      </c>
      <c r="K28" s="14">
        <f t="shared" si="3"/>
        <v>5.2833333333333332</v>
      </c>
      <c r="L28" s="15">
        <f t="shared" si="4"/>
        <v>27.913611111111109</v>
      </c>
      <c r="M28" s="28">
        <f t="shared" si="5"/>
        <v>1.9444444444444444</v>
      </c>
      <c r="N28" s="28">
        <f t="shared" ref="N28" si="61">+M28^2</f>
        <v>3.7808641975308639</v>
      </c>
      <c r="O28" s="28">
        <f t="shared" si="6"/>
        <v>10.061111111111112</v>
      </c>
      <c r="P28" s="28">
        <f t="shared" ref="P28" si="62">+O28^2</f>
        <v>101.22595679012348</v>
      </c>
      <c r="R28" s="29">
        <f t="shared" si="8"/>
        <v>98.872751598204061</v>
      </c>
      <c r="S28" s="29">
        <f t="shared" si="9"/>
        <v>94.426446512964802</v>
      </c>
      <c r="T28" s="12">
        <f t="shared" si="10"/>
        <v>83.321943011337112</v>
      </c>
      <c r="U28" s="13">
        <f t="shared" si="11"/>
        <v>0.82926484075784801</v>
      </c>
      <c r="V28" s="21">
        <f t="shared" si="12"/>
        <v>29.776793795273107</v>
      </c>
      <c r="W28" s="30">
        <f t="shared" si="15"/>
        <v>0.26804150727670617</v>
      </c>
    </row>
    <row r="29" spans="1:23" x14ac:dyDescent="0.25">
      <c r="A29">
        <f t="shared" si="0"/>
        <v>5</v>
      </c>
      <c r="B29" s="2">
        <f>yields!B28</f>
        <v>42194</v>
      </c>
      <c r="C29" s="13">
        <f>+yields!C28/100</f>
        <v>5.5710000000000004E-3</v>
      </c>
      <c r="D29" s="13">
        <f>+yields!D28/100</f>
        <v>9.7540000000000005E-3</v>
      </c>
      <c r="E29" s="13">
        <f>+yields!E28/100</f>
        <v>1.68623E-2</v>
      </c>
      <c r="F29" s="24"/>
      <c r="G29" s="1">
        <f t="shared" si="50"/>
        <v>1.925</v>
      </c>
      <c r="H29" s="3">
        <f t="shared" si="50"/>
        <v>5.2638888888888893</v>
      </c>
      <c r="I29" s="1">
        <f t="shared" si="50"/>
        <v>10.041666666666666</v>
      </c>
      <c r="K29" s="14">
        <f t="shared" si="3"/>
        <v>5.2638888888888893</v>
      </c>
      <c r="L29" s="15">
        <f t="shared" si="4"/>
        <v>27.708526234567906</v>
      </c>
      <c r="M29" s="28">
        <f t="shared" si="5"/>
        <v>1.925</v>
      </c>
      <c r="N29" s="28">
        <f t="shared" ref="N29" si="63">+M29^2</f>
        <v>3.7056250000000004</v>
      </c>
      <c r="O29" s="28">
        <f t="shared" si="6"/>
        <v>10.041666666666666</v>
      </c>
      <c r="P29" s="28">
        <f t="shared" ref="P29" si="64">+O29^2</f>
        <v>100.83506944444443</v>
      </c>
      <c r="R29" s="29">
        <f t="shared" si="8"/>
        <v>98.933312395379275</v>
      </c>
      <c r="S29" s="29">
        <f t="shared" si="9"/>
        <v>94.99518572769567</v>
      </c>
      <c r="T29" s="12">
        <f t="shared" si="10"/>
        <v>84.423397956533293</v>
      </c>
      <c r="U29" s="13">
        <f t="shared" si="11"/>
        <v>0.81894689878532234</v>
      </c>
      <c r="V29" s="21">
        <f t="shared" si="12"/>
        <v>29.795032453957219</v>
      </c>
      <c r="W29" s="30">
        <f t="shared" si="15"/>
        <v>6.1251250922134126E-2</v>
      </c>
    </row>
    <row r="30" spans="1:23" x14ac:dyDescent="0.25">
      <c r="A30">
        <f t="shared" si="0"/>
        <v>5</v>
      </c>
      <c r="B30" s="2">
        <f>yields!B29</f>
        <v>42201</v>
      </c>
      <c r="C30" s="13">
        <f>+yields!C29/100</f>
        <v>5.0948E-3</v>
      </c>
      <c r="D30" s="13">
        <f>+yields!D29/100</f>
        <v>9.4447000000000003E-3</v>
      </c>
      <c r="E30" s="13">
        <f>+yields!E29/100</f>
        <v>1.6594600000000001E-2</v>
      </c>
      <c r="F30" s="24"/>
      <c r="G30" s="1">
        <f t="shared" si="50"/>
        <v>1.9055555555555554</v>
      </c>
      <c r="H30" s="3">
        <f t="shared" si="50"/>
        <v>5.2444444444444445</v>
      </c>
      <c r="I30" s="1">
        <f t="shared" si="50"/>
        <v>10.022222222222222</v>
      </c>
      <c r="K30" s="14">
        <f t="shared" si="3"/>
        <v>5.2444444444444445</v>
      </c>
      <c r="L30" s="15">
        <f t="shared" si="4"/>
        <v>27.504197530864197</v>
      </c>
      <c r="M30" s="28">
        <f t="shared" si="5"/>
        <v>1.9055555555555554</v>
      </c>
      <c r="N30" s="28">
        <f t="shared" ref="N30" si="65">+M30^2</f>
        <v>3.6311419753086414</v>
      </c>
      <c r="O30" s="28">
        <f t="shared" si="6"/>
        <v>10.022222222222222</v>
      </c>
      <c r="P30" s="28">
        <f t="shared" ref="P30" si="66">+O30^2</f>
        <v>100.44493827160494</v>
      </c>
      <c r="R30" s="29">
        <f t="shared" si="8"/>
        <v>99.033855016875094</v>
      </c>
      <c r="S30" s="29">
        <f t="shared" si="9"/>
        <v>95.167450949408334</v>
      </c>
      <c r="T30" s="12">
        <f t="shared" si="10"/>
        <v>84.677965234546278</v>
      </c>
      <c r="U30" s="13">
        <f t="shared" si="11"/>
        <v>0.81731466591982915</v>
      </c>
      <c r="V30" s="21">
        <f t="shared" si="12"/>
        <v>29.825312150430989</v>
      </c>
      <c r="W30" s="30">
        <f t="shared" si="15"/>
        <v>0.1016266604863203</v>
      </c>
    </row>
    <row r="31" spans="1:23" x14ac:dyDescent="0.25">
      <c r="A31">
        <f t="shared" si="0"/>
        <v>5</v>
      </c>
      <c r="B31" s="2">
        <f>yields!B30</f>
        <v>42208</v>
      </c>
      <c r="C31" s="13">
        <f>+yields!C30/100</f>
        <v>5.2337999999999994E-3</v>
      </c>
      <c r="D31" s="13">
        <f>+yields!D30/100</f>
        <v>8.6995000000000006E-3</v>
      </c>
      <c r="E31" s="13">
        <f>+yields!E30/100</f>
        <v>1.5935500000000002E-2</v>
      </c>
      <c r="F31" s="24"/>
      <c r="G31" s="1">
        <f t="shared" si="50"/>
        <v>1.8861111111111111</v>
      </c>
      <c r="H31" s="3">
        <f t="shared" si="50"/>
        <v>5.2249999999999996</v>
      </c>
      <c r="I31" s="1">
        <f t="shared" si="50"/>
        <v>10.002777777777778</v>
      </c>
      <c r="K31" s="14">
        <f t="shared" si="3"/>
        <v>5.2249999999999996</v>
      </c>
      <c r="L31" s="15">
        <f t="shared" si="4"/>
        <v>27.300624999999997</v>
      </c>
      <c r="M31" s="28">
        <f t="shared" si="5"/>
        <v>1.8861111111111111</v>
      </c>
      <c r="N31" s="28">
        <f t="shared" ref="N31" si="67">+M31^2</f>
        <v>3.5574151234567899</v>
      </c>
      <c r="O31" s="28">
        <f t="shared" si="6"/>
        <v>10.002777777777778</v>
      </c>
      <c r="P31" s="28">
        <f t="shared" ref="P31" si="68">+O31^2</f>
        <v>100.05556327160495</v>
      </c>
      <c r="R31" s="29">
        <f t="shared" si="8"/>
        <v>99.017703527211381</v>
      </c>
      <c r="S31" s="29">
        <f t="shared" si="9"/>
        <v>95.556270942234704</v>
      </c>
      <c r="T31" s="12">
        <f t="shared" si="10"/>
        <v>85.265585512112935</v>
      </c>
      <c r="U31" s="13">
        <f t="shared" si="11"/>
        <v>0.81154964443012223</v>
      </c>
      <c r="V31" s="21">
        <f t="shared" si="12"/>
        <v>29.820447922729954</v>
      </c>
      <c r="W31" s="30">
        <f t="shared" si="15"/>
        <v>-1.6309058817221E-2</v>
      </c>
    </row>
    <row r="32" spans="1:23" x14ac:dyDescent="0.25">
      <c r="A32">
        <f t="shared" si="0"/>
        <v>5</v>
      </c>
      <c r="B32" s="2">
        <f>yields!B31</f>
        <v>42215</v>
      </c>
      <c r="C32" s="13">
        <f>+yields!C31/100</f>
        <v>5.3927000000000003E-3</v>
      </c>
      <c r="D32" s="13">
        <f>+yields!D31/100</f>
        <v>9.3521999999999997E-3</v>
      </c>
      <c r="E32" s="13">
        <f>+yields!E31/100</f>
        <v>1.5749800000000001E-2</v>
      </c>
      <c r="F32" s="24"/>
      <c r="G32" s="1">
        <f t="shared" si="50"/>
        <v>1.8666666666666667</v>
      </c>
      <c r="H32" s="3">
        <f t="shared" si="50"/>
        <v>5.2055555555555557</v>
      </c>
      <c r="I32" s="1">
        <f t="shared" si="50"/>
        <v>9.9833333333333325</v>
      </c>
      <c r="K32" s="14">
        <f t="shared" si="3"/>
        <v>5.2055555555555557</v>
      </c>
      <c r="L32" s="15">
        <f t="shared" si="4"/>
        <v>27.097808641975309</v>
      </c>
      <c r="M32" s="28">
        <f t="shared" si="5"/>
        <v>1.8666666666666667</v>
      </c>
      <c r="N32" s="28">
        <f t="shared" ref="N32" si="69">+M32^2</f>
        <v>3.4844444444444447</v>
      </c>
      <c r="O32" s="28">
        <f t="shared" si="6"/>
        <v>9.9833333333333325</v>
      </c>
      <c r="P32" s="28">
        <f t="shared" ref="P32" si="70">+O32^2</f>
        <v>99.666944444444425</v>
      </c>
      <c r="R32" s="29">
        <f t="shared" si="8"/>
        <v>98.998412302228019</v>
      </c>
      <c r="S32" s="29">
        <f t="shared" si="9"/>
        <v>95.248264114535047</v>
      </c>
      <c r="T32" s="12">
        <f t="shared" si="10"/>
        <v>85.45027968626809</v>
      </c>
      <c r="U32" s="13">
        <f t="shared" si="11"/>
        <v>0.80963777336550879</v>
      </c>
      <c r="V32" s="21">
        <f t="shared" si="12"/>
        <v>29.81463812357795</v>
      </c>
      <c r="W32" s="30">
        <f t="shared" si="15"/>
        <v>-1.9482601894704743E-2</v>
      </c>
    </row>
    <row r="33" spans="1:23" x14ac:dyDescent="0.25">
      <c r="A33">
        <f t="shared" si="0"/>
        <v>5</v>
      </c>
      <c r="B33" s="2">
        <f>yields!B32</f>
        <v>42222</v>
      </c>
      <c r="C33" s="13">
        <f>+yields!C32/100</f>
        <v>5.2112E-3</v>
      </c>
      <c r="D33" s="13">
        <f>+yields!D32/100</f>
        <v>8.7165999999999997E-3</v>
      </c>
      <c r="E33" s="13">
        <f>+yields!E32/100</f>
        <v>1.52955E-2</v>
      </c>
      <c r="F33" s="24"/>
      <c r="G33" s="1">
        <f t="shared" si="50"/>
        <v>1.8472222222222223</v>
      </c>
      <c r="H33" s="3">
        <f t="shared" si="50"/>
        <v>5.1861111111111109</v>
      </c>
      <c r="I33" s="1">
        <f t="shared" si="50"/>
        <v>9.9638888888888886</v>
      </c>
      <c r="K33" s="14">
        <f t="shared" si="3"/>
        <v>5.1861111111111109</v>
      </c>
      <c r="L33" s="15">
        <f t="shared" si="4"/>
        <v>26.89574845679012</v>
      </c>
      <c r="M33" s="28">
        <f t="shared" si="5"/>
        <v>1.8472222222222223</v>
      </c>
      <c r="N33" s="28">
        <f t="shared" ref="N33" si="71">+M33^2</f>
        <v>3.4122299382716053</v>
      </c>
      <c r="O33" s="28">
        <f t="shared" si="6"/>
        <v>9.9638888888888886</v>
      </c>
      <c r="P33" s="28">
        <f t="shared" ref="P33" si="72">+O33^2</f>
        <v>99.279081790123456</v>
      </c>
      <c r="R33" s="29">
        <f t="shared" si="8"/>
        <v>99.041993953504701</v>
      </c>
      <c r="S33" s="29">
        <f t="shared" si="9"/>
        <v>95.580127764449003</v>
      </c>
      <c r="T33" s="12">
        <f t="shared" si="10"/>
        <v>85.86424680001133</v>
      </c>
      <c r="U33" s="13">
        <f t="shared" si="11"/>
        <v>0.80608906777478295</v>
      </c>
      <c r="V33" s="21">
        <f t="shared" si="12"/>
        <v>29.827763295299675</v>
      </c>
      <c r="W33" s="30">
        <f t="shared" si="15"/>
        <v>4.4022575982038958E-2</v>
      </c>
    </row>
    <row r="34" spans="1:23" x14ac:dyDescent="0.25">
      <c r="A34">
        <f t="shared" si="0"/>
        <v>5</v>
      </c>
      <c r="B34" s="2">
        <f>yields!B33</f>
        <v>42229</v>
      </c>
      <c r="C34" s="13">
        <f>+yields!C33/100</f>
        <v>5.1098000000000003E-3</v>
      </c>
      <c r="D34" s="13">
        <f>+yields!D33/100</f>
        <v>8.2602999999999999E-3</v>
      </c>
      <c r="E34" s="13">
        <f>+yields!E33/100</f>
        <v>1.4807499999999999E-2</v>
      </c>
      <c r="F34" s="24"/>
      <c r="G34" s="1">
        <f t="shared" si="50"/>
        <v>1.8277777777777777</v>
      </c>
      <c r="H34" s="3">
        <f t="shared" si="50"/>
        <v>5.166666666666667</v>
      </c>
      <c r="I34" s="1">
        <f t="shared" si="50"/>
        <v>9.9444444444444446</v>
      </c>
      <c r="K34" s="14">
        <f t="shared" si="3"/>
        <v>5.166666666666667</v>
      </c>
      <c r="L34" s="15">
        <f t="shared" si="4"/>
        <v>26.694444444444446</v>
      </c>
      <c r="M34" s="28">
        <f t="shared" si="5"/>
        <v>1.8277777777777777</v>
      </c>
      <c r="N34" s="28">
        <f t="shared" ref="N34" si="73">+M34^2</f>
        <v>3.3407716049382712</v>
      </c>
      <c r="O34" s="28">
        <f t="shared" si="6"/>
        <v>9.9444444444444446</v>
      </c>
      <c r="P34" s="28">
        <f t="shared" ref="P34" si="74">+O34^2</f>
        <v>98.891975308641975</v>
      </c>
      <c r="R34" s="29">
        <f t="shared" si="8"/>
        <v>99.070389951607538</v>
      </c>
      <c r="S34" s="29">
        <f t="shared" si="9"/>
        <v>95.821967958571875</v>
      </c>
      <c r="T34" s="12">
        <f t="shared" si="10"/>
        <v>86.307614307657715</v>
      </c>
      <c r="U34" s="13">
        <f t="shared" si="11"/>
        <v>0.80217806266175207</v>
      </c>
      <c r="V34" s="21">
        <f t="shared" si="12"/>
        <v>29.836315113332958</v>
      </c>
      <c r="W34" s="30">
        <f t="shared" si="15"/>
        <v>2.8670664805185986E-2</v>
      </c>
    </row>
    <row r="35" spans="1:23" x14ac:dyDescent="0.25">
      <c r="A35">
        <f t="shared" si="0"/>
        <v>5</v>
      </c>
      <c r="B35" s="2">
        <f>yields!B34</f>
        <v>42236</v>
      </c>
      <c r="C35" s="13">
        <f>+yields!C34/100</f>
        <v>4.5037999999999996E-3</v>
      </c>
      <c r="D35" s="13">
        <f>+yields!D34/100</f>
        <v>7.3125999999999998E-3</v>
      </c>
      <c r="E35" s="13">
        <f>+yields!E34/100</f>
        <v>1.37751E-2</v>
      </c>
      <c r="F35" s="24"/>
      <c r="G35" s="1">
        <f t="shared" si="50"/>
        <v>1.8083333333333333</v>
      </c>
      <c r="H35" s="3">
        <f t="shared" si="50"/>
        <v>5.1472222222222221</v>
      </c>
      <c r="I35" s="1">
        <f t="shared" si="50"/>
        <v>9.9250000000000007</v>
      </c>
      <c r="K35" s="14">
        <f t="shared" si="3"/>
        <v>5.1472222222222221</v>
      </c>
      <c r="L35" s="15">
        <f t="shared" si="4"/>
        <v>26.493896604938271</v>
      </c>
      <c r="M35" s="28">
        <f t="shared" si="5"/>
        <v>1.8083333333333333</v>
      </c>
      <c r="N35" s="28">
        <f t="shared" ref="N35" si="75">+M35^2</f>
        <v>3.2700694444444447</v>
      </c>
      <c r="O35" s="28">
        <f t="shared" si="6"/>
        <v>9.9250000000000007</v>
      </c>
      <c r="P35" s="28">
        <f t="shared" ref="P35" si="76">+O35^2</f>
        <v>98.505625000000009</v>
      </c>
      <c r="R35" s="29">
        <f t="shared" si="8"/>
        <v>99.188870387418049</v>
      </c>
      <c r="S35" s="29">
        <f t="shared" si="9"/>
        <v>96.305998710148074</v>
      </c>
      <c r="T35" s="12">
        <f t="shared" si="10"/>
        <v>87.221627197906642</v>
      </c>
      <c r="U35" s="13">
        <f t="shared" si="11"/>
        <v>0.79472116724115571</v>
      </c>
      <c r="V35" s="21">
        <f t="shared" si="12"/>
        <v>29.87199701202475</v>
      </c>
      <c r="W35" s="30">
        <f t="shared" si="15"/>
        <v>0.11959217670229894</v>
      </c>
    </row>
    <row r="36" spans="1:23" x14ac:dyDescent="0.25">
      <c r="A36">
        <f t="shared" si="0"/>
        <v>5</v>
      </c>
      <c r="B36" s="2">
        <f>yields!B35</f>
        <v>42243</v>
      </c>
      <c r="C36" s="13">
        <f>+yields!C35/100</f>
        <v>5.1132E-3</v>
      </c>
      <c r="D36" s="13">
        <f>+yields!D35/100</f>
        <v>8.2915000000000003E-3</v>
      </c>
      <c r="E36" s="13">
        <f>+yields!E35/100</f>
        <v>1.5641099999999998E-2</v>
      </c>
      <c r="F36" s="24"/>
      <c r="G36" s="1">
        <f t="shared" si="50"/>
        <v>1.788888888888889</v>
      </c>
      <c r="H36" s="3">
        <f t="shared" si="50"/>
        <v>5.1277777777777782</v>
      </c>
      <c r="I36" s="1">
        <f t="shared" si="50"/>
        <v>9.905555555555555</v>
      </c>
      <c r="K36" s="14">
        <f t="shared" si="3"/>
        <v>5.1277777777777782</v>
      </c>
      <c r="L36" s="15">
        <f t="shared" si="4"/>
        <v>26.294104938271609</v>
      </c>
      <c r="M36" s="28">
        <f t="shared" si="5"/>
        <v>1.788888888888889</v>
      </c>
      <c r="N36" s="28">
        <f t="shared" ref="N36" si="77">+M36^2</f>
        <v>3.2001234567901236</v>
      </c>
      <c r="O36" s="28">
        <f t="shared" si="6"/>
        <v>9.905555555555555</v>
      </c>
      <c r="P36" s="28">
        <f t="shared" ref="P36" si="78">+O36^2</f>
        <v>98.120030864197517</v>
      </c>
      <c r="R36" s="29">
        <f t="shared" si="8"/>
        <v>99.089475939209422</v>
      </c>
      <c r="S36" s="29">
        <f t="shared" si="9"/>
        <v>95.837420230517552</v>
      </c>
      <c r="T36" s="12">
        <f t="shared" si="10"/>
        <v>85.647188689207667</v>
      </c>
      <c r="U36" s="13">
        <f t="shared" si="11"/>
        <v>0.80851939096178282</v>
      </c>
      <c r="V36" s="21">
        <f t="shared" si="12"/>
        <v>29.842063102622348</v>
      </c>
      <c r="W36" s="30">
        <f t="shared" si="15"/>
        <v>-0.10020725896012772</v>
      </c>
    </row>
    <row r="37" spans="1:23" x14ac:dyDescent="0.25">
      <c r="A37">
        <f t="shared" si="0"/>
        <v>5</v>
      </c>
      <c r="B37" s="2">
        <f>yields!B36</f>
        <v>42250</v>
      </c>
      <c r="C37" s="13">
        <f>+yields!C36/100</f>
        <v>5.4905000000000006E-3</v>
      </c>
      <c r="D37" s="13">
        <f>+yields!D36/100</f>
        <v>8.5650999999999991E-3</v>
      </c>
      <c r="E37" s="13">
        <f>+yields!E36/100</f>
        <v>1.5725100000000002E-2</v>
      </c>
      <c r="F37" s="24"/>
      <c r="G37" s="1">
        <f t="shared" si="50"/>
        <v>1.7694444444444444</v>
      </c>
      <c r="H37" s="3">
        <f t="shared" si="50"/>
        <v>5.1083333333333334</v>
      </c>
      <c r="I37" s="1">
        <f t="shared" si="50"/>
        <v>9.8861111111111111</v>
      </c>
      <c r="K37" s="14">
        <f t="shared" si="3"/>
        <v>5.1083333333333334</v>
      </c>
      <c r="L37" s="15">
        <f t="shared" si="4"/>
        <v>26.095069444444444</v>
      </c>
      <c r="M37" s="28">
        <f t="shared" si="5"/>
        <v>1.7694444444444444</v>
      </c>
      <c r="N37" s="28">
        <f t="shared" ref="N37" si="79">+M37^2</f>
        <v>3.1309336419753082</v>
      </c>
      <c r="O37" s="28">
        <f t="shared" si="6"/>
        <v>9.8861111111111111</v>
      </c>
      <c r="P37" s="28">
        <f t="shared" ref="P37" si="80">+O37^2</f>
        <v>97.735192901234569</v>
      </c>
      <c r="R37" s="29">
        <f t="shared" si="8"/>
        <v>99.033190474428153</v>
      </c>
      <c r="S37" s="29">
        <f t="shared" si="9"/>
        <v>95.718998497847423</v>
      </c>
      <c r="T37" s="12">
        <f t="shared" si="10"/>
        <v>85.602124362164517</v>
      </c>
      <c r="U37" s="13">
        <f t="shared" si="11"/>
        <v>0.80848552503966209</v>
      </c>
      <c r="V37" s="21">
        <f t="shared" si="12"/>
        <v>29.825112014973129</v>
      </c>
      <c r="W37" s="30">
        <f t="shared" si="15"/>
        <v>-5.6802666728927864E-2</v>
      </c>
    </row>
    <row r="38" spans="1:23" x14ac:dyDescent="0.25">
      <c r="A38">
        <f t="shared" si="0"/>
        <v>5</v>
      </c>
      <c r="B38" s="2">
        <f>yields!B37</f>
        <v>42257</v>
      </c>
      <c r="C38" s="13">
        <f>+yields!C37/100</f>
        <v>5.8187999999999998E-3</v>
      </c>
      <c r="D38" s="13">
        <f>+yields!D37/100</f>
        <v>8.9218000000000006E-3</v>
      </c>
      <c r="E38" s="13">
        <f>+yields!E37/100</f>
        <v>1.6073400000000002E-2</v>
      </c>
      <c r="F38" s="24"/>
      <c r="G38" s="1">
        <f t="shared" si="50"/>
        <v>1.75</v>
      </c>
      <c r="H38" s="3">
        <f t="shared" si="50"/>
        <v>5.0888888888888886</v>
      </c>
      <c r="I38" s="1">
        <f t="shared" si="50"/>
        <v>9.8666666666666671</v>
      </c>
      <c r="K38" s="14">
        <f t="shared" si="3"/>
        <v>5.0888888888888886</v>
      </c>
      <c r="L38" s="15">
        <f t="shared" si="4"/>
        <v>25.896790123456785</v>
      </c>
      <c r="M38" s="28">
        <f t="shared" si="5"/>
        <v>1.75</v>
      </c>
      <c r="N38" s="28">
        <f t="shared" ref="N38" si="81">+M38^2</f>
        <v>3.0625</v>
      </c>
      <c r="O38" s="28">
        <f t="shared" si="6"/>
        <v>9.8666666666666671</v>
      </c>
      <c r="P38" s="28">
        <f t="shared" ref="P38" si="82">+O38^2</f>
        <v>97.351111111111123</v>
      </c>
      <c r="R38" s="29">
        <f t="shared" si="8"/>
        <v>98.98687701933423</v>
      </c>
      <c r="S38" s="29">
        <f t="shared" si="9"/>
        <v>95.561320136269273</v>
      </c>
      <c r="T38" s="12">
        <f t="shared" si="10"/>
        <v>85.334540823616237</v>
      </c>
      <c r="U38" s="13">
        <f t="shared" si="11"/>
        <v>0.81064141467319772</v>
      </c>
      <c r="V38" s="21">
        <f t="shared" si="12"/>
        <v>29.811164125590224</v>
      </c>
      <c r="W38" s="30">
        <f t="shared" si="15"/>
        <v>-4.6765589265529428E-2</v>
      </c>
    </row>
    <row r="39" spans="1:23" x14ac:dyDescent="0.25">
      <c r="A39">
        <f t="shared" si="0"/>
        <v>5</v>
      </c>
      <c r="B39" s="2">
        <f>yields!B38</f>
        <v>42264</v>
      </c>
      <c r="C39" s="13">
        <f>+yields!C38/100</f>
        <v>6.0943999999999998E-3</v>
      </c>
      <c r="D39" s="13">
        <f>+yields!D38/100</f>
        <v>9.2645000000000002E-3</v>
      </c>
      <c r="E39" s="13">
        <f>+yields!E38/100</f>
        <v>1.64095E-2</v>
      </c>
      <c r="F39" s="24"/>
      <c r="G39" s="1">
        <f t="shared" si="50"/>
        <v>1.7305555555555556</v>
      </c>
      <c r="H39" s="3">
        <f t="shared" si="50"/>
        <v>5.0694444444444446</v>
      </c>
      <c r="I39" s="1">
        <f t="shared" si="50"/>
        <v>9.8472222222222214</v>
      </c>
      <c r="K39" s="14">
        <f t="shared" si="3"/>
        <v>5.0694444444444446</v>
      </c>
      <c r="L39" s="15">
        <f t="shared" si="4"/>
        <v>25.699266975308642</v>
      </c>
      <c r="M39" s="28">
        <f t="shared" si="5"/>
        <v>1.7305555555555556</v>
      </c>
      <c r="N39" s="28">
        <f t="shared" ref="N39" si="83">+M39^2</f>
        <v>2.9948225308641976</v>
      </c>
      <c r="O39" s="28">
        <f t="shared" si="6"/>
        <v>9.8472222222222214</v>
      </c>
      <c r="P39" s="28">
        <f t="shared" ref="P39" si="84">+O39^2</f>
        <v>96.967785493827151</v>
      </c>
      <c r="R39" s="29">
        <f t="shared" si="8"/>
        <v>98.950872363049498</v>
      </c>
      <c r="S39" s="29">
        <f t="shared" si="9"/>
        <v>95.411996300417812</v>
      </c>
      <c r="T39" s="12">
        <f t="shared" si="10"/>
        <v>85.07916644133384</v>
      </c>
      <c r="U39" s="13">
        <f t="shared" si="11"/>
        <v>0.81277890219936233</v>
      </c>
      <c r="V39" s="21">
        <f t="shared" si="12"/>
        <v>29.800320862825359</v>
      </c>
      <c r="W39" s="30">
        <f t="shared" si="15"/>
        <v>-3.6373161139180432E-2</v>
      </c>
    </row>
    <row r="40" spans="1:23" x14ac:dyDescent="0.25">
      <c r="A40">
        <f t="shared" si="0"/>
        <v>5</v>
      </c>
      <c r="B40" s="2">
        <f>yields!B39</f>
        <v>42271</v>
      </c>
      <c r="C40" s="13">
        <f>+yields!C39/100</f>
        <v>6.3188999999999997E-3</v>
      </c>
      <c r="D40" s="13">
        <f>+yields!D39/100</f>
        <v>9.1605999999999996E-3</v>
      </c>
      <c r="E40" s="13">
        <f>+yields!E39/100</f>
        <v>1.5774799999999999E-2</v>
      </c>
      <c r="F40" s="24"/>
      <c r="G40" s="1">
        <f t="shared" si="50"/>
        <v>1.711111111111111</v>
      </c>
      <c r="H40" s="3">
        <f t="shared" si="50"/>
        <v>5.05</v>
      </c>
      <c r="I40" s="1">
        <f t="shared" si="50"/>
        <v>9.8277777777777775</v>
      </c>
      <c r="K40" s="14">
        <f t="shared" si="3"/>
        <v>5.05</v>
      </c>
      <c r="L40" s="15">
        <f t="shared" si="4"/>
        <v>25.502499999999998</v>
      </c>
      <c r="M40" s="28">
        <f t="shared" si="5"/>
        <v>1.711111111111111</v>
      </c>
      <c r="N40" s="28">
        <f t="shared" ref="N40" si="85">+M40^2</f>
        <v>2.927901234567901</v>
      </c>
      <c r="O40" s="28">
        <f t="shared" si="6"/>
        <v>9.8277777777777775</v>
      </c>
      <c r="P40" s="28">
        <f t="shared" ref="P40" si="86">+O40^2</f>
        <v>96.585216049382709</v>
      </c>
      <c r="R40" s="29">
        <f t="shared" si="8"/>
        <v>98.924590324388291</v>
      </c>
      <c r="S40" s="29">
        <f t="shared" si="9"/>
        <v>95.479270012117837</v>
      </c>
      <c r="T40" s="12">
        <f t="shared" si="10"/>
        <v>85.63884330067954</v>
      </c>
      <c r="U40" s="13">
        <f t="shared" si="11"/>
        <v>0.80725266677116347</v>
      </c>
      <c r="V40" s="21">
        <f t="shared" si="12"/>
        <v>29.792405690716947</v>
      </c>
      <c r="W40" s="30">
        <f t="shared" si="15"/>
        <v>-2.6560694245025829E-2</v>
      </c>
    </row>
    <row r="41" spans="1:23" x14ac:dyDescent="0.25">
      <c r="A41">
        <f t="shared" si="0"/>
        <v>5</v>
      </c>
      <c r="B41" s="2">
        <f>yields!B40</f>
        <v>42278</v>
      </c>
      <c r="C41" s="13">
        <f>+yields!C40/100</f>
        <v>6.4507000000000002E-3</v>
      </c>
      <c r="D41" s="13">
        <f>+yields!D40/100</f>
        <v>9.1830000000000002E-3</v>
      </c>
      <c r="E41" s="13">
        <f>+yields!E40/100</f>
        <v>1.5330900000000001E-2</v>
      </c>
      <c r="F41" s="24"/>
      <c r="G41" s="1">
        <f t="shared" si="50"/>
        <v>1.6916666666666667</v>
      </c>
      <c r="H41" s="3">
        <f t="shared" si="50"/>
        <v>5.0305555555555559</v>
      </c>
      <c r="I41" s="1">
        <f t="shared" si="50"/>
        <v>9.8083333333333336</v>
      </c>
      <c r="K41" s="14">
        <f t="shared" si="3"/>
        <v>5.0305555555555559</v>
      </c>
      <c r="L41" s="15">
        <f t="shared" si="4"/>
        <v>25.306489197530869</v>
      </c>
      <c r="M41" s="28">
        <f t="shared" si="5"/>
        <v>1.6916666666666667</v>
      </c>
      <c r="N41" s="28">
        <f t="shared" ref="N41" si="87">+M41^2</f>
        <v>2.861736111111111</v>
      </c>
      <c r="O41" s="28">
        <f t="shared" si="6"/>
        <v>9.8083333333333336</v>
      </c>
      <c r="P41" s="28">
        <f t="shared" ref="P41" si="88">+O41^2</f>
        <v>96.203402777777782</v>
      </c>
      <c r="R41" s="29">
        <f t="shared" si="8"/>
        <v>98.914689045495322</v>
      </c>
      <c r="S41" s="29">
        <f t="shared" si="9"/>
        <v>95.485518220849258</v>
      </c>
      <c r="T41" s="12">
        <f t="shared" si="10"/>
        <v>86.03890765071408</v>
      </c>
      <c r="U41" s="13">
        <f t="shared" si="11"/>
        <v>0.80341867579472437</v>
      </c>
      <c r="V41" s="21">
        <f t="shared" si="12"/>
        <v>29.789423793934034</v>
      </c>
      <c r="W41" s="30">
        <f t="shared" si="15"/>
        <v>-1.0008915741377411E-2</v>
      </c>
    </row>
    <row r="42" spans="1:23" x14ac:dyDescent="0.25">
      <c r="A42">
        <f t="shared" si="0"/>
        <v>5</v>
      </c>
      <c r="B42" s="2">
        <f>yields!B41</f>
        <v>42285</v>
      </c>
      <c r="C42" s="13">
        <f>+yields!C41/100</f>
        <v>6.5688000000000005E-3</v>
      </c>
      <c r="D42" s="13">
        <f>+yields!D41/100</f>
        <v>9.5967999999999991E-3</v>
      </c>
      <c r="E42" s="13">
        <f>+yields!E41/100</f>
        <v>1.5978200000000001E-2</v>
      </c>
      <c r="F42" s="24"/>
      <c r="G42" s="1">
        <f t="shared" si="50"/>
        <v>1.6722222222222223</v>
      </c>
      <c r="H42" s="3">
        <f t="shared" si="50"/>
        <v>5.0111111111111111</v>
      </c>
      <c r="I42" s="1">
        <f t="shared" si="50"/>
        <v>9.7888888888888896</v>
      </c>
      <c r="K42" s="14">
        <f t="shared" si="3"/>
        <v>5.0111111111111111</v>
      </c>
      <c r="L42" s="15">
        <f t="shared" si="4"/>
        <v>25.111234567901235</v>
      </c>
      <c r="M42" s="28">
        <f t="shared" si="5"/>
        <v>1.6722222222222223</v>
      </c>
      <c r="N42" s="28">
        <f t="shared" ref="N42" si="89">+M42^2</f>
        <v>2.7963271604938273</v>
      </c>
      <c r="O42" s="28">
        <f t="shared" si="6"/>
        <v>9.7888888888888896</v>
      </c>
      <c r="P42" s="28">
        <f t="shared" ref="P42" si="90">+O42^2</f>
        <v>95.822345679012358</v>
      </c>
      <c r="R42" s="29">
        <f t="shared" si="8"/>
        <v>98.907561592233861</v>
      </c>
      <c r="S42" s="29">
        <f t="shared" si="9"/>
        <v>95.30474074177458</v>
      </c>
      <c r="T42" s="12">
        <f t="shared" si="10"/>
        <v>85.520948834856398</v>
      </c>
      <c r="U42" s="13">
        <f t="shared" si="11"/>
        <v>0.80822634996120057</v>
      </c>
      <c r="V42" s="21">
        <f t="shared" si="12"/>
        <v>29.787277270219292</v>
      </c>
      <c r="W42" s="30">
        <f t="shared" si="15"/>
        <v>-7.2056570465828251E-3</v>
      </c>
    </row>
    <row r="43" spans="1:23" x14ac:dyDescent="0.25">
      <c r="A43">
        <f t="shared" si="0"/>
        <v>5</v>
      </c>
      <c r="B43" s="2">
        <f>yields!B42</f>
        <v>42292</v>
      </c>
      <c r="C43" s="13">
        <f>+yields!C42/100</f>
        <v>6.4209999999999996E-3</v>
      </c>
      <c r="D43" s="13">
        <f>+yields!D42/100</f>
        <v>9.1722999999999996E-3</v>
      </c>
      <c r="E43" s="13">
        <f>+yields!E42/100</f>
        <v>1.5504800000000001E-2</v>
      </c>
      <c r="F43" s="24"/>
      <c r="G43" s="1">
        <f t="shared" ref="G43:I54" si="91">(G$2-$B43)/360</f>
        <v>1.6527777777777777</v>
      </c>
      <c r="H43" s="3">
        <f t="shared" si="91"/>
        <v>4.9916666666666663</v>
      </c>
      <c r="I43" s="1">
        <f t="shared" si="91"/>
        <v>9.7694444444444439</v>
      </c>
      <c r="K43" s="14">
        <f t="shared" si="3"/>
        <v>4.9916666666666663</v>
      </c>
      <c r="L43" s="15">
        <f t="shared" si="4"/>
        <v>24.916736111111106</v>
      </c>
      <c r="M43" s="28">
        <f t="shared" si="5"/>
        <v>1.6527777777777777</v>
      </c>
      <c r="N43" s="28">
        <f t="shared" ref="N43" si="92">+M43^2</f>
        <v>2.731674382716049</v>
      </c>
      <c r="O43" s="28">
        <f t="shared" si="6"/>
        <v>9.7694444444444439</v>
      </c>
      <c r="P43" s="28">
        <f t="shared" ref="P43" si="93">+O43^2</f>
        <v>95.442044753086407</v>
      </c>
      <c r="R43" s="29">
        <f t="shared" si="8"/>
        <v>98.944362764205025</v>
      </c>
      <c r="S43" s="29">
        <f t="shared" si="9"/>
        <v>95.524725699254077</v>
      </c>
      <c r="T43" s="12">
        <f t="shared" si="10"/>
        <v>85.944084431566978</v>
      </c>
      <c r="U43" s="13">
        <f t="shared" si="11"/>
        <v>0.8045463839386352</v>
      </c>
      <c r="V43" s="21">
        <f t="shared" si="12"/>
        <v>29.798360413871052</v>
      </c>
      <c r="W43" s="30">
        <f t="shared" si="15"/>
        <v>3.7207642548930941E-2</v>
      </c>
    </row>
    <row r="44" spans="1:23" x14ac:dyDescent="0.25">
      <c r="A44">
        <f t="shared" si="0"/>
        <v>5</v>
      </c>
      <c r="B44" s="2">
        <f>yields!B43</f>
        <v>42299</v>
      </c>
      <c r="C44" s="13">
        <f>+yields!C43/100</f>
        <v>6.4513000000000001E-3</v>
      </c>
      <c r="D44" s="13">
        <f>+yields!D43/100</f>
        <v>9.3118999999999997E-3</v>
      </c>
      <c r="E44" s="13">
        <f>+yields!E43/100</f>
        <v>1.54976E-2</v>
      </c>
      <c r="F44" s="24"/>
      <c r="G44" s="1">
        <f t="shared" si="91"/>
        <v>1.6333333333333333</v>
      </c>
      <c r="H44" s="3">
        <f t="shared" si="91"/>
        <v>4.9722222222222223</v>
      </c>
      <c r="I44" s="1">
        <f t="shared" si="91"/>
        <v>9.75</v>
      </c>
      <c r="K44" s="14">
        <f t="shared" si="3"/>
        <v>4.9722222222222223</v>
      </c>
      <c r="L44" s="15">
        <f t="shared" si="4"/>
        <v>24.722993827160494</v>
      </c>
      <c r="M44" s="28">
        <f t="shared" si="5"/>
        <v>1.6333333333333333</v>
      </c>
      <c r="N44" s="28">
        <f t="shared" ref="N44" si="94">+M44^2</f>
        <v>2.6677777777777778</v>
      </c>
      <c r="O44" s="28">
        <f t="shared" si="6"/>
        <v>9.75</v>
      </c>
      <c r="P44" s="28">
        <f t="shared" ref="P44" si="95">+O44^2</f>
        <v>95.0625</v>
      </c>
      <c r="R44" s="29">
        <f t="shared" si="8"/>
        <v>98.951819767215099</v>
      </c>
      <c r="S44" s="29">
        <f t="shared" si="9"/>
        <v>95.475469429330644</v>
      </c>
      <c r="T44" s="12">
        <f t="shared" si="10"/>
        <v>85.976034257078609</v>
      </c>
      <c r="U44" s="13">
        <f t="shared" si="11"/>
        <v>0.80430801651931183</v>
      </c>
      <c r="V44" s="21">
        <f t="shared" si="12"/>
        <v>29.800606185707792</v>
      </c>
      <c r="W44" s="30">
        <f t="shared" si="15"/>
        <v>7.5365617622891179E-3</v>
      </c>
    </row>
    <row r="45" spans="1:23" x14ac:dyDescent="0.25">
      <c r="A45">
        <f t="shared" si="0"/>
        <v>5</v>
      </c>
      <c r="B45" s="2">
        <f>yields!B44</f>
        <v>42306</v>
      </c>
      <c r="C45" s="13">
        <f>+yields!C44/100</f>
        <v>6.9103999999999997E-3</v>
      </c>
      <c r="D45" s="13">
        <f>+yields!D44/100</f>
        <v>1.0069699999999999E-2</v>
      </c>
      <c r="E45" s="13">
        <f>+yields!E44/100</f>
        <v>1.64791E-2</v>
      </c>
      <c r="F45" s="24"/>
      <c r="G45" s="1">
        <f t="shared" si="91"/>
        <v>1.6138888888888889</v>
      </c>
      <c r="H45" s="3">
        <f t="shared" si="91"/>
        <v>4.9527777777777775</v>
      </c>
      <c r="I45" s="1">
        <f t="shared" si="91"/>
        <v>9.7305555555555561</v>
      </c>
      <c r="K45" s="14">
        <f t="shared" si="3"/>
        <v>4.9527777777777775</v>
      </c>
      <c r="L45" s="15">
        <f t="shared" si="4"/>
        <v>24.530007716049379</v>
      </c>
      <c r="M45" s="28">
        <f t="shared" si="5"/>
        <v>1.6138888888888889</v>
      </c>
      <c r="N45" s="28">
        <f t="shared" ref="N45" si="96">+M45^2</f>
        <v>2.6046373456790124</v>
      </c>
      <c r="O45" s="28">
        <f t="shared" si="6"/>
        <v>9.7305555555555561</v>
      </c>
      <c r="P45" s="28">
        <f t="shared" ref="P45" si="97">+O45^2</f>
        <v>94.683711419753095</v>
      </c>
      <c r="R45" s="29">
        <f t="shared" si="8"/>
        <v>98.890934211163582</v>
      </c>
      <c r="S45" s="29">
        <f t="shared" si="9"/>
        <v>95.135025125807388</v>
      </c>
      <c r="T45" s="12">
        <f t="shared" si="10"/>
        <v>85.184491100795654</v>
      </c>
      <c r="U45" s="13">
        <f t="shared" si="11"/>
        <v>0.81128223689985646</v>
      </c>
      <c r="V45" s="21">
        <f t="shared" si="12"/>
        <v>29.782269721734167</v>
      </c>
      <c r="W45" s="30">
        <f t="shared" si="15"/>
        <v>-6.1530506659357442E-2</v>
      </c>
    </row>
    <row r="46" spans="1:23" x14ac:dyDescent="0.25">
      <c r="A46">
        <f t="shared" si="0"/>
        <v>5</v>
      </c>
      <c r="B46" s="2">
        <f>yields!B45</f>
        <v>42313</v>
      </c>
      <c r="C46" s="13">
        <f>+yields!C45/100</f>
        <v>7.3553999999999998E-3</v>
      </c>
      <c r="D46" s="13">
        <f>+yields!D45/100</f>
        <v>1.0767000000000001E-2</v>
      </c>
      <c r="E46" s="13">
        <f>+yields!E45/100</f>
        <v>1.75674E-2</v>
      </c>
      <c r="F46" s="24"/>
      <c r="G46" s="1">
        <f t="shared" si="91"/>
        <v>1.5944444444444446</v>
      </c>
      <c r="H46" s="3">
        <f t="shared" si="91"/>
        <v>4.9333333333333336</v>
      </c>
      <c r="I46" s="1">
        <f t="shared" si="91"/>
        <v>9.7111111111111104</v>
      </c>
      <c r="K46" s="14">
        <f t="shared" si="3"/>
        <v>4.9333333333333336</v>
      </c>
      <c r="L46" s="15">
        <f t="shared" si="4"/>
        <v>24.337777777777781</v>
      </c>
      <c r="M46" s="28">
        <f t="shared" si="5"/>
        <v>1.5944444444444446</v>
      </c>
      <c r="N46" s="28">
        <f t="shared" ref="N46" si="98">+M46^2</f>
        <v>2.5422530864197532</v>
      </c>
      <c r="O46" s="28">
        <f t="shared" si="6"/>
        <v>9.7111111111111104</v>
      </c>
      <c r="P46" s="28">
        <f t="shared" ref="P46" si="99">+O46^2</f>
        <v>94.305679012345664</v>
      </c>
      <c r="R46" s="29">
        <f t="shared" si="8"/>
        <v>98.834072565129603</v>
      </c>
      <c r="S46" s="29">
        <f t="shared" si="9"/>
        <v>94.82688688579789</v>
      </c>
      <c r="T46" s="12">
        <f t="shared" si="10"/>
        <v>84.315963517917325</v>
      </c>
      <c r="U46" s="13">
        <f t="shared" si="11"/>
        <v>0.81916786067114611</v>
      </c>
      <c r="V46" s="21">
        <f t="shared" si="12"/>
        <v>29.765145109730867</v>
      </c>
      <c r="W46" s="30">
        <f t="shared" si="15"/>
        <v>-5.749935167232989E-2</v>
      </c>
    </row>
    <row r="47" spans="1:23" x14ac:dyDescent="0.25">
      <c r="A47">
        <f t="shared" si="0"/>
        <v>5</v>
      </c>
      <c r="B47" s="2">
        <f>yields!B46</f>
        <v>42320</v>
      </c>
      <c r="C47" s="13">
        <f>+yields!C46/100</f>
        <v>7.5745999999999999E-3</v>
      </c>
      <c r="D47" s="13">
        <f>+yields!D46/100</f>
        <v>1.1073E-2</v>
      </c>
      <c r="E47" s="13">
        <f>+yields!E46/100</f>
        <v>1.8354200000000001E-2</v>
      </c>
      <c r="F47" s="24"/>
      <c r="G47" s="1">
        <f t="shared" si="91"/>
        <v>1.575</v>
      </c>
      <c r="H47" s="3">
        <f t="shared" si="91"/>
        <v>4.9138888888888888</v>
      </c>
      <c r="I47" s="1">
        <f t="shared" si="91"/>
        <v>9.6916666666666664</v>
      </c>
      <c r="K47" s="14">
        <f t="shared" si="3"/>
        <v>4.9138888888888888</v>
      </c>
      <c r="L47" s="15">
        <f t="shared" si="4"/>
        <v>24.146304012345677</v>
      </c>
      <c r="M47" s="28">
        <f t="shared" si="5"/>
        <v>1.575</v>
      </c>
      <c r="N47" s="28">
        <f t="shared" ref="N47" si="100">+M47^2</f>
        <v>2.4806249999999999</v>
      </c>
      <c r="O47" s="28">
        <f t="shared" si="6"/>
        <v>9.6916666666666664</v>
      </c>
      <c r="P47" s="28">
        <f t="shared" ref="P47" si="101">+O47^2</f>
        <v>93.928402777777777</v>
      </c>
      <c r="R47" s="29">
        <f t="shared" si="8"/>
        <v>98.814088524336753</v>
      </c>
      <c r="S47" s="29">
        <f t="shared" si="9"/>
        <v>94.704232628639559</v>
      </c>
      <c r="T47" s="12">
        <f t="shared" si="10"/>
        <v>83.704052865455196</v>
      </c>
      <c r="U47" s="13">
        <f t="shared" si="11"/>
        <v>0.82498946586371991</v>
      </c>
      <c r="V47" s="21">
        <f t="shared" si="12"/>
        <v>29.759126660236291</v>
      </c>
      <c r="W47" s="30">
        <f t="shared" si="15"/>
        <v>-2.0219788858377719E-2</v>
      </c>
    </row>
    <row r="48" spans="1:23" x14ac:dyDescent="0.25">
      <c r="A48">
        <f t="shared" si="0"/>
        <v>5</v>
      </c>
      <c r="B48" s="2">
        <f>yields!B47</f>
        <v>42327</v>
      </c>
      <c r="C48" s="13">
        <f>+yields!C47/100</f>
        <v>7.2629999999999995E-3</v>
      </c>
      <c r="D48" s="13">
        <f>+yields!D47/100</f>
        <v>1.0553300000000002E-2</v>
      </c>
      <c r="E48" s="13">
        <f>+yields!E47/100</f>
        <v>1.74769E-2</v>
      </c>
      <c r="F48" s="24"/>
      <c r="G48" s="1">
        <f t="shared" si="91"/>
        <v>1.5555555555555556</v>
      </c>
      <c r="H48" s="3">
        <f t="shared" si="91"/>
        <v>4.8944444444444448</v>
      </c>
      <c r="I48" s="1">
        <f t="shared" si="91"/>
        <v>9.6722222222222225</v>
      </c>
      <c r="K48" s="14">
        <f t="shared" si="3"/>
        <v>4.8944444444444448</v>
      </c>
      <c r="L48" s="15">
        <f t="shared" si="4"/>
        <v>23.955586419753089</v>
      </c>
      <c r="M48" s="28">
        <f t="shared" si="5"/>
        <v>1.5555555555555556</v>
      </c>
      <c r="N48" s="28">
        <f t="shared" ref="N48" si="102">+M48^2</f>
        <v>2.4197530864197532</v>
      </c>
      <c r="O48" s="28">
        <f t="shared" si="6"/>
        <v>9.6722222222222225</v>
      </c>
      <c r="P48" s="28">
        <f t="shared" ref="P48" si="103">+O48^2</f>
        <v>93.551882716049391</v>
      </c>
      <c r="R48" s="29">
        <f t="shared" si="8"/>
        <v>98.876558272418606</v>
      </c>
      <c r="S48" s="29">
        <f t="shared" si="9"/>
        <v>94.965877743551445</v>
      </c>
      <c r="T48" s="12">
        <f t="shared" si="10"/>
        <v>84.447473477787682</v>
      </c>
      <c r="U48" s="13">
        <f t="shared" si="11"/>
        <v>0.8182437579579086</v>
      </c>
      <c r="V48" s="21">
        <f t="shared" si="12"/>
        <v>29.777940223902803</v>
      </c>
      <c r="W48" s="30">
        <f t="shared" si="15"/>
        <v>6.3219475091824684E-2</v>
      </c>
    </row>
    <row r="49" spans="1:23" x14ac:dyDescent="0.25">
      <c r="A49">
        <f t="shared" si="0"/>
        <v>5</v>
      </c>
      <c r="B49" s="2">
        <f>yields!B48</f>
        <v>42334</v>
      </c>
      <c r="C49" s="13">
        <f>+yields!C48/100</f>
        <v>7.3397000000000002E-3</v>
      </c>
      <c r="D49" s="13">
        <f>+yields!D48/100</f>
        <v>1.0341499999999998E-2</v>
      </c>
      <c r="E49" s="13">
        <f>+yields!E48/100</f>
        <v>1.6874400000000001E-2</v>
      </c>
      <c r="F49" s="24"/>
      <c r="G49" s="1">
        <f t="shared" si="91"/>
        <v>1.5361111111111112</v>
      </c>
      <c r="H49" s="3">
        <f t="shared" si="91"/>
        <v>4.875</v>
      </c>
      <c r="I49" s="1">
        <f t="shared" si="91"/>
        <v>9.6527777777777786</v>
      </c>
      <c r="K49" s="14">
        <f t="shared" si="3"/>
        <v>4.875</v>
      </c>
      <c r="L49" s="15">
        <f t="shared" si="4"/>
        <v>23.765625</v>
      </c>
      <c r="M49" s="28">
        <f t="shared" si="5"/>
        <v>1.5361111111111112</v>
      </c>
      <c r="N49" s="28">
        <f t="shared" ref="N49" si="104">+M49^2</f>
        <v>2.3596373456790127</v>
      </c>
      <c r="O49" s="28">
        <f t="shared" si="6"/>
        <v>9.6527777777777786</v>
      </c>
      <c r="P49" s="28">
        <f t="shared" ref="P49" si="105">+O49^2</f>
        <v>93.176118827160508</v>
      </c>
      <c r="R49" s="29">
        <f t="shared" si="8"/>
        <v>98.878872532813531</v>
      </c>
      <c r="S49" s="29">
        <f t="shared" si="9"/>
        <v>95.083492447249156</v>
      </c>
      <c r="T49" s="12">
        <f t="shared" si="10"/>
        <v>84.968903863422298</v>
      </c>
      <c r="U49" s="13">
        <f t="shared" si="11"/>
        <v>0.81324145890904287</v>
      </c>
      <c r="V49" s="21">
        <f t="shared" si="12"/>
        <v>29.77863719302178</v>
      </c>
      <c r="W49" s="30">
        <f t="shared" si="15"/>
        <v>2.3405551684785308E-3</v>
      </c>
    </row>
    <row r="50" spans="1:23" x14ac:dyDescent="0.25">
      <c r="A50">
        <f t="shared" si="0"/>
        <v>5</v>
      </c>
      <c r="B50" s="2">
        <f>yields!B49</f>
        <v>42341</v>
      </c>
      <c r="C50" s="13">
        <f>+yields!C49/100</f>
        <v>7.6604999999999998E-3</v>
      </c>
      <c r="D50" s="13">
        <f>+yields!D49/100</f>
        <v>1.09344E-2</v>
      </c>
      <c r="E50" s="13">
        <f>+yields!E49/100</f>
        <v>1.7545100000000001E-2</v>
      </c>
      <c r="F50" s="24"/>
      <c r="G50" s="1">
        <f t="shared" si="91"/>
        <v>1.5166666666666666</v>
      </c>
      <c r="H50" s="3">
        <f t="shared" si="91"/>
        <v>4.8555555555555552</v>
      </c>
      <c r="I50" s="1">
        <f t="shared" si="91"/>
        <v>9.6333333333333329</v>
      </c>
      <c r="K50" s="14">
        <f t="shared" si="3"/>
        <v>4.8555555555555552</v>
      </c>
      <c r="L50" s="15">
        <f t="shared" si="4"/>
        <v>23.576419753086416</v>
      </c>
      <c r="M50" s="28">
        <f t="shared" si="5"/>
        <v>1.5166666666666666</v>
      </c>
      <c r="N50" s="28">
        <f t="shared" ref="N50" si="106">+M50^2</f>
        <v>2.3002777777777776</v>
      </c>
      <c r="O50" s="28">
        <f t="shared" si="6"/>
        <v>9.6333333333333329</v>
      </c>
      <c r="P50" s="28">
        <f t="shared" ref="P50" si="107">+O50^2</f>
        <v>92.801111111111098</v>
      </c>
      <c r="R50" s="29">
        <f t="shared" si="8"/>
        <v>98.844880826627985</v>
      </c>
      <c r="S50" s="29">
        <f t="shared" si="9"/>
        <v>94.829220920297843</v>
      </c>
      <c r="T50" s="12">
        <f t="shared" si="10"/>
        <v>84.449387407631988</v>
      </c>
      <c r="U50" s="13">
        <f t="shared" si="11"/>
        <v>0.8179630757683739</v>
      </c>
      <c r="V50" s="21">
        <f t="shared" si="12"/>
        <v>29.768400155926344</v>
      </c>
      <c r="W50" s="30">
        <f t="shared" si="15"/>
        <v>-3.4377117492245812E-2</v>
      </c>
    </row>
    <row r="51" spans="1:23" x14ac:dyDescent="0.25">
      <c r="A51">
        <f t="shared" si="0"/>
        <v>5</v>
      </c>
      <c r="B51" s="2">
        <f>yields!B50</f>
        <v>42348</v>
      </c>
      <c r="C51" s="13">
        <f>+yields!C50/100</f>
        <v>6.5179000000000001E-3</v>
      </c>
      <c r="D51" s="13">
        <f>+yields!D50/100</f>
        <v>9.4979000000000001E-3</v>
      </c>
      <c r="E51" s="13">
        <f>+yields!E50/100</f>
        <v>1.6043700000000001E-2</v>
      </c>
      <c r="F51" s="24"/>
      <c r="G51" s="1">
        <f t="shared" si="91"/>
        <v>1.4972222222222222</v>
      </c>
      <c r="H51" s="3">
        <f t="shared" si="91"/>
        <v>4.8361111111111112</v>
      </c>
      <c r="I51" s="1">
        <f t="shared" si="91"/>
        <v>9.6138888888888889</v>
      </c>
      <c r="K51" s="14">
        <f t="shared" si="3"/>
        <v>4.8361111111111112</v>
      </c>
      <c r="L51" s="15">
        <f t="shared" si="4"/>
        <v>23.387970679012348</v>
      </c>
      <c r="M51" s="28">
        <f t="shared" si="5"/>
        <v>1.4972222222222222</v>
      </c>
      <c r="N51" s="28">
        <f t="shared" ref="N51" si="108">+M51^2</f>
        <v>2.2416743827160492</v>
      </c>
      <c r="O51" s="28">
        <f t="shared" si="6"/>
        <v>9.6138888888888889</v>
      </c>
      <c r="P51" s="28">
        <f t="shared" ref="P51" si="109">+O51^2</f>
        <v>92.426859567901232</v>
      </c>
      <c r="R51" s="29">
        <f t="shared" si="8"/>
        <v>99.028871731162454</v>
      </c>
      <c r="S51" s="29">
        <f t="shared" si="9"/>
        <v>95.510604792172813</v>
      </c>
      <c r="T51" s="12">
        <f t="shared" si="10"/>
        <v>85.706428702465459</v>
      </c>
      <c r="U51" s="13">
        <f t="shared" si="11"/>
        <v>0.80746638739566046</v>
      </c>
      <c r="V51" s="21">
        <f t="shared" si="12"/>
        <v>29.823811370198925</v>
      </c>
      <c r="W51" s="30">
        <f t="shared" si="15"/>
        <v>0.18614105555669891</v>
      </c>
    </row>
    <row r="52" spans="1:23" x14ac:dyDescent="0.25">
      <c r="A52">
        <f t="shared" si="0"/>
        <v>5</v>
      </c>
      <c r="B52" s="2">
        <f>yields!B51</f>
        <v>42355</v>
      </c>
      <c r="C52" s="13">
        <f>+yields!C51/100</f>
        <v>6.3110999999999992E-3</v>
      </c>
      <c r="D52" s="13">
        <f>+yields!D51/100</f>
        <v>9.2481999999999998E-3</v>
      </c>
      <c r="E52" s="13">
        <f>+yields!E51/100</f>
        <v>1.55094E-2</v>
      </c>
      <c r="F52" s="24"/>
      <c r="G52" s="1">
        <f t="shared" si="91"/>
        <v>1.4777777777777779</v>
      </c>
      <c r="H52" s="3">
        <f t="shared" si="91"/>
        <v>4.8166666666666664</v>
      </c>
      <c r="I52" s="1">
        <f t="shared" si="91"/>
        <v>9.594444444444445</v>
      </c>
      <c r="K52" s="14">
        <f t="shared" si="3"/>
        <v>4.8166666666666664</v>
      </c>
      <c r="L52" s="15">
        <f t="shared" si="4"/>
        <v>23.200277777777774</v>
      </c>
      <c r="M52" s="28">
        <f t="shared" si="5"/>
        <v>1.4777777777777779</v>
      </c>
      <c r="N52" s="28">
        <f t="shared" ref="N52" si="110">+M52^2</f>
        <v>2.1838271604938275</v>
      </c>
      <c r="O52" s="28">
        <f t="shared" si="6"/>
        <v>9.594444444444445</v>
      </c>
      <c r="P52" s="28">
        <f t="shared" ref="P52" si="111">+O52^2</f>
        <v>92.053364197530868</v>
      </c>
      <c r="R52" s="29">
        <f t="shared" si="8"/>
        <v>99.071695267633373</v>
      </c>
      <c r="S52" s="29">
        <f t="shared" si="9"/>
        <v>95.643208463198022</v>
      </c>
      <c r="T52" s="12">
        <f t="shared" si="10"/>
        <v>86.173793292900186</v>
      </c>
      <c r="U52" s="13">
        <f t="shared" si="11"/>
        <v>0.80343436671468349</v>
      </c>
      <c r="V52" s="21">
        <f t="shared" si="12"/>
        <v>29.836708225950076</v>
      </c>
      <c r="W52" s="30">
        <f t="shared" si="15"/>
        <v>4.3243486189825653E-2</v>
      </c>
    </row>
    <row r="53" spans="1:23" x14ac:dyDescent="0.25">
      <c r="A53">
        <f t="shared" si="0"/>
        <v>5</v>
      </c>
      <c r="B53" s="2">
        <f>yields!B52</f>
        <v>42362</v>
      </c>
      <c r="C53" s="13">
        <f>+yields!C52/100</f>
        <v>5.9806E-3</v>
      </c>
      <c r="D53" s="13">
        <f>+yields!D52/100</f>
        <v>8.7073999999999988E-3</v>
      </c>
      <c r="E53" s="13">
        <f>+yields!E52/100</f>
        <v>1.50396E-2</v>
      </c>
      <c r="F53" s="24"/>
      <c r="G53" s="1">
        <f t="shared" si="91"/>
        <v>1.4583333333333333</v>
      </c>
      <c r="H53" s="3">
        <f t="shared" si="91"/>
        <v>4.7972222222222225</v>
      </c>
      <c r="I53" s="1">
        <f t="shared" si="91"/>
        <v>9.5749999999999993</v>
      </c>
      <c r="K53" s="14">
        <f t="shared" si="3"/>
        <v>4.7972222222222225</v>
      </c>
      <c r="L53" s="15">
        <f t="shared" si="4"/>
        <v>23.013341049382717</v>
      </c>
      <c r="M53" s="28">
        <f t="shared" si="5"/>
        <v>1.4583333333333333</v>
      </c>
      <c r="N53" s="28">
        <f t="shared" ref="N53" si="112">+M53^2</f>
        <v>2.1267361111111107</v>
      </c>
      <c r="O53" s="28">
        <f t="shared" si="6"/>
        <v>9.5749999999999993</v>
      </c>
      <c r="P53" s="28">
        <f t="shared" ref="P53" si="113">+O53^2</f>
        <v>91.680624999999992</v>
      </c>
      <c r="R53" s="29">
        <f t="shared" si="8"/>
        <v>99.131621543136788</v>
      </c>
      <c r="S53" s="29">
        <f t="shared" si="9"/>
        <v>95.908906773261833</v>
      </c>
      <c r="T53" s="12">
        <f t="shared" si="10"/>
        <v>86.588413731482405</v>
      </c>
      <c r="U53" s="13">
        <f t="shared" si="11"/>
        <v>0.80007084975194409</v>
      </c>
      <c r="V53" s="21">
        <f t="shared" si="12"/>
        <v>29.854755790316759</v>
      </c>
      <c r="W53" s="30">
        <f t="shared" si="15"/>
        <v>6.0487786487728457E-2</v>
      </c>
    </row>
    <row r="54" spans="1:23" ht="15.75" thickBot="1" x14ac:dyDescent="0.3">
      <c r="A54">
        <f t="shared" si="0"/>
        <v>5</v>
      </c>
      <c r="B54" s="2">
        <f>yields!B53</f>
        <v>42369</v>
      </c>
      <c r="C54" s="13">
        <f>+yields!C53/100</f>
        <v>5.9780999999999992E-3</v>
      </c>
      <c r="D54" s="13">
        <f>+yields!D53/100</f>
        <v>8.7644999999999997E-3</v>
      </c>
      <c r="E54" s="13">
        <f>+yields!E53/100</f>
        <v>1.5049300000000002E-2</v>
      </c>
      <c r="F54" s="24"/>
      <c r="G54" s="1">
        <f t="shared" si="91"/>
        <v>1.4388888888888889</v>
      </c>
      <c r="H54" s="3">
        <f t="shared" si="91"/>
        <v>4.7777777777777777</v>
      </c>
      <c r="I54" s="1">
        <f t="shared" si="91"/>
        <v>9.5555555555555554</v>
      </c>
      <c r="K54" s="16">
        <f t="shared" si="3"/>
        <v>4.7777777777777777</v>
      </c>
      <c r="L54" s="17">
        <f t="shared" si="4"/>
        <v>22.827160493827158</v>
      </c>
      <c r="M54" s="28">
        <f t="shared" si="5"/>
        <v>1.4388888888888889</v>
      </c>
      <c r="N54" s="28">
        <f t="shared" ref="N54" si="114">+M54^2</f>
        <v>2.070401234567901</v>
      </c>
      <c r="O54" s="28">
        <f t="shared" si="6"/>
        <v>9.5555555555555554</v>
      </c>
      <c r="P54" s="28">
        <f t="shared" ref="P54" si="115">+O54^2</f>
        <v>91.308641975308632</v>
      </c>
      <c r="R54" s="29">
        <f t="shared" si="8"/>
        <v>99.143506815233437</v>
      </c>
      <c r="S54" s="29">
        <f t="shared" si="9"/>
        <v>95.898980661815955</v>
      </c>
      <c r="T54" s="12">
        <f t="shared" si="10"/>
        <v>86.605711302224705</v>
      </c>
      <c r="U54" s="13">
        <f t="shared" si="11"/>
        <v>0.80000695775619191</v>
      </c>
      <c r="V54" s="21">
        <f t="shared" si="12"/>
        <v>29.8583351920296</v>
      </c>
      <c r="W54" s="30">
        <f t="shared" si="15"/>
        <v>1.1989385336064196E-2</v>
      </c>
    </row>
  </sheetData>
  <autoFilter ref="A2:I54"/>
  <mergeCells count="6">
    <mergeCell ref="U1:V1"/>
    <mergeCell ref="K1:L1"/>
    <mergeCell ref="C1:E1"/>
    <mergeCell ref="G1:I1"/>
    <mergeCell ref="M1:N1"/>
    <mergeCell ref="O1:P1"/>
  </mergeCells>
  <pageMargins left="0.7" right="0.7" top="0.75" bottom="0.75" header="0.3" footer="0.3"/>
  <pageSetup orientation="portrait" r:id="rId1"/>
  <ignoredErrors>
    <ignoredError sqref="N3:N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4"/>
  <sheetViews>
    <sheetView tabSelected="1" zoomScale="115" zoomScaleNormal="115" workbookViewId="0">
      <pane xSplit="2" ySplit="2" topLeftCell="N39" activePane="bottomRight" state="frozen"/>
      <selection pane="topRight" activeCell="C1" sqref="C1"/>
      <selection pane="bottomLeft" activeCell="A3" sqref="A3"/>
      <selection pane="bottomRight" activeCell="Q17" sqref="Q17"/>
    </sheetView>
  </sheetViews>
  <sheetFormatPr defaultColWidth="8.85546875" defaultRowHeight="15" x14ac:dyDescent="0.25"/>
  <cols>
    <col min="1" max="1" width="11.7109375" bestFit="1" customWidth="1"/>
    <col min="2" max="2" width="11.85546875" bestFit="1" customWidth="1"/>
    <col min="3" max="5" width="11.85546875" customWidth="1"/>
    <col min="6" max="6" width="6" style="25" customWidth="1"/>
    <col min="7" max="7" width="10.7109375" customWidth="1"/>
    <col min="8" max="8" width="10.7109375" style="4" customWidth="1"/>
    <col min="9" max="9" width="10.7109375" customWidth="1"/>
    <col min="10" max="10" width="3.85546875" style="25" customWidth="1"/>
    <col min="11" max="11" width="10.42578125" bestFit="1" customWidth="1"/>
    <col min="12" max="14" width="11" customWidth="1"/>
    <col min="15" max="16" width="11.85546875" customWidth="1"/>
    <col min="17" max="17" width="3.85546875" style="25" customWidth="1"/>
    <col min="18" max="19" width="13.42578125" customWidth="1"/>
    <col min="20" max="20" width="14.85546875" bestFit="1" customWidth="1"/>
    <col min="23" max="23" width="17.5703125" customWidth="1"/>
    <col min="26" max="26" width="11.140625" bestFit="1" customWidth="1"/>
  </cols>
  <sheetData>
    <row r="1" spans="1:26" ht="15.75" thickBot="1" x14ac:dyDescent="0.3">
      <c r="C1" s="62" t="s">
        <v>10</v>
      </c>
      <c r="D1" s="62"/>
      <c r="E1" s="62"/>
      <c r="F1" s="22"/>
      <c r="G1" s="62" t="s">
        <v>11</v>
      </c>
      <c r="H1" s="62"/>
      <c r="I1" s="62"/>
      <c r="K1" s="62" t="s">
        <v>4</v>
      </c>
      <c r="L1" s="62"/>
      <c r="M1" s="62" t="s">
        <v>12</v>
      </c>
      <c r="N1" s="62"/>
      <c r="O1" s="62" t="s">
        <v>13</v>
      </c>
      <c r="P1" s="62"/>
      <c r="U1" s="31" t="s">
        <v>15</v>
      </c>
      <c r="V1" s="31"/>
      <c r="W1" s="31"/>
    </row>
    <row r="2" spans="1:26" s="5" customFormat="1" ht="15.75" thickBot="1" x14ac:dyDescent="0.3">
      <c r="A2" s="5" t="s">
        <v>1</v>
      </c>
      <c r="B2" s="9" t="str">
        <f>yields!B1</f>
        <v xml:space="preserve">Date </v>
      </c>
      <c r="C2" s="10">
        <v>42887</v>
      </c>
      <c r="D2" s="26">
        <v>44089</v>
      </c>
      <c r="E2" s="10">
        <v>45809</v>
      </c>
      <c r="F2" s="11"/>
      <c r="G2" s="10">
        <v>42887</v>
      </c>
      <c r="H2" s="26">
        <v>44089</v>
      </c>
      <c r="I2" s="10">
        <v>45809</v>
      </c>
      <c r="J2" s="27"/>
      <c r="K2" s="18" t="s">
        <v>3</v>
      </c>
      <c r="L2" s="19" t="s">
        <v>2</v>
      </c>
      <c r="M2" s="18" t="s">
        <v>3</v>
      </c>
      <c r="N2" s="19" t="s">
        <v>2</v>
      </c>
      <c r="O2" s="18" t="s">
        <v>3</v>
      </c>
      <c r="P2" s="19" t="s">
        <v>2</v>
      </c>
      <c r="Q2" s="27"/>
      <c r="R2" s="19" t="s">
        <v>6</v>
      </c>
      <c r="S2" s="19" t="s">
        <v>14</v>
      </c>
      <c r="T2" s="19" t="s">
        <v>5</v>
      </c>
      <c r="U2" s="19" t="s">
        <v>16</v>
      </c>
      <c r="V2" s="19" t="s">
        <v>17</v>
      </c>
      <c r="W2" s="19" t="s">
        <v>8</v>
      </c>
      <c r="X2" s="8" t="s">
        <v>9</v>
      </c>
    </row>
    <row r="3" spans="1:26" x14ac:dyDescent="0.25">
      <c r="A3">
        <f t="shared" ref="A3:A54" si="0">WEEKDAY(B3)</f>
        <v>5</v>
      </c>
      <c r="B3" s="2">
        <f>yields!B2</f>
        <v>42012</v>
      </c>
      <c r="C3" s="13">
        <f>+yields!C2/100</f>
        <v>1.0426700000000001E-2</v>
      </c>
      <c r="D3" s="13">
        <f>+yields!D2/100</f>
        <v>1.46678E-2</v>
      </c>
      <c r="E3" s="13">
        <f>+yields!E2/100</f>
        <v>1.9313800000000002E-2</v>
      </c>
      <c r="F3" s="23"/>
      <c r="G3" s="1">
        <f t="shared" ref="G3:I22" si="1">(G$2-$B3)/360</f>
        <v>2.4305555555555554</v>
      </c>
      <c r="H3" s="3">
        <f t="shared" si="1"/>
        <v>5.7694444444444448</v>
      </c>
      <c r="I3" s="1">
        <f t="shared" si="1"/>
        <v>10.547222222222222</v>
      </c>
      <c r="K3" s="14">
        <f>H3</f>
        <v>5.7694444444444448</v>
      </c>
      <c r="L3" s="15">
        <f>K3^2</f>
        <v>33.286489197530869</v>
      </c>
      <c r="M3" s="28">
        <f>+G3</f>
        <v>2.4305555555555554</v>
      </c>
      <c r="N3" s="28">
        <f t="shared" ref="N3:P18" si="2">+M3^2</f>
        <v>5.9076003086419746</v>
      </c>
      <c r="O3" s="28">
        <f>+I3</f>
        <v>10.547222222222222</v>
      </c>
      <c r="P3" s="28">
        <f t="shared" si="2"/>
        <v>111.24389660493827</v>
      </c>
      <c r="R3" s="29">
        <f>100*EXP(-C3*G3)</f>
        <v>97.497575631526772</v>
      </c>
      <c r="S3" s="29">
        <f>100*EXP(-D3*H3)</f>
        <v>91.885673852005056</v>
      </c>
      <c r="T3" s="12">
        <f>100*EXP(-E3*I3)</f>
        <v>81.570138515769813</v>
      </c>
      <c r="U3">
        <f>-(S3/R3)*((K3*P3-L3*O3)/(M3*P3-N3*O3))</f>
        <v>-1.3168328946852932</v>
      </c>
      <c r="V3">
        <f t="shared" ref="V3:V34" si="3">-(S3/T3)*((K3*N3-L3*M3)/(O3*N3-P3*M3))</f>
        <v>-0.25347595050911559</v>
      </c>
      <c r="W3" s="32">
        <f>S3+(U3*R3)+(V3*T3)</f>
        <v>-57.178409285101615</v>
      </c>
    </row>
    <row r="4" spans="1:26" x14ac:dyDescent="0.25">
      <c r="A4">
        <f t="shared" si="0"/>
        <v>5</v>
      </c>
      <c r="B4" s="2">
        <f>yields!B3</f>
        <v>42019</v>
      </c>
      <c r="C4" s="13">
        <f>+yields!C3/100</f>
        <v>8.7270999999999998E-3</v>
      </c>
      <c r="D4" s="13">
        <f>+yields!D3/100</f>
        <v>1.24644E-2</v>
      </c>
      <c r="E4" s="13">
        <f>+yields!E3/100</f>
        <v>1.6851499999999998E-2</v>
      </c>
      <c r="F4" s="24"/>
      <c r="G4" s="1">
        <f t="shared" si="1"/>
        <v>2.411111111111111</v>
      </c>
      <c r="H4" s="3">
        <f t="shared" si="1"/>
        <v>5.75</v>
      </c>
      <c r="I4" s="1">
        <f t="shared" si="1"/>
        <v>10.527777777777779</v>
      </c>
      <c r="K4" s="14">
        <f t="shared" ref="K4:K54" si="4">H4</f>
        <v>5.75</v>
      </c>
      <c r="L4" s="15">
        <f t="shared" ref="L4:L54" si="5">K4^2</f>
        <v>33.0625</v>
      </c>
      <c r="M4" s="28">
        <f t="shared" ref="M4:M54" si="6">+G4</f>
        <v>2.411111111111111</v>
      </c>
      <c r="N4" s="28">
        <f t="shared" si="2"/>
        <v>5.813456790123456</v>
      </c>
      <c r="O4" s="28">
        <f t="shared" ref="O4:O54" si="7">+I4</f>
        <v>10.527777777777779</v>
      </c>
      <c r="P4" s="28">
        <f t="shared" si="2"/>
        <v>110.83410493827162</v>
      </c>
      <c r="R4" s="29">
        <f t="shared" ref="R4:T54" si="8">100*EXP(-C4*G4)</f>
        <v>97.917783062077916</v>
      </c>
      <c r="S4" s="29">
        <f t="shared" si="8"/>
        <v>93.083774242844001</v>
      </c>
      <c r="T4" s="12">
        <f t="shared" si="8"/>
        <v>83.743733059569649</v>
      </c>
      <c r="U4">
        <f>-(S4/R4)*((K4*P4-L4*O4)/(M4*P4-N4*O4))</f>
        <v>-1.3344775365655828</v>
      </c>
      <c r="V4">
        <f t="shared" si="3"/>
        <v>-0.24973364681628793</v>
      </c>
      <c r="W4" s="32">
        <f t="shared" ref="W4:W54" si="9">S4+(U4*R4)+(V4*T4)</f>
        <v>-58.498935538776941</v>
      </c>
      <c r="X4">
        <f>((W4/W3)-1)*100</f>
        <v>2.3094840695741414</v>
      </c>
    </row>
    <row r="5" spans="1:26" x14ac:dyDescent="0.25">
      <c r="A5">
        <f t="shared" si="0"/>
        <v>5</v>
      </c>
      <c r="B5" s="2">
        <f>yields!B4</f>
        <v>42026</v>
      </c>
      <c r="C5" s="13">
        <f>+yields!C4/100</f>
        <v>6.1267000000000005E-3</v>
      </c>
      <c r="D5" s="13">
        <f>+yields!D4/100</f>
        <v>1.08535E-2</v>
      </c>
      <c r="E5" s="13">
        <f>+yields!E4/100</f>
        <v>1.6251999999999999E-2</v>
      </c>
      <c r="F5" s="24"/>
      <c r="G5" s="1">
        <f t="shared" si="1"/>
        <v>2.3916666666666666</v>
      </c>
      <c r="H5" s="3">
        <f t="shared" si="1"/>
        <v>5.7305555555555552</v>
      </c>
      <c r="I5" s="1">
        <f t="shared" si="1"/>
        <v>10.508333333333333</v>
      </c>
      <c r="K5" s="14">
        <f t="shared" si="4"/>
        <v>5.7305555555555552</v>
      </c>
      <c r="L5" s="15">
        <f t="shared" si="5"/>
        <v>32.839266975308639</v>
      </c>
      <c r="M5" s="28">
        <f t="shared" si="6"/>
        <v>2.3916666666666666</v>
      </c>
      <c r="N5" s="28">
        <f t="shared" si="2"/>
        <v>5.7200694444444444</v>
      </c>
      <c r="O5" s="28">
        <f t="shared" si="7"/>
        <v>10.508333333333333</v>
      </c>
      <c r="P5" s="28">
        <f t="shared" si="2"/>
        <v>110.42506944444443</v>
      </c>
      <c r="R5" s="29">
        <f t="shared" si="8"/>
        <v>98.545380894600328</v>
      </c>
      <c r="S5" s="29">
        <f t="shared" si="8"/>
        <v>93.969813833482462</v>
      </c>
      <c r="T5" s="12">
        <f t="shared" si="8"/>
        <v>84.300580630637327</v>
      </c>
      <c r="U5">
        <f t="shared" ref="U5:U54" si="10">-(S5/R5)*((K5*P5-L5*O5)/(M5*P5-N5*O5))</f>
        <v>-1.3449198572419938</v>
      </c>
      <c r="V5">
        <f t="shared" si="3"/>
        <v>-0.25006041253660649</v>
      </c>
      <c r="W5" s="32">
        <f t="shared" si="9"/>
        <v>-59.646063740713949</v>
      </c>
      <c r="X5">
        <f t="shared" ref="X5:X54" si="11">((W5/W4)-1)*100</f>
        <v>1.9609385903724963</v>
      </c>
    </row>
    <row r="6" spans="1:26" x14ac:dyDescent="0.25">
      <c r="A6">
        <f t="shared" si="0"/>
        <v>5</v>
      </c>
      <c r="B6" s="2">
        <f>yields!B5</f>
        <v>42033</v>
      </c>
      <c r="C6" s="13">
        <f>+yields!C5/100</f>
        <v>5.1357E-3</v>
      </c>
      <c r="D6" s="13">
        <f>+yields!D5/100</f>
        <v>9.3457000000000002E-3</v>
      </c>
      <c r="E6" s="13">
        <f>+yields!E5/100</f>
        <v>1.4626999999999999E-2</v>
      </c>
      <c r="F6" s="24"/>
      <c r="G6" s="1">
        <f t="shared" si="1"/>
        <v>2.3722222222222222</v>
      </c>
      <c r="H6" s="3">
        <f t="shared" si="1"/>
        <v>5.7111111111111112</v>
      </c>
      <c r="I6" s="1">
        <f t="shared" si="1"/>
        <v>10.488888888888889</v>
      </c>
      <c r="K6" s="14">
        <f t="shared" si="4"/>
        <v>5.7111111111111112</v>
      </c>
      <c r="L6" s="15">
        <f t="shared" si="5"/>
        <v>32.616790123456795</v>
      </c>
      <c r="M6" s="28">
        <f t="shared" si="6"/>
        <v>2.3722222222222222</v>
      </c>
      <c r="N6" s="28">
        <f t="shared" si="2"/>
        <v>5.6274382716049383</v>
      </c>
      <c r="O6" s="28">
        <f t="shared" si="7"/>
        <v>10.488888888888889</v>
      </c>
      <c r="P6" s="28">
        <f t="shared" si="2"/>
        <v>110.01679012345679</v>
      </c>
      <c r="R6" s="29">
        <f t="shared" si="8"/>
        <v>98.789089087793158</v>
      </c>
      <c r="S6" s="29">
        <f t="shared" si="8"/>
        <v>94.802507077547645</v>
      </c>
      <c r="T6" s="12">
        <f t="shared" si="8"/>
        <v>85.776854429724821</v>
      </c>
      <c r="U6">
        <f t="shared" si="10"/>
        <v>-1.3599543062513049</v>
      </c>
      <c r="V6">
        <f t="shared" si="3"/>
        <v>-0.24755122932039636</v>
      </c>
      <c r="W6" s="32">
        <f t="shared" si="9"/>
        <v>-60.780305799355531</v>
      </c>
      <c r="X6">
        <f t="shared" si="11"/>
        <v>1.9016209746417045</v>
      </c>
      <c r="Z6" s="32"/>
    </row>
    <row r="7" spans="1:26" x14ac:dyDescent="0.25">
      <c r="A7">
        <f t="shared" si="0"/>
        <v>5</v>
      </c>
      <c r="B7" s="2">
        <f>yields!B6</f>
        <v>42040</v>
      </c>
      <c r="C7" s="13">
        <f>+yields!C6/100</f>
        <v>4.8582E-3</v>
      </c>
      <c r="D7" s="13">
        <f>+yields!D6/100</f>
        <v>9.1529999999999997E-3</v>
      </c>
      <c r="E7" s="13">
        <f>+yields!E6/100</f>
        <v>1.4449200000000001E-2</v>
      </c>
      <c r="F7" s="24"/>
      <c r="G7" s="1">
        <f t="shared" si="1"/>
        <v>2.3527777777777779</v>
      </c>
      <c r="H7" s="3">
        <f t="shared" si="1"/>
        <v>5.6916666666666664</v>
      </c>
      <c r="I7" s="1">
        <f t="shared" si="1"/>
        <v>10.469444444444445</v>
      </c>
      <c r="K7" s="14">
        <f t="shared" si="4"/>
        <v>5.6916666666666664</v>
      </c>
      <c r="L7" s="15">
        <f t="shared" si="5"/>
        <v>32.395069444444445</v>
      </c>
      <c r="M7" s="28">
        <f t="shared" si="6"/>
        <v>2.3527777777777779</v>
      </c>
      <c r="N7" s="28">
        <f t="shared" si="2"/>
        <v>5.5355632716049383</v>
      </c>
      <c r="O7" s="28">
        <f t="shared" si="7"/>
        <v>10.469444444444445</v>
      </c>
      <c r="P7" s="28">
        <f t="shared" si="2"/>
        <v>109.60926697530866</v>
      </c>
      <c r="R7" s="29">
        <f t="shared" si="8"/>
        <v>98.863481229275322</v>
      </c>
      <c r="S7" s="29">
        <f t="shared" si="8"/>
        <v>94.92379017626584</v>
      </c>
      <c r="T7" s="12">
        <f t="shared" si="8"/>
        <v>85.961118995633285</v>
      </c>
      <c r="U7">
        <f t="shared" si="10"/>
        <v>-1.367243776071976</v>
      </c>
      <c r="V7">
        <f t="shared" si="3"/>
        <v>-0.24695230687405897</v>
      </c>
      <c r="W7" s="32">
        <f t="shared" si="9"/>
        <v>-61.4749858527166</v>
      </c>
      <c r="X7">
        <f t="shared" si="11"/>
        <v>1.1429360945538924</v>
      </c>
    </row>
    <row r="8" spans="1:26" x14ac:dyDescent="0.25">
      <c r="A8">
        <f t="shared" si="0"/>
        <v>5</v>
      </c>
      <c r="B8" s="2">
        <f>yields!B7</f>
        <v>42047</v>
      </c>
      <c r="C8" s="13">
        <f>+yields!C7/100</f>
        <v>4.8138E-3</v>
      </c>
      <c r="D8" s="13">
        <f>+yields!D7/100</f>
        <v>9.3896999999999991E-3</v>
      </c>
      <c r="E8" s="13">
        <f>+yields!E7/100</f>
        <v>1.47072E-2</v>
      </c>
      <c r="F8" s="24"/>
      <c r="G8" s="1">
        <f t="shared" si="1"/>
        <v>2.3333333333333335</v>
      </c>
      <c r="H8" s="3">
        <f t="shared" si="1"/>
        <v>5.6722222222222225</v>
      </c>
      <c r="I8" s="1">
        <f t="shared" si="1"/>
        <v>10.45</v>
      </c>
      <c r="K8" s="14">
        <f t="shared" si="4"/>
        <v>5.6722222222222225</v>
      </c>
      <c r="L8" s="15">
        <f t="shared" si="5"/>
        <v>32.174104938271611</v>
      </c>
      <c r="M8" s="28">
        <f t="shared" si="6"/>
        <v>2.3333333333333335</v>
      </c>
      <c r="N8" s="28">
        <f t="shared" si="2"/>
        <v>5.4444444444444455</v>
      </c>
      <c r="O8" s="28">
        <f t="shared" si="7"/>
        <v>10.45</v>
      </c>
      <c r="P8" s="28">
        <f t="shared" si="2"/>
        <v>109.20249999999999</v>
      </c>
      <c r="R8" s="29">
        <f t="shared" si="8"/>
        <v>98.883064564007583</v>
      </c>
      <c r="S8" s="29">
        <f t="shared" si="8"/>
        <v>94.813302484956026</v>
      </c>
      <c r="T8" s="12">
        <f t="shared" si="8"/>
        <v>85.753761072509718</v>
      </c>
      <c r="U8">
        <f t="shared" si="10"/>
        <v>-1.3720566511598826</v>
      </c>
      <c r="V8">
        <f t="shared" si="3"/>
        <v>-0.24687510615007488</v>
      </c>
      <c r="W8" s="32">
        <f t="shared" si="9"/>
        <v>-62.030332804706667</v>
      </c>
      <c r="X8">
        <f t="shared" si="11"/>
        <v>0.90337060559977367</v>
      </c>
      <c r="Z8" s="32"/>
    </row>
    <row r="9" spans="1:26" x14ac:dyDescent="0.25">
      <c r="A9">
        <f t="shared" si="0"/>
        <v>5</v>
      </c>
      <c r="B9" s="2">
        <f>yields!B8</f>
        <v>42054</v>
      </c>
      <c r="C9" s="13">
        <f>+yields!C8/100</f>
        <v>4.8996999999999999E-3</v>
      </c>
      <c r="D9" s="13">
        <f>+yields!D8/100</f>
        <v>9.8954999999999998E-3</v>
      </c>
      <c r="E9" s="13">
        <f>+yields!E8/100</f>
        <v>1.5345599999999999E-2</v>
      </c>
      <c r="F9" s="24"/>
      <c r="G9" s="1">
        <f t="shared" si="1"/>
        <v>2.3138888888888891</v>
      </c>
      <c r="H9" s="3">
        <f t="shared" si="1"/>
        <v>5.6527777777777777</v>
      </c>
      <c r="I9" s="1">
        <f t="shared" si="1"/>
        <v>10.430555555555555</v>
      </c>
      <c r="K9" s="14">
        <f t="shared" si="4"/>
        <v>5.6527777777777777</v>
      </c>
      <c r="L9" s="15">
        <f t="shared" si="5"/>
        <v>31.953896604938272</v>
      </c>
      <c r="M9" s="28">
        <f t="shared" si="6"/>
        <v>2.3138888888888891</v>
      </c>
      <c r="N9" s="28">
        <f t="shared" si="2"/>
        <v>5.3540817901234581</v>
      </c>
      <c r="O9" s="28">
        <f t="shared" si="7"/>
        <v>10.430555555555555</v>
      </c>
      <c r="P9" s="28">
        <f t="shared" si="2"/>
        <v>108.79648919753086</v>
      </c>
      <c r="R9" s="29">
        <f t="shared" si="8"/>
        <v>98.872666430351103</v>
      </c>
      <c r="S9" s="29">
        <f t="shared" si="8"/>
        <v>94.559864763250189</v>
      </c>
      <c r="T9" s="12">
        <f t="shared" si="8"/>
        <v>85.208999198654382</v>
      </c>
      <c r="U9">
        <f t="shared" si="10"/>
        <v>-1.3753025346211945</v>
      </c>
      <c r="V9">
        <f t="shared" si="3"/>
        <v>-0.24740023411969145</v>
      </c>
      <c r="W9" s="32">
        <f t="shared" si="9"/>
        <v>-62.500690334019254</v>
      </c>
      <c r="X9">
        <f t="shared" si="11"/>
        <v>0.75827020111827181</v>
      </c>
    </row>
    <row r="10" spans="1:26" x14ac:dyDescent="0.25">
      <c r="A10">
        <f t="shared" si="0"/>
        <v>5</v>
      </c>
      <c r="B10" s="2">
        <f>yields!B9</f>
        <v>42061</v>
      </c>
      <c r="C10" s="13">
        <f>+yields!C9/100</f>
        <v>5.6855999999999999E-3</v>
      </c>
      <c r="D10" s="13">
        <f>+yields!D9/100</f>
        <v>9.4205000000000001E-3</v>
      </c>
      <c r="E10" s="13">
        <f>+yields!E9/100</f>
        <v>1.44651E-2</v>
      </c>
      <c r="F10" s="24"/>
      <c r="G10" s="1">
        <f t="shared" si="1"/>
        <v>2.2944444444444443</v>
      </c>
      <c r="H10" s="3">
        <f t="shared" si="1"/>
        <v>5.6333333333333337</v>
      </c>
      <c r="I10" s="1">
        <f t="shared" si="1"/>
        <v>10.411111111111111</v>
      </c>
      <c r="K10" s="14">
        <f t="shared" si="4"/>
        <v>5.6333333333333337</v>
      </c>
      <c r="L10" s="15">
        <f t="shared" si="5"/>
        <v>31.734444444444449</v>
      </c>
      <c r="M10" s="28">
        <f t="shared" si="6"/>
        <v>2.2944444444444443</v>
      </c>
      <c r="N10" s="28">
        <f t="shared" si="2"/>
        <v>5.2644753086419742</v>
      </c>
      <c r="O10" s="28">
        <f t="shared" si="7"/>
        <v>10.411111111111111</v>
      </c>
      <c r="P10" s="28">
        <f t="shared" si="2"/>
        <v>108.39123456790124</v>
      </c>
      <c r="R10" s="29">
        <f t="shared" si="8"/>
        <v>98.703942770201152</v>
      </c>
      <c r="S10" s="29">
        <f t="shared" si="8"/>
        <v>94.831475037669193</v>
      </c>
      <c r="T10" s="12">
        <f t="shared" si="8"/>
        <v>86.01936304999262</v>
      </c>
      <c r="U10">
        <f t="shared" si="10"/>
        <v>-1.3885264061732765</v>
      </c>
      <c r="V10">
        <f t="shared" si="3"/>
        <v>-0.24538550649278842</v>
      </c>
      <c r="W10" s="32">
        <f t="shared" si="9"/>
        <v>-63.329460862380458</v>
      </c>
      <c r="X10">
        <f t="shared" si="11"/>
        <v>1.3260181990503606</v>
      </c>
    </row>
    <row r="11" spans="1:26" x14ac:dyDescent="0.25">
      <c r="A11">
        <f t="shared" si="0"/>
        <v>5</v>
      </c>
      <c r="B11" s="2">
        <f>yields!B10</f>
        <v>42068</v>
      </c>
      <c r="C11" s="13">
        <f>+yields!C10/100</f>
        <v>6.9211999999999997E-3</v>
      </c>
      <c r="D11" s="13">
        <f>+yields!D10/100</f>
        <v>1.09158E-2</v>
      </c>
      <c r="E11" s="13">
        <f>+yields!E10/100</f>
        <v>1.6154999999999999E-2</v>
      </c>
      <c r="F11" s="24"/>
      <c r="G11" s="1">
        <f t="shared" si="1"/>
        <v>2.2749999999999999</v>
      </c>
      <c r="H11" s="3">
        <f t="shared" si="1"/>
        <v>5.6138888888888889</v>
      </c>
      <c r="I11" s="1">
        <f t="shared" si="1"/>
        <v>10.391666666666667</v>
      </c>
      <c r="K11" s="14">
        <f t="shared" si="4"/>
        <v>5.6138888888888889</v>
      </c>
      <c r="L11" s="15">
        <f t="shared" si="5"/>
        <v>31.515748456790124</v>
      </c>
      <c r="M11" s="28">
        <f t="shared" si="6"/>
        <v>2.2749999999999999</v>
      </c>
      <c r="N11" s="28">
        <f t="shared" si="2"/>
        <v>5.1756249999999993</v>
      </c>
      <c r="O11" s="28">
        <f t="shared" si="7"/>
        <v>10.391666666666667</v>
      </c>
      <c r="P11" s="28">
        <f t="shared" si="2"/>
        <v>107.98673611111113</v>
      </c>
      <c r="R11" s="29">
        <f t="shared" si="8"/>
        <v>98.437758592515863</v>
      </c>
      <c r="S11" s="29">
        <f t="shared" si="8"/>
        <v>94.055976306291882</v>
      </c>
      <c r="T11" s="12">
        <f t="shared" si="8"/>
        <v>84.545750255464341</v>
      </c>
      <c r="U11">
        <f t="shared" si="10"/>
        <v>-1.3878908944821042</v>
      </c>
      <c r="V11">
        <f t="shared" si="3"/>
        <v>-0.24722789708178408</v>
      </c>
      <c r="W11" s="32">
        <f t="shared" si="9"/>
        <v>-63.466960560348561</v>
      </c>
      <c r="X11">
        <f t="shared" si="11"/>
        <v>0.2171180617926094</v>
      </c>
    </row>
    <row r="12" spans="1:26" x14ac:dyDescent="0.25">
      <c r="A12">
        <f t="shared" si="0"/>
        <v>5</v>
      </c>
      <c r="B12" s="2">
        <f>yields!B11</f>
        <v>42075</v>
      </c>
      <c r="C12" s="13">
        <f>+yields!C11/100</f>
        <v>6.5475999999999998E-3</v>
      </c>
      <c r="D12" s="13">
        <f>+yields!D11/100</f>
        <v>1.03223E-2</v>
      </c>
      <c r="E12" s="13">
        <f>+yields!E11/100</f>
        <v>1.5833099999999999E-2</v>
      </c>
      <c r="F12" s="24"/>
      <c r="G12" s="1">
        <f t="shared" si="1"/>
        <v>2.2555555555555555</v>
      </c>
      <c r="H12" s="3">
        <f t="shared" si="1"/>
        <v>5.5944444444444441</v>
      </c>
      <c r="I12" s="1">
        <f t="shared" si="1"/>
        <v>10.372222222222222</v>
      </c>
      <c r="K12" s="14">
        <f t="shared" si="4"/>
        <v>5.5944444444444441</v>
      </c>
      <c r="L12" s="15">
        <f t="shared" si="5"/>
        <v>31.297808641975305</v>
      </c>
      <c r="M12" s="28">
        <f t="shared" si="6"/>
        <v>2.2555555555555555</v>
      </c>
      <c r="N12" s="28">
        <f t="shared" si="2"/>
        <v>5.0875308641975305</v>
      </c>
      <c r="O12" s="28">
        <f t="shared" si="7"/>
        <v>10.372222222222222</v>
      </c>
      <c r="P12" s="28">
        <f t="shared" si="2"/>
        <v>107.58299382716048</v>
      </c>
      <c r="R12" s="29">
        <f t="shared" si="8"/>
        <v>98.53400435023903</v>
      </c>
      <c r="S12" s="29">
        <f t="shared" si="8"/>
        <v>94.388821714552591</v>
      </c>
      <c r="T12" s="12">
        <f t="shared" si="8"/>
        <v>84.855155866745378</v>
      </c>
      <c r="U12">
        <f t="shared" si="10"/>
        <v>-1.3985761065115176</v>
      </c>
      <c r="V12">
        <f t="shared" si="3"/>
        <v>-0.24680374069944755</v>
      </c>
      <c r="W12" s="32">
        <f t="shared" si="9"/>
        <v>-64.361052334141093</v>
      </c>
      <c r="X12">
        <f t="shared" si="11"/>
        <v>1.4087515234676662</v>
      </c>
    </row>
    <row r="13" spans="1:26" x14ac:dyDescent="0.25">
      <c r="A13">
        <f t="shared" si="0"/>
        <v>5</v>
      </c>
      <c r="B13" s="2">
        <f>yields!B12</f>
        <v>42082</v>
      </c>
      <c r="C13" s="13">
        <f>+yields!C12/100</f>
        <v>5.6764000000000007E-3</v>
      </c>
      <c r="D13" s="13">
        <f>+yields!D12/100</f>
        <v>8.9732000000000006E-3</v>
      </c>
      <c r="E13" s="13">
        <f>+yields!E12/100</f>
        <v>1.4104E-2</v>
      </c>
      <c r="F13" s="24"/>
      <c r="G13" s="1">
        <f t="shared" si="1"/>
        <v>2.2361111111111112</v>
      </c>
      <c r="H13" s="3">
        <f t="shared" si="1"/>
        <v>5.5750000000000002</v>
      </c>
      <c r="I13" s="1">
        <f t="shared" si="1"/>
        <v>10.352777777777778</v>
      </c>
      <c r="K13" s="14">
        <f t="shared" si="4"/>
        <v>5.5750000000000002</v>
      </c>
      <c r="L13" s="15">
        <f t="shared" si="5"/>
        <v>31.080625000000001</v>
      </c>
      <c r="M13" s="28">
        <f t="shared" si="6"/>
        <v>2.2361111111111112</v>
      </c>
      <c r="N13" s="28">
        <f t="shared" si="2"/>
        <v>5.0001929012345681</v>
      </c>
      <c r="O13" s="28">
        <f t="shared" si="7"/>
        <v>10.352777777777778</v>
      </c>
      <c r="P13" s="28">
        <f t="shared" si="2"/>
        <v>107.18000771604939</v>
      </c>
      <c r="R13" s="29">
        <f t="shared" si="8"/>
        <v>98.738715603001765</v>
      </c>
      <c r="S13" s="29">
        <f t="shared" si="8"/>
        <v>95.120508285119371</v>
      </c>
      <c r="T13" s="12">
        <f t="shared" si="8"/>
        <v>86.414424163282831</v>
      </c>
      <c r="U13">
        <f t="shared" si="10"/>
        <v>-1.4137949177247555</v>
      </c>
      <c r="V13">
        <f t="shared" si="3"/>
        <v>-0.24383730957285049</v>
      </c>
      <c r="W13" s="32">
        <f t="shared" si="9"/>
        <v>-65.546846713336549</v>
      </c>
      <c r="X13">
        <f t="shared" si="11"/>
        <v>1.8424098677554346</v>
      </c>
    </row>
    <row r="14" spans="1:26" x14ac:dyDescent="0.25">
      <c r="A14">
        <f t="shared" si="0"/>
        <v>5</v>
      </c>
      <c r="B14" s="2">
        <f>yields!B13</f>
        <v>42089</v>
      </c>
      <c r="C14" s="13">
        <f>+yields!C13/100</f>
        <v>6.7054999999999997E-3</v>
      </c>
      <c r="D14" s="13">
        <f>+yields!D13/100</f>
        <v>1.0221800000000001E-2</v>
      </c>
      <c r="E14" s="13">
        <f>+yields!E13/100</f>
        <v>1.52322E-2</v>
      </c>
      <c r="F14" s="24"/>
      <c r="G14" s="1">
        <f t="shared" si="1"/>
        <v>2.2166666666666668</v>
      </c>
      <c r="H14" s="3">
        <f t="shared" si="1"/>
        <v>5.5555555555555554</v>
      </c>
      <c r="I14" s="1">
        <f t="shared" si="1"/>
        <v>10.333333333333334</v>
      </c>
      <c r="K14" s="14">
        <f t="shared" si="4"/>
        <v>5.5555555555555554</v>
      </c>
      <c r="L14" s="15">
        <f t="shared" si="5"/>
        <v>30.864197530864196</v>
      </c>
      <c r="M14" s="28">
        <f t="shared" si="6"/>
        <v>2.2166666666666668</v>
      </c>
      <c r="N14" s="28">
        <f t="shared" si="2"/>
        <v>4.9136111111111118</v>
      </c>
      <c r="O14" s="28">
        <f t="shared" si="7"/>
        <v>10.333333333333334</v>
      </c>
      <c r="P14" s="28">
        <f t="shared" si="2"/>
        <v>106.77777777777779</v>
      </c>
      <c r="R14" s="29">
        <f t="shared" si="8"/>
        <v>98.524606351409275</v>
      </c>
      <c r="S14" s="29">
        <f t="shared" si="8"/>
        <v>94.479455449196919</v>
      </c>
      <c r="T14" s="12">
        <f t="shared" si="8"/>
        <v>85.436275817886781</v>
      </c>
      <c r="U14">
        <f t="shared" si="10"/>
        <v>-1.4147119198341507</v>
      </c>
      <c r="V14">
        <f t="shared" si="3"/>
        <v>-0.24457180242785145</v>
      </c>
      <c r="W14" s="32">
        <f t="shared" si="9"/>
        <v>-65.799783522612884</v>
      </c>
      <c r="X14">
        <f t="shared" si="11"/>
        <v>0.38588707460258664</v>
      </c>
    </row>
    <row r="15" spans="1:26" x14ac:dyDescent="0.25">
      <c r="A15">
        <f t="shared" si="0"/>
        <v>5</v>
      </c>
      <c r="B15" s="2">
        <f>yields!B14</f>
        <v>42096</v>
      </c>
      <c r="C15" s="13">
        <f>+yields!C14/100</f>
        <v>5.7758000000000002E-3</v>
      </c>
      <c r="D15" s="13">
        <f>+yields!D14/100</f>
        <v>8.9887999999999999E-3</v>
      </c>
      <c r="E15" s="13">
        <f>+yields!E14/100</f>
        <v>1.39831E-2</v>
      </c>
      <c r="F15" s="24"/>
      <c r="G15" s="1">
        <f t="shared" si="1"/>
        <v>2.1972222222222224</v>
      </c>
      <c r="H15" s="3">
        <f t="shared" si="1"/>
        <v>5.5361111111111114</v>
      </c>
      <c r="I15" s="1">
        <f t="shared" si="1"/>
        <v>10.313888888888888</v>
      </c>
      <c r="K15" s="14">
        <f t="shared" si="4"/>
        <v>5.5361111111111114</v>
      </c>
      <c r="L15" s="15">
        <f t="shared" si="5"/>
        <v>30.648526234567903</v>
      </c>
      <c r="M15" s="28">
        <f t="shared" si="6"/>
        <v>2.1972222222222224</v>
      </c>
      <c r="N15" s="28">
        <f t="shared" si="2"/>
        <v>4.8277854938271609</v>
      </c>
      <c r="O15" s="28">
        <f t="shared" si="7"/>
        <v>10.313888888888888</v>
      </c>
      <c r="P15" s="28">
        <f t="shared" si="2"/>
        <v>106.37630401234567</v>
      </c>
      <c r="R15" s="29">
        <f t="shared" si="8"/>
        <v>98.738947145561326</v>
      </c>
      <c r="S15" s="29">
        <f t="shared" si="8"/>
        <v>95.145489681992245</v>
      </c>
      <c r="T15" s="12">
        <f t="shared" si="8"/>
        <v>86.569715275044047</v>
      </c>
      <c r="U15">
        <f t="shared" si="10"/>
        <v>-1.4291531277684852</v>
      </c>
      <c r="V15">
        <f t="shared" si="3"/>
        <v>-0.24267711428377872</v>
      </c>
      <c r="W15" s="32">
        <f t="shared" si="9"/>
        <v>-66.976074150969922</v>
      </c>
      <c r="X15">
        <f t="shared" si="11"/>
        <v>1.7876816083335356</v>
      </c>
    </row>
    <row r="16" spans="1:26" x14ac:dyDescent="0.25">
      <c r="A16">
        <f t="shared" si="0"/>
        <v>5</v>
      </c>
      <c r="B16" s="2">
        <f>yields!B15</f>
        <v>42103</v>
      </c>
      <c r="C16" s="13">
        <f>+yields!C15/100</f>
        <v>5.9659999999999999E-3</v>
      </c>
      <c r="D16" s="13">
        <f>+yields!D15/100</f>
        <v>9.4549999999999999E-3</v>
      </c>
      <c r="E16" s="13">
        <f>+yields!E15/100</f>
        <v>1.45706E-2</v>
      </c>
      <c r="F16" s="24"/>
      <c r="G16" s="1">
        <f t="shared" si="1"/>
        <v>2.1777777777777776</v>
      </c>
      <c r="H16" s="3">
        <f t="shared" si="1"/>
        <v>5.5166666666666666</v>
      </c>
      <c r="I16" s="1">
        <f t="shared" si="1"/>
        <v>10.294444444444444</v>
      </c>
      <c r="K16" s="14">
        <f t="shared" si="4"/>
        <v>5.5166666666666666</v>
      </c>
      <c r="L16" s="15">
        <f t="shared" si="5"/>
        <v>30.433611111111109</v>
      </c>
      <c r="M16" s="28">
        <f t="shared" si="6"/>
        <v>2.1777777777777776</v>
      </c>
      <c r="N16" s="28">
        <f t="shared" si="2"/>
        <v>4.7427160493827154</v>
      </c>
      <c r="O16" s="28">
        <f t="shared" si="7"/>
        <v>10.294444444444444</v>
      </c>
      <c r="P16" s="28">
        <f t="shared" si="2"/>
        <v>105.97558641975309</v>
      </c>
      <c r="R16" s="29">
        <f t="shared" si="8"/>
        <v>98.709141753454816</v>
      </c>
      <c r="S16" s="29">
        <f t="shared" si="8"/>
        <v>94.917690727687727</v>
      </c>
      <c r="T16" s="12">
        <f t="shared" si="8"/>
        <v>86.071121938755397</v>
      </c>
      <c r="U16">
        <f t="shared" si="10"/>
        <v>-1.433841692934809</v>
      </c>
      <c r="V16">
        <f t="shared" si="3"/>
        <v>-0.24310158187952041</v>
      </c>
      <c r="W16" s="32">
        <f t="shared" si="9"/>
        <v>-67.53961808968451</v>
      </c>
      <c r="X16">
        <f t="shared" si="11"/>
        <v>0.84141082596795869</v>
      </c>
    </row>
    <row r="17" spans="1:24" x14ac:dyDescent="0.25">
      <c r="A17">
        <f t="shared" si="0"/>
        <v>5</v>
      </c>
      <c r="B17" s="2">
        <f>yields!B16</f>
        <v>42110</v>
      </c>
      <c r="C17" s="13">
        <f>+yields!C16/100</f>
        <v>6.6274000000000003E-3</v>
      </c>
      <c r="D17" s="13">
        <f>+yields!D16/100</f>
        <v>9.7616000000000005E-3</v>
      </c>
      <c r="E17" s="13">
        <f>+yields!E16/100</f>
        <v>1.46065E-2</v>
      </c>
      <c r="F17" s="24"/>
      <c r="G17" s="1">
        <f t="shared" si="1"/>
        <v>2.1583333333333332</v>
      </c>
      <c r="H17" s="3">
        <f t="shared" si="1"/>
        <v>5.4972222222222218</v>
      </c>
      <c r="I17" s="1">
        <f t="shared" si="1"/>
        <v>10.275</v>
      </c>
      <c r="K17" s="14">
        <f t="shared" si="4"/>
        <v>5.4972222222222218</v>
      </c>
      <c r="L17" s="15">
        <f t="shared" si="5"/>
        <v>30.219452160493823</v>
      </c>
      <c r="M17" s="28">
        <f t="shared" si="6"/>
        <v>2.1583333333333332</v>
      </c>
      <c r="N17" s="28">
        <f t="shared" si="2"/>
        <v>4.658402777777777</v>
      </c>
      <c r="O17" s="28">
        <f t="shared" si="7"/>
        <v>10.275</v>
      </c>
      <c r="P17" s="28">
        <f t="shared" si="2"/>
        <v>105.575625</v>
      </c>
      <c r="R17" s="29">
        <f t="shared" si="8"/>
        <v>98.579767980169592</v>
      </c>
      <c r="S17" s="29">
        <f t="shared" si="8"/>
        <v>94.775269174769065</v>
      </c>
      <c r="T17" s="12">
        <f t="shared" si="8"/>
        <v>86.063758415007925</v>
      </c>
      <c r="U17">
        <f t="shared" si="10"/>
        <v>-1.4413858211800341</v>
      </c>
      <c r="V17">
        <f t="shared" si="3"/>
        <v>-0.24235971753334695</v>
      </c>
      <c r="W17" s="32">
        <f t="shared" si="9"/>
        <v>-68.174598826384454</v>
      </c>
      <c r="X17">
        <f t="shared" si="11"/>
        <v>0.94016038979782834</v>
      </c>
    </row>
    <row r="18" spans="1:24" x14ac:dyDescent="0.25">
      <c r="A18">
        <f t="shared" si="0"/>
        <v>5</v>
      </c>
      <c r="B18" s="2">
        <f>yields!B17</f>
        <v>42117</v>
      </c>
      <c r="C18" s="13">
        <f>+yields!C17/100</f>
        <v>7.4215000000000001E-3</v>
      </c>
      <c r="D18" s="13">
        <f>+yields!D17/100</f>
        <v>1.08626E-2</v>
      </c>
      <c r="E18" s="13">
        <f>+yields!E17/100</f>
        <v>1.5782600000000001E-2</v>
      </c>
      <c r="F18" s="24"/>
      <c r="G18" s="1">
        <f t="shared" si="1"/>
        <v>2.1388888888888888</v>
      </c>
      <c r="H18" s="3">
        <f t="shared" si="1"/>
        <v>5.4777777777777779</v>
      </c>
      <c r="I18" s="1">
        <f t="shared" si="1"/>
        <v>10.255555555555556</v>
      </c>
      <c r="K18" s="14">
        <f t="shared" si="4"/>
        <v>5.4777777777777779</v>
      </c>
      <c r="L18" s="15">
        <f t="shared" si="5"/>
        <v>30.00604938271605</v>
      </c>
      <c r="M18" s="28">
        <f t="shared" si="6"/>
        <v>2.1388888888888888</v>
      </c>
      <c r="N18" s="28">
        <f t="shared" si="2"/>
        <v>4.5748456790123457</v>
      </c>
      <c r="O18" s="28">
        <f t="shared" si="7"/>
        <v>10.255555555555556</v>
      </c>
      <c r="P18" s="28">
        <f t="shared" si="2"/>
        <v>105.17641975308644</v>
      </c>
      <c r="R18" s="29">
        <f t="shared" si="8"/>
        <v>98.425156030264489</v>
      </c>
      <c r="S18" s="29">
        <f t="shared" si="8"/>
        <v>94.223279273674208</v>
      </c>
      <c r="T18" s="12">
        <f t="shared" si="8"/>
        <v>85.056084357408864</v>
      </c>
      <c r="U18">
        <f t="shared" si="10"/>
        <v>-1.4431667815053537</v>
      </c>
      <c r="V18">
        <f t="shared" si="3"/>
        <v>-0.24340096945811346</v>
      </c>
      <c r="W18" s="32">
        <f t="shared" si="9"/>
        <v>-68.523369764589248</v>
      </c>
      <c r="X18">
        <f t="shared" si="11"/>
        <v>0.511584877958704</v>
      </c>
    </row>
    <row r="19" spans="1:24" x14ac:dyDescent="0.25">
      <c r="A19">
        <f t="shared" si="0"/>
        <v>5</v>
      </c>
      <c r="B19" s="2">
        <f>yields!B18</f>
        <v>42124</v>
      </c>
      <c r="C19" s="13">
        <f>+yields!C18/100</f>
        <v>7.6934999999999998E-3</v>
      </c>
      <c r="D19" s="13">
        <f>+yields!D18/100</f>
        <v>1.15201E-2</v>
      </c>
      <c r="E19" s="13">
        <f>+yields!E18/100</f>
        <v>1.6869499999999999E-2</v>
      </c>
      <c r="F19" s="24"/>
      <c r="G19" s="1">
        <f t="shared" si="1"/>
        <v>2.1194444444444445</v>
      </c>
      <c r="H19" s="3">
        <f t="shared" si="1"/>
        <v>5.458333333333333</v>
      </c>
      <c r="I19" s="1">
        <f t="shared" si="1"/>
        <v>10.236111111111111</v>
      </c>
      <c r="K19" s="14">
        <f t="shared" si="4"/>
        <v>5.458333333333333</v>
      </c>
      <c r="L19" s="15">
        <f t="shared" si="5"/>
        <v>29.793402777777775</v>
      </c>
      <c r="M19" s="28">
        <f t="shared" si="6"/>
        <v>2.1194444444444445</v>
      </c>
      <c r="N19" s="28">
        <f t="shared" ref="N19:N54" si="12">+M19^2</f>
        <v>4.4920447530864198</v>
      </c>
      <c r="O19" s="28">
        <f t="shared" si="7"/>
        <v>10.236111111111111</v>
      </c>
      <c r="P19" s="28">
        <f t="shared" ref="P19:P54" si="13">+O19^2</f>
        <v>104.77797067901234</v>
      </c>
      <c r="R19" s="29">
        <f t="shared" si="8"/>
        <v>98.382627645611038</v>
      </c>
      <c r="S19" s="29">
        <f t="shared" si="8"/>
        <v>93.905564109862866</v>
      </c>
      <c r="T19" s="12">
        <f t="shared" si="8"/>
        <v>84.140844049328194</v>
      </c>
      <c r="U19">
        <f t="shared" si="10"/>
        <v>-1.4469687782245373</v>
      </c>
      <c r="V19">
        <f t="shared" si="3"/>
        <v>-0.24481260785855405</v>
      </c>
      <c r="W19" s="32">
        <f t="shared" si="9"/>
        <v>-69.049765872162453</v>
      </c>
      <c r="X19">
        <f t="shared" si="11"/>
        <v>0.76819938859054027</v>
      </c>
    </row>
    <row r="20" spans="1:24" x14ac:dyDescent="0.25">
      <c r="A20">
        <f t="shared" si="0"/>
        <v>5</v>
      </c>
      <c r="B20" s="2">
        <f>yields!B19</f>
        <v>42131</v>
      </c>
      <c r="C20" s="13">
        <f>+yields!C19/100</f>
        <v>7.8710999999999989E-3</v>
      </c>
      <c r="D20" s="13">
        <f>+yields!D19/100</f>
        <v>1.24511E-2</v>
      </c>
      <c r="E20" s="13">
        <f>+yields!E19/100</f>
        <v>1.8175799999999999E-2</v>
      </c>
      <c r="F20" s="24"/>
      <c r="G20" s="1">
        <f t="shared" si="1"/>
        <v>2.1</v>
      </c>
      <c r="H20" s="3">
        <f t="shared" si="1"/>
        <v>5.4388888888888891</v>
      </c>
      <c r="I20" s="1">
        <f t="shared" si="1"/>
        <v>10.216666666666667</v>
      </c>
      <c r="K20" s="14">
        <f t="shared" si="4"/>
        <v>5.4388888888888891</v>
      </c>
      <c r="L20" s="15">
        <f t="shared" si="5"/>
        <v>29.581512345679016</v>
      </c>
      <c r="M20" s="28">
        <f t="shared" si="6"/>
        <v>2.1</v>
      </c>
      <c r="N20" s="28">
        <f t="shared" si="12"/>
        <v>4.41</v>
      </c>
      <c r="O20" s="28">
        <f t="shared" si="7"/>
        <v>10.216666666666667</v>
      </c>
      <c r="P20" s="28">
        <f t="shared" si="13"/>
        <v>104.38027777777778</v>
      </c>
      <c r="R20" s="29">
        <f t="shared" si="8"/>
        <v>98.360654946020702</v>
      </c>
      <c r="S20" s="29">
        <f t="shared" si="8"/>
        <v>93.452196347711805</v>
      </c>
      <c r="T20" s="12">
        <f t="shared" si="8"/>
        <v>83.052596177663744</v>
      </c>
      <c r="U20">
        <f t="shared" si="10"/>
        <v>-1.4484624071850194</v>
      </c>
      <c r="V20">
        <f t="shared" si="3"/>
        <v>-0.24641180988734929</v>
      </c>
      <c r="W20" s="32">
        <f t="shared" si="9"/>
        <v>-69.484655227677678</v>
      </c>
      <c r="X20">
        <f t="shared" si="11"/>
        <v>0.62982017393131695</v>
      </c>
    </row>
    <row r="21" spans="1:24" x14ac:dyDescent="0.25">
      <c r="A21">
        <f t="shared" si="0"/>
        <v>5</v>
      </c>
      <c r="B21" s="2">
        <f>yields!B20</f>
        <v>42138</v>
      </c>
      <c r="C21" s="13">
        <f>+yields!C20/100</f>
        <v>7.7688999999999996E-3</v>
      </c>
      <c r="D21" s="13">
        <f>+yields!D20/100</f>
        <v>1.26049E-2</v>
      </c>
      <c r="E21" s="13">
        <f>+yields!E20/100</f>
        <v>1.8763700000000001E-2</v>
      </c>
      <c r="F21" s="24"/>
      <c r="G21" s="1">
        <f t="shared" si="1"/>
        <v>2.0805555555555557</v>
      </c>
      <c r="H21" s="3">
        <f t="shared" si="1"/>
        <v>5.4194444444444443</v>
      </c>
      <c r="I21" s="1">
        <f t="shared" si="1"/>
        <v>10.197222222222223</v>
      </c>
      <c r="K21" s="14">
        <f t="shared" si="4"/>
        <v>5.4194444444444443</v>
      </c>
      <c r="L21" s="15">
        <f t="shared" si="5"/>
        <v>29.370378086419752</v>
      </c>
      <c r="M21" s="28">
        <f t="shared" si="6"/>
        <v>2.0805555555555557</v>
      </c>
      <c r="N21" s="28">
        <f t="shared" si="12"/>
        <v>4.3287114197530867</v>
      </c>
      <c r="O21" s="28">
        <f t="shared" si="7"/>
        <v>10.197222222222223</v>
      </c>
      <c r="P21" s="28">
        <f t="shared" si="13"/>
        <v>103.98334104938273</v>
      </c>
      <c r="R21" s="29">
        <f t="shared" si="8"/>
        <v>98.396630238934847</v>
      </c>
      <c r="S21" s="29">
        <f t="shared" si="8"/>
        <v>93.396944513392924</v>
      </c>
      <c r="T21" s="12">
        <f t="shared" si="8"/>
        <v>82.585371749279972</v>
      </c>
      <c r="U21">
        <f t="shared" si="10"/>
        <v>-1.4553790867067136</v>
      </c>
      <c r="V21">
        <f t="shared" si="3"/>
        <v>-0.2472445238992623</v>
      </c>
      <c r="W21" s="32">
        <f t="shared" si="9"/>
        <v>-70.226234257960584</v>
      </c>
      <c r="X21">
        <f t="shared" si="11"/>
        <v>1.0672558248335573</v>
      </c>
    </row>
    <row r="22" spans="1:24" x14ac:dyDescent="0.25">
      <c r="A22">
        <f t="shared" si="0"/>
        <v>5</v>
      </c>
      <c r="B22" s="2">
        <f>yields!B21</f>
        <v>42145</v>
      </c>
      <c r="C22" s="13">
        <f>+yields!C21/100</f>
        <v>7.7415000000000001E-3</v>
      </c>
      <c r="D22" s="13">
        <f>+yields!D21/100</f>
        <v>1.2514600000000001E-2</v>
      </c>
      <c r="E22" s="13">
        <f>+yields!E21/100</f>
        <v>1.8550799999999999E-2</v>
      </c>
      <c r="F22" s="24"/>
      <c r="G22" s="1">
        <f t="shared" si="1"/>
        <v>2.0611111111111109</v>
      </c>
      <c r="H22" s="3">
        <f t="shared" si="1"/>
        <v>5.4</v>
      </c>
      <c r="I22" s="1">
        <f t="shared" si="1"/>
        <v>10.177777777777777</v>
      </c>
      <c r="K22" s="14">
        <f t="shared" si="4"/>
        <v>5.4</v>
      </c>
      <c r="L22" s="15">
        <f t="shared" si="5"/>
        <v>29.160000000000004</v>
      </c>
      <c r="M22" s="28">
        <f t="shared" si="6"/>
        <v>2.0611111111111109</v>
      </c>
      <c r="N22" s="28">
        <f t="shared" si="12"/>
        <v>4.2481790123456777</v>
      </c>
      <c r="O22" s="28">
        <f t="shared" si="7"/>
        <v>10.177777777777777</v>
      </c>
      <c r="P22" s="28">
        <f t="shared" si="13"/>
        <v>103.58716049382714</v>
      </c>
      <c r="R22" s="29">
        <f t="shared" si="8"/>
        <v>98.417053239438047</v>
      </c>
      <c r="S22" s="29">
        <f t="shared" si="8"/>
        <v>93.465402958747262</v>
      </c>
      <c r="T22" s="12">
        <f t="shared" si="8"/>
        <v>82.794717909109792</v>
      </c>
      <c r="U22">
        <f t="shared" si="10"/>
        <v>-1.4646070350350762</v>
      </c>
      <c r="V22">
        <f t="shared" si="3"/>
        <v>-0.24638445495018893</v>
      </c>
      <c r="W22" s="32">
        <f t="shared" si="9"/>
        <v>-71.076237027945993</v>
      </c>
      <c r="X22">
        <f t="shared" si="11"/>
        <v>1.2103778295488699</v>
      </c>
    </row>
    <row r="23" spans="1:24" x14ac:dyDescent="0.25">
      <c r="A23">
        <f t="shared" si="0"/>
        <v>5</v>
      </c>
      <c r="B23" s="2">
        <f>yields!B22</f>
        <v>42152</v>
      </c>
      <c r="C23" s="13">
        <f>+yields!C22/100</f>
        <v>7.2138999999999997E-3</v>
      </c>
      <c r="D23" s="13">
        <f>+yields!D22/100</f>
        <v>1.1453100000000001E-2</v>
      </c>
      <c r="E23" s="13">
        <f>+yields!E22/100</f>
        <v>1.76282E-2</v>
      </c>
      <c r="F23" s="24"/>
      <c r="G23" s="1">
        <f t="shared" ref="G23:I42" si="14">(G$2-$B23)/360</f>
        <v>2.0416666666666665</v>
      </c>
      <c r="H23" s="3">
        <f t="shared" si="14"/>
        <v>5.3805555555555555</v>
      </c>
      <c r="I23" s="1">
        <f t="shared" si="14"/>
        <v>10.158333333333333</v>
      </c>
      <c r="K23" s="14">
        <f t="shared" si="4"/>
        <v>5.3805555555555555</v>
      </c>
      <c r="L23" s="15">
        <f t="shared" si="5"/>
        <v>28.950378086419754</v>
      </c>
      <c r="M23" s="28">
        <f t="shared" si="6"/>
        <v>2.0416666666666665</v>
      </c>
      <c r="N23" s="28">
        <f t="shared" si="12"/>
        <v>4.1684027777777768</v>
      </c>
      <c r="O23" s="28">
        <f t="shared" si="7"/>
        <v>10.158333333333333</v>
      </c>
      <c r="P23" s="28">
        <f t="shared" si="13"/>
        <v>103.19173611111111</v>
      </c>
      <c r="R23" s="29">
        <f t="shared" si="8"/>
        <v>98.537955287204852</v>
      </c>
      <c r="S23" s="29">
        <f t="shared" si="8"/>
        <v>94.023631081030814</v>
      </c>
      <c r="T23" s="12">
        <f t="shared" si="8"/>
        <v>83.604475581489595</v>
      </c>
      <c r="U23">
        <f t="shared" si="10"/>
        <v>-1.4802122357436347</v>
      </c>
      <c r="V23">
        <f t="shared" si="3"/>
        <v>-0.24503967540383137</v>
      </c>
      <c r="W23" s="32">
        <f t="shared" si="9"/>
        <v>-72.319869579044749</v>
      </c>
      <c r="X23">
        <f t="shared" si="11"/>
        <v>1.7497163652737902</v>
      </c>
    </row>
    <row r="24" spans="1:24" x14ac:dyDescent="0.25">
      <c r="A24">
        <f t="shared" si="0"/>
        <v>5</v>
      </c>
      <c r="B24" s="2">
        <f>yields!B23</f>
        <v>42159</v>
      </c>
      <c r="C24" s="13">
        <f>+yields!C23/100</f>
        <v>6.8084E-3</v>
      </c>
      <c r="D24" s="13">
        <f>+yields!D23/100</f>
        <v>1.1812700000000001E-2</v>
      </c>
      <c r="E24" s="13">
        <f>+yields!E23/100</f>
        <v>1.8450299999999999E-2</v>
      </c>
      <c r="F24" s="24"/>
      <c r="G24" s="1">
        <f t="shared" si="14"/>
        <v>2.0222222222222221</v>
      </c>
      <c r="H24" s="3">
        <f t="shared" si="14"/>
        <v>5.3611111111111107</v>
      </c>
      <c r="I24" s="1">
        <f t="shared" si="14"/>
        <v>10.138888888888889</v>
      </c>
      <c r="K24" s="14">
        <f t="shared" si="4"/>
        <v>5.3611111111111107</v>
      </c>
      <c r="L24" s="15">
        <f t="shared" si="5"/>
        <v>28.741512345679009</v>
      </c>
      <c r="M24" s="28">
        <f t="shared" si="6"/>
        <v>2.0222222222222221</v>
      </c>
      <c r="N24" s="28">
        <f t="shared" si="12"/>
        <v>4.0893827160493821</v>
      </c>
      <c r="O24" s="28">
        <f t="shared" si="7"/>
        <v>10.138888888888889</v>
      </c>
      <c r="P24" s="28">
        <f t="shared" si="13"/>
        <v>102.79706790123457</v>
      </c>
      <c r="R24" s="29">
        <f t="shared" si="8"/>
        <v>98.63262489922468</v>
      </c>
      <c r="S24" s="29">
        <f t="shared" si="8"/>
        <v>93.863442697722164</v>
      </c>
      <c r="T24" s="12">
        <f t="shared" si="8"/>
        <v>82.938937504200098</v>
      </c>
      <c r="U24">
        <f t="shared" si="10"/>
        <v>-1.4850806963499679</v>
      </c>
      <c r="V24">
        <f t="shared" si="3"/>
        <v>-0.24616523108351013</v>
      </c>
      <c r="W24" s="32">
        <f t="shared" si="9"/>
        <v>-73.030647286985825</v>
      </c>
      <c r="X24">
        <f t="shared" si="11"/>
        <v>0.98282493051817799</v>
      </c>
    </row>
    <row r="25" spans="1:24" x14ac:dyDescent="0.25">
      <c r="A25">
        <f t="shared" si="0"/>
        <v>5</v>
      </c>
      <c r="B25" s="2">
        <f>yields!B24</f>
        <v>42166</v>
      </c>
      <c r="C25" s="13">
        <f>+yields!C24/100</f>
        <v>7.5036999999999994E-3</v>
      </c>
      <c r="D25" s="13">
        <f>+yields!D24/100</f>
        <v>1.26053E-2</v>
      </c>
      <c r="E25" s="13">
        <f>+yields!E24/100</f>
        <v>1.9277499999999999E-2</v>
      </c>
      <c r="F25" s="24"/>
      <c r="G25" s="1">
        <f t="shared" si="14"/>
        <v>2.0027777777777778</v>
      </c>
      <c r="H25" s="3">
        <f t="shared" si="14"/>
        <v>5.3416666666666668</v>
      </c>
      <c r="I25" s="1">
        <f t="shared" si="14"/>
        <v>10.119444444444444</v>
      </c>
      <c r="K25" s="14">
        <f t="shared" si="4"/>
        <v>5.3416666666666668</v>
      </c>
      <c r="L25" s="15">
        <f t="shared" si="5"/>
        <v>28.533402777777781</v>
      </c>
      <c r="M25" s="28">
        <f t="shared" si="6"/>
        <v>2.0027777777777778</v>
      </c>
      <c r="N25" s="28">
        <f t="shared" si="12"/>
        <v>4.0111188271604936</v>
      </c>
      <c r="O25" s="28">
        <f t="shared" si="7"/>
        <v>10.119444444444444</v>
      </c>
      <c r="P25" s="28">
        <f t="shared" si="13"/>
        <v>102.40315586419752</v>
      </c>
      <c r="R25" s="29">
        <f t="shared" si="8"/>
        <v>98.508411687744854</v>
      </c>
      <c r="S25" s="29">
        <f t="shared" si="8"/>
        <v>93.488354258739363</v>
      </c>
      <c r="T25" s="12">
        <f t="shared" si="8"/>
        <v>82.277081656310628</v>
      </c>
      <c r="U25">
        <f t="shared" si="10"/>
        <v>-1.4899663243259904</v>
      </c>
      <c r="V25">
        <f t="shared" si="3"/>
        <v>-0.24673059424025326</v>
      </c>
      <c r="W25" s="32">
        <f t="shared" si="9"/>
        <v>-73.586135068256624</v>
      </c>
      <c r="X25">
        <f t="shared" si="11"/>
        <v>0.76062283699598332</v>
      </c>
    </row>
    <row r="26" spans="1:24" x14ac:dyDescent="0.25">
      <c r="A26">
        <f t="shared" si="0"/>
        <v>5</v>
      </c>
      <c r="B26" s="2">
        <f>yields!B25</f>
        <v>42173</v>
      </c>
      <c r="C26" s="13">
        <f>+yields!C25/100</f>
        <v>7.1319999999999995E-3</v>
      </c>
      <c r="D26" s="13">
        <f>+yields!D25/100</f>
        <v>1.1993700000000001E-2</v>
      </c>
      <c r="E26" s="13">
        <f>+yields!E25/100</f>
        <v>1.8945699999999999E-2</v>
      </c>
      <c r="F26" s="24"/>
      <c r="G26" s="1">
        <f t="shared" si="14"/>
        <v>1.9833333333333334</v>
      </c>
      <c r="H26" s="3">
        <f t="shared" si="14"/>
        <v>5.322222222222222</v>
      </c>
      <c r="I26" s="1">
        <f t="shared" si="14"/>
        <v>10.1</v>
      </c>
      <c r="K26" s="14">
        <f t="shared" si="4"/>
        <v>5.322222222222222</v>
      </c>
      <c r="L26" s="15">
        <f t="shared" si="5"/>
        <v>28.326049382716047</v>
      </c>
      <c r="M26" s="28">
        <f t="shared" si="6"/>
        <v>1.9833333333333334</v>
      </c>
      <c r="N26" s="28">
        <f t="shared" si="12"/>
        <v>3.9336111111111114</v>
      </c>
      <c r="O26" s="28">
        <f t="shared" si="7"/>
        <v>10.1</v>
      </c>
      <c r="P26" s="28">
        <f t="shared" si="13"/>
        <v>102.00999999999999</v>
      </c>
      <c r="R26" s="29">
        <f t="shared" si="8"/>
        <v>98.595443902419248</v>
      </c>
      <c r="S26" s="29">
        <f t="shared" si="8"/>
        <v>93.816153123097195</v>
      </c>
      <c r="T26" s="12">
        <f t="shared" si="8"/>
        <v>82.584219576679402</v>
      </c>
      <c r="U26">
        <f t="shared" si="10"/>
        <v>-1.503025340168221</v>
      </c>
      <c r="V26">
        <f t="shared" si="3"/>
        <v>-0.24625011285177539</v>
      </c>
      <c r="W26" s="32">
        <f t="shared" si="9"/>
        <v>-74.711670877906343</v>
      </c>
      <c r="X26">
        <f t="shared" si="11"/>
        <v>1.529548750733678</v>
      </c>
    </row>
    <row r="27" spans="1:24" x14ac:dyDescent="0.25">
      <c r="A27">
        <f t="shared" si="0"/>
        <v>5</v>
      </c>
      <c r="B27" s="2">
        <f>yields!B26</f>
        <v>42180</v>
      </c>
      <c r="C27" s="13">
        <f>+yields!C26/100</f>
        <v>7.1355000000000003E-3</v>
      </c>
      <c r="D27" s="13">
        <f>+yields!D26/100</f>
        <v>1.23908E-2</v>
      </c>
      <c r="E27" s="13">
        <f>+yields!E26/100</f>
        <v>1.9242499999999999E-2</v>
      </c>
      <c r="F27" s="24"/>
      <c r="G27" s="1">
        <f t="shared" si="14"/>
        <v>1.9638888888888888</v>
      </c>
      <c r="H27" s="3">
        <f t="shared" si="14"/>
        <v>5.302777777777778</v>
      </c>
      <c r="I27" s="1">
        <f t="shared" si="14"/>
        <v>10.080555555555556</v>
      </c>
      <c r="K27" s="14">
        <f t="shared" si="4"/>
        <v>5.302777777777778</v>
      </c>
      <c r="L27" s="15">
        <f t="shared" si="5"/>
        <v>28.119452160493829</v>
      </c>
      <c r="M27" s="28">
        <f t="shared" si="6"/>
        <v>1.9638888888888888</v>
      </c>
      <c r="N27" s="28">
        <f t="shared" si="12"/>
        <v>3.8568595679012341</v>
      </c>
      <c r="O27" s="28">
        <f t="shared" si="7"/>
        <v>10.080555555555556</v>
      </c>
      <c r="P27" s="28">
        <f t="shared" si="13"/>
        <v>101.61760030864198</v>
      </c>
      <c r="R27" s="29">
        <f t="shared" si="8"/>
        <v>98.608440049194286</v>
      </c>
      <c r="S27" s="29">
        <f t="shared" si="8"/>
        <v>93.640644664597843</v>
      </c>
      <c r="T27" s="12">
        <f t="shared" si="8"/>
        <v>82.367842161371797</v>
      </c>
      <c r="U27">
        <f t="shared" si="10"/>
        <v>-1.5093329610880604</v>
      </c>
      <c r="V27">
        <f t="shared" si="3"/>
        <v>-0.24600839212216125</v>
      </c>
      <c r="W27" s="32">
        <f t="shared" si="9"/>
        <v>-75.455504555818081</v>
      </c>
      <c r="X27">
        <f t="shared" si="11"/>
        <v>0.99560573223869131</v>
      </c>
    </row>
    <row r="28" spans="1:24" x14ac:dyDescent="0.25">
      <c r="A28">
        <f t="shared" si="0"/>
        <v>5</v>
      </c>
      <c r="B28" s="2">
        <f>yields!B27</f>
        <v>42187</v>
      </c>
      <c r="C28" s="13">
        <f>+yields!C27/100</f>
        <v>5.8301999999999998E-3</v>
      </c>
      <c r="D28" s="13">
        <f>+yields!D27/100</f>
        <v>1.08547E-2</v>
      </c>
      <c r="E28" s="13">
        <f>+yields!E27/100</f>
        <v>1.8134999999999998E-2</v>
      </c>
      <c r="F28" s="24"/>
      <c r="G28" s="1">
        <f t="shared" si="14"/>
        <v>1.9444444444444444</v>
      </c>
      <c r="H28" s="3">
        <f t="shared" si="14"/>
        <v>5.2833333333333332</v>
      </c>
      <c r="I28" s="1">
        <f t="shared" si="14"/>
        <v>10.061111111111112</v>
      </c>
      <c r="K28" s="14">
        <f t="shared" si="4"/>
        <v>5.2833333333333332</v>
      </c>
      <c r="L28" s="15">
        <f t="shared" si="5"/>
        <v>27.913611111111109</v>
      </c>
      <c r="M28" s="28">
        <f t="shared" si="6"/>
        <v>1.9444444444444444</v>
      </c>
      <c r="N28" s="28">
        <f t="shared" si="12"/>
        <v>3.7808641975308639</v>
      </c>
      <c r="O28" s="28">
        <f t="shared" si="7"/>
        <v>10.061111111111112</v>
      </c>
      <c r="P28" s="28">
        <f t="shared" si="13"/>
        <v>101.22595679012348</v>
      </c>
      <c r="R28" s="29">
        <f t="shared" si="8"/>
        <v>98.872751598204061</v>
      </c>
      <c r="S28" s="29">
        <f t="shared" si="8"/>
        <v>94.426446512964802</v>
      </c>
      <c r="T28" s="12">
        <f t="shared" si="8"/>
        <v>83.321943011337112</v>
      </c>
      <c r="U28">
        <f t="shared" si="10"/>
        <v>-1.5274877421088922</v>
      </c>
      <c r="V28">
        <f t="shared" si="3"/>
        <v>-0.24480516716003492</v>
      </c>
      <c r="W28" s="32">
        <f t="shared" si="9"/>
        <v>-76.998111768858578</v>
      </c>
      <c r="X28">
        <f t="shared" si="11"/>
        <v>2.0443932117627739</v>
      </c>
    </row>
    <row r="29" spans="1:24" x14ac:dyDescent="0.25">
      <c r="A29">
        <f t="shared" si="0"/>
        <v>5</v>
      </c>
      <c r="B29" s="2">
        <f>yields!B28</f>
        <v>42194</v>
      </c>
      <c r="C29" s="13">
        <f>+yields!C28/100</f>
        <v>5.5710000000000004E-3</v>
      </c>
      <c r="D29" s="13">
        <f>+yields!D28/100</f>
        <v>9.7540000000000005E-3</v>
      </c>
      <c r="E29" s="13">
        <f>+yields!E28/100</f>
        <v>1.68623E-2</v>
      </c>
      <c r="F29" s="24"/>
      <c r="G29" s="1">
        <f t="shared" si="14"/>
        <v>1.925</v>
      </c>
      <c r="H29" s="3">
        <f t="shared" si="14"/>
        <v>5.2638888888888893</v>
      </c>
      <c r="I29" s="1">
        <f t="shared" si="14"/>
        <v>10.041666666666666</v>
      </c>
      <c r="K29" s="14">
        <f t="shared" si="4"/>
        <v>5.2638888888888893</v>
      </c>
      <c r="L29" s="15">
        <f t="shared" si="5"/>
        <v>27.708526234567906</v>
      </c>
      <c r="M29" s="28">
        <f t="shared" si="6"/>
        <v>1.925</v>
      </c>
      <c r="N29" s="28">
        <f t="shared" si="12"/>
        <v>3.7056250000000004</v>
      </c>
      <c r="O29" s="28">
        <f t="shared" si="7"/>
        <v>10.041666666666666</v>
      </c>
      <c r="P29" s="28">
        <f t="shared" si="13"/>
        <v>100.83506944444443</v>
      </c>
      <c r="R29" s="29">
        <f t="shared" si="8"/>
        <v>98.933312395379275</v>
      </c>
      <c r="S29" s="29">
        <f t="shared" si="8"/>
        <v>94.99518572769567</v>
      </c>
      <c r="T29" s="12">
        <f t="shared" si="8"/>
        <v>84.423397956533293</v>
      </c>
      <c r="U29">
        <f t="shared" si="10"/>
        <v>-1.5455507179775188</v>
      </c>
      <c r="V29">
        <f t="shared" si="3"/>
        <v>-0.2426408601411785</v>
      </c>
      <c r="W29" s="32">
        <f t="shared" si="9"/>
        <v>-78.395832173091179</v>
      </c>
      <c r="X29">
        <f t="shared" si="11"/>
        <v>1.8152658190222049</v>
      </c>
    </row>
    <row r="30" spans="1:24" x14ac:dyDescent="0.25">
      <c r="A30">
        <f t="shared" si="0"/>
        <v>5</v>
      </c>
      <c r="B30" s="2">
        <f>yields!B29</f>
        <v>42201</v>
      </c>
      <c r="C30" s="13">
        <f>+yields!C29/100</f>
        <v>5.0948E-3</v>
      </c>
      <c r="D30" s="13">
        <f>+yields!D29/100</f>
        <v>9.4447000000000003E-3</v>
      </c>
      <c r="E30" s="13">
        <f>+yields!E29/100</f>
        <v>1.6594600000000001E-2</v>
      </c>
      <c r="F30" s="24"/>
      <c r="G30" s="1">
        <f t="shared" si="14"/>
        <v>1.9055555555555554</v>
      </c>
      <c r="H30" s="3">
        <f t="shared" si="14"/>
        <v>5.2444444444444445</v>
      </c>
      <c r="I30" s="1">
        <f t="shared" si="14"/>
        <v>10.022222222222222</v>
      </c>
      <c r="K30" s="14">
        <f t="shared" si="4"/>
        <v>5.2444444444444445</v>
      </c>
      <c r="L30" s="15">
        <f t="shared" si="5"/>
        <v>27.504197530864197</v>
      </c>
      <c r="M30" s="28">
        <f t="shared" si="6"/>
        <v>1.9055555555555554</v>
      </c>
      <c r="N30" s="28">
        <f t="shared" si="12"/>
        <v>3.6311419753086414</v>
      </c>
      <c r="O30" s="28">
        <f t="shared" si="7"/>
        <v>10.022222222222222</v>
      </c>
      <c r="P30" s="28">
        <f t="shared" si="13"/>
        <v>100.44493827160494</v>
      </c>
      <c r="R30" s="29">
        <f t="shared" si="8"/>
        <v>99.033855016875094</v>
      </c>
      <c r="S30" s="29">
        <f t="shared" si="8"/>
        <v>95.167450949408334</v>
      </c>
      <c r="T30" s="12">
        <f t="shared" si="8"/>
        <v>84.677965234546278</v>
      </c>
      <c r="U30">
        <f t="shared" si="10"/>
        <v>-1.5567929695488141</v>
      </c>
      <c r="V30">
        <f t="shared" si="3"/>
        <v>-0.24192332369950265</v>
      </c>
      <c r="W30" s="32">
        <f t="shared" si="9"/>
        <v>-79.493333081831736</v>
      </c>
      <c r="X30">
        <f t="shared" si="11"/>
        <v>1.3999480308052314</v>
      </c>
    </row>
    <row r="31" spans="1:24" x14ac:dyDescent="0.25">
      <c r="A31">
        <f t="shared" si="0"/>
        <v>5</v>
      </c>
      <c r="B31" s="2">
        <f>yields!B30</f>
        <v>42208</v>
      </c>
      <c r="C31" s="13">
        <f>+yields!C30/100</f>
        <v>5.2337999999999994E-3</v>
      </c>
      <c r="D31" s="13">
        <f>+yields!D30/100</f>
        <v>8.6995000000000006E-3</v>
      </c>
      <c r="E31" s="13">
        <f>+yields!E30/100</f>
        <v>1.5935500000000002E-2</v>
      </c>
      <c r="F31" s="24"/>
      <c r="G31" s="1">
        <f t="shared" si="14"/>
        <v>1.8861111111111111</v>
      </c>
      <c r="H31" s="3">
        <f t="shared" si="14"/>
        <v>5.2249999999999996</v>
      </c>
      <c r="I31" s="1">
        <f t="shared" si="14"/>
        <v>10.002777777777778</v>
      </c>
      <c r="K31" s="14">
        <f t="shared" si="4"/>
        <v>5.2249999999999996</v>
      </c>
      <c r="L31" s="15">
        <f t="shared" si="5"/>
        <v>27.300624999999997</v>
      </c>
      <c r="M31" s="28">
        <f t="shared" si="6"/>
        <v>1.8861111111111111</v>
      </c>
      <c r="N31" s="28">
        <f t="shared" si="12"/>
        <v>3.5574151234567899</v>
      </c>
      <c r="O31" s="28">
        <f t="shared" si="7"/>
        <v>10.002777777777778</v>
      </c>
      <c r="P31" s="28">
        <f t="shared" si="13"/>
        <v>100.05556327160495</v>
      </c>
      <c r="R31" s="29">
        <f t="shared" si="8"/>
        <v>99.017703527211381</v>
      </c>
      <c r="S31" s="29">
        <f t="shared" si="8"/>
        <v>95.556270942234704</v>
      </c>
      <c r="T31" s="12">
        <f t="shared" si="8"/>
        <v>85.265585512112935</v>
      </c>
      <c r="U31">
        <f t="shared" si="10"/>
        <v>-1.5736697623497677</v>
      </c>
      <c r="V31">
        <f t="shared" si="3"/>
        <v>-0.2408104585953843</v>
      </c>
      <c r="W31" s="32">
        <f t="shared" si="9"/>
        <v>-80.797739785427666</v>
      </c>
      <c r="X31">
        <f t="shared" si="11"/>
        <v>1.6409007561088762</v>
      </c>
    </row>
    <row r="32" spans="1:24" x14ac:dyDescent="0.25">
      <c r="A32">
        <f t="shared" si="0"/>
        <v>5</v>
      </c>
      <c r="B32" s="2">
        <f>yields!B31</f>
        <v>42215</v>
      </c>
      <c r="C32" s="13">
        <f>+yields!C31/100</f>
        <v>5.3927000000000003E-3</v>
      </c>
      <c r="D32" s="13">
        <f>+yields!D31/100</f>
        <v>9.3521999999999997E-3</v>
      </c>
      <c r="E32" s="13">
        <f>+yields!E31/100</f>
        <v>1.5749800000000001E-2</v>
      </c>
      <c r="F32" s="24"/>
      <c r="G32" s="1">
        <f t="shared" si="14"/>
        <v>1.8666666666666667</v>
      </c>
      <c r="H32" s="3">
        <f t="shared" si="14"/>
        <v>5.2055555555555557</v>
      </c>
      <c r="I32" s="1">
        <f t="shared" si="14"/>
        <v>9.9833333333333325</v>
      </c>
      <c r="K32" s="14">
        <f t="shared" si="4"/>
        <v>5.2055555555555557</v>
      </c>
      <c r="L32" s="15">
        <f t="shared" si="5"/>
        <v>27.097808641975309</v>
      </c>
      <c r="M32" s="28">
        <f t="shared" si="6"/>
        <v>1.8666666666666667</v>
      </c>
      <c r="N32" s="28">
        <f t="shared" si="12"/>
        <v>3.4844444444444447</v>
      </c>
      <c r="O32" s="28">
        <f t="shared" si="7"/>
        <v>9.9833333333333325</v>
      </c>
      <c r="P32" s="28">
        <f t="shared" si="13"/>
        <v>99.666944444444425</v>
      </c>
      <c r="R32" s="29">
        <f t="shared" si="8"/>
        <v>98.998412302228019</v>
      </c>
      <c r="S32" s="29">
        <f t="shared" si="8"/>
        <v>95.248264114535047</v>
      </c>
      <c r="T32" s="12">
        <f t="shared" si="8"/>
        <v>85.45027968626809</v>
      </c>
      <c r="U32">
        <f t="shared" si="10"/>
        <v>-1.579346377685958</v>
      </c>
      <c r="V32">
        <f t="shared" si="3"/>
        <v>-0.23908886523453185</v>
      </c>
      <c r="W32" s="32">
        <f t="shared" si="9"/>
        <v>-81.534730155812966</v>
      </c>
      <c r="X32">
        <f t="shared" si="11"/>
        <v>0.91214231034495441</v>
      </c>
    </row>
    <row r="33" spans="1:24" x14ac:dyDescent="0.25">
      <c r="A33">
        <f t="shared" si="0"/>
        <v>5</v>
      </c>
      <c r="B33" s="2">
        <f>yields!B32</f>
        <v>42222</v>
      </c>
      <c r="C33" s="13">
        <f>+yields!C32/100</f>
        <v>5.2112E-3</v>
      </c>
      <c r="D33" s="13">
        <f>+yields!D32/100</f>
        <v>8.7165999999999997E-3</v>
      </c>
      <c r="E33" s="13">
        <f>+yields!E32/100</f>
        <v>1.52955E-2</v>
      </c>
      <c r="F33" s="24"/>
      <c r="G33" s="1">
        <f t="shared" si="14"/>
        <v>1.8472222222222223</v>
      </c>
      <c r="H33" s="3">
        <f t="shared" si="14"/>
        <v>5.1861111111111109</v>
      </c>
      <c r="I33" s="1">
        <f t="shared" si="14"/>
        <v>9.9638888888888886</v>
      </c>
      <c r="K33" s="14">
        <f t="shared" si="4"/>
        <v>5.1861111111111109</v>
      </c>
      <c r="L33" s="15">
        <f t="shared" si="5"/>
        <v>26.89574845679012</v>
      </c>
      <c r="M33" s="28">
        <f t="shared" si="6"/>
        <v>1.8472222222222223</v>
      </c>
      <c r="N33" s="28">
        <f t="shared" si="12"/>
        <v>3.4122299382716053</v>
      </c>
      <c r="O33" s="28">
        <f t="shared" si="7"/>
        <v>9.9638888888888886</v>
      </c>
      <c r="P33" s="28">
        <f t="shared" si="13"/>
        <v>99.279081790123456</v>
      </c>
      <c r="R33" s="29">
        <f t="shared" si="8"/>
        <v>99.041993953504701</v>
      </c>
      <c r="S33" s="29">
        <f t="shared" si="8"/>
        <v>95.580127764449003</v>
      </c>
      <c r="T33" s="12">
        <f t="shared" si="8"/>
        <v>85.86424680001133</v>
      </c>
      <c r="U33">
        <f t="shared" si="10"/>
        <v>-1.5948474176031069</v>
      </c>
      <c r="V33">
        <f t="shared" si="3"/>
        <v>-0.23833753283681097</v>
      </c>
      <c r="W33" s="32">
        <f t="shared" si="9"/>
        <v>-82.841413267766242</v>
      </c>
      <c r="X33">
        <f t="shared" si="11"/>
        <v>1.6026092310064799</v>
      </c>
    </row>
    <row r="34" spans="1:24" x14ac:dyDescent="0.25">
      <c r="A34">
        <f t="shared" si="0"/>
        <v>5</v>
      </c>
      <c r="B34" s="2">
        <f>yields!B33</f>
        <v>42229</v>
      </c>
      <c r="C34" s="13">
        <f>+yields!C33/100</f>
        <v>5.1098000000000003E-3</v>
      </c>
      <c r="D34" s="13">
        <f>+yields!D33/100</f>
        <v>8.2602999999999999E-3</v>
      </c>
      <c r="E34" s="13">
        <f>+yields!E33/100</f>
        <v>1.4807499999999999E-2</v>
      </c>
      <c r="F34" s="24"/>
      <c r="G34" s="1">
        <f t="shared" si="14"/>
        <v>1.8277777777777777</v>
      </c>
      <c r="H34" s="3">
        <f t="shared" si="14"/>
        <v>5.166666666666667</v>
      </c>
      <c r="I34" s="1">
        <f t="shared" si="14"/>
        <v>9.9444444444444446</v>
      </c>
      <c r="K34" s="14">
        <f t="shared" si="4"/>
        <v>5.166666666666667</v>
      </c>
      <c r="L34" s="15">
        <f t="shared" si="5"/>
        <v>26.694444444444446</v>
      </c>
      <c r="M34" s="28">
        <f t="shared" si="6"/>
        <v>1.8277777777777777</v>
      </c>
      <c r="N34" s="28">
        <f t="shared" si="12"/>
        <v>3.3407716049382712</v>
      </c>
      <c r="O34" s="28">
        <f t="shared" si="7"/>
        <v>9.9444444444444446</v>
      </c>
      <c r="P34" s="28">
        <f t="shared" si="13"/>
        <v>98.891975308641975</v>
      </c>
      <c r="R34" s="29">
        <f t="shared" si="8"/>
        <v>99.070389951607538</v>
      </c>
      <c r="S34" s="29">
        <f t="shared" si="8"/>
        <v>95.821967958571875</v>
      </c>
      <c r="T34" s="12">
        <f t="shared" si="8"/>
        <v>86.307614307657715</v>
      </c>
      <c r="U34">
        <f t="shared" si="10"/>
        <v>-1.6093722161554911</v>
      </c>
      <c r="V34">
        <f t="shared" si="3"/>
        <v>-0.23728492482929567</v>
      </c>
      <c r="W34" s="32">
        <f t="shared" si="9"/>
        <v>-84.09866084642384</v>
      </c>
      <c r="X34">
        <f t="shared" si="11"/>
        <v>1.5176558789428585</v>
      </c>
    </row>
    <row r="35" spans="1:24" x14ac:dyDescent="0.25">
      <c r="A35">
        <f t="shared" si="0"/>
        <v>5</v>
      </c>
      <c r="B35" s="2">
        <f>yields!B34</f>
        <v>42236</v>
      </c>
      <c r="C35" s="13">
        <f>+yields!C34/100</f>
        <v>4.5037999999999996E-3</v>
      </c>
      <c r="D35" s="13">
        <f>+yields!D34/100</f>
        <v>7.3125999999999998E-3</v>
      </c>
      <c r="E35" s="13">
        <f>+yields!E34/100</f>
        <v>1.37751E-2</v>
      </c>
      <c r="F35" s="24"/>
      <c r="G35" s="1">
        <f t="shared" si="14"/>
        <v>1.8083333333333333</v>
      </c>
      <c r="H35" s="3">
        <f t="shared" si="14"/>
        <v>5.1472222222222221</v>
      </c>
      <c r="I35" s="1">
        <f t="shared" si="14"/>
        <v>9.9250000000000007</v>
      </c>
      <c r="K35" s="14">
        <f t="shared" si="4"/>
        <v>5.1472222222222221</v>
      </c>
      <c r="L35" s="15">
        <f t="shared" si="5"/>
        <v>26.493896604938271</v>
      </c>
      <c r="M35" s="28">
        <f t="shared" si="6"/>
        <v>1.8083333333333333</v>
      </c>
      <c r="N35" s="28">
        <f t="shared" si="12"/>
        <v>3.2700694444444447</v>
      </c>
      <c r="O35" s="28">
        <f t="shared" si="7"/>
        <v>9.9250000000000007</v>
      </c>
      <c r="P35" s="28">
        <f t="shared" si="13"/>
        <v>98.505625000000009</v>
      </c>
      <c r="R35" s="29">
        <f t="shared" si="8"/>
        <v>99.188870387418049</v>
      </c>
      <c r="S35" s="29">
        <f t="shared" si="8"/>
        <v>96.305998710148074</v>
      </c>
      <c r="T35" s="12">
        <f t="shared" si="8"/>
        <v>87.221627197906642</v>
      </c>
      <c r="U35">
        <f t="shared" si="10"/>
        <v>-1.6267958695066136</v>
      </c>
      <c r="V35">
        <f t="shared" ref="V35:V54" si="15">-(S35/T35)*((K35*N35-L35*M35)/(O35*N35-P35*M35))</f>
        <v>-0.23555689115381442</v>
      </c>
      <c r="W35" s="32">
        <f t="shared" si="9"/>
        <v>-85.599701281246325</v>
      </c>
      <c r="X35">
        <f t="shared" si="11"/>
        <v>1.7848565241289638</v>
      </c>
    </row>
    <row r="36" spans="1:24" x14ac:dyDescent="0.25">
      <c r="A36">
        <f t="shared" si="0"/>
        <v>5</v>
      </c>
      <c r="B36" s="2">
        <f>yields!B35</f>
        <v>42243</v>
      </c>
      <c r="C36" s="13">
        <f>+yields!C35/100</f>
        <v>5.1132E-3</v>
      </c>
      <c r="D36" s="13">
        <f>+yields!D35/100</f>
        <v>8.2915000000000003E-3</v>
      </c>
      <c r="E36" s="13">
        <f>+yields!E35/100</f>
        <v>1.5641099999999998E-2</v>
      </c>
      <c r="F36" s="24"/>
      <c r="G36" s="1">
        <f t="shared" si="14"/>
        <v>1.788888888888889</v>
      </c>
      <c r="H36" s="3">
        <f t="shared" si="14"/>
        <v>5.1277777777777782</v>
      </c>
      <c r="I36" s="1">
        <f t="shared" si="14"/>
        <v>9.905555555555555</v>
      </c>
      <c r="K36" s="14">
        <f t="shared" si="4"/>
        <v>5.1277777777777782</v>
      </c>
      <c r="L36" s="15">
        <f t="shared" si="5"/>
        <v>26.294104938271609</v>
      </c>
      <c r="M36" s="28">
        <f t="shared" si="6"/>
        <v>1.788888888888889</v>
      </c>
      <c r="N36" s="28">
        <f t="shared" si="12"/>
        <v>3.2001234567901236</v>
      </c>
      <c r="O36" s="28">
        <f t="shared" si="7"/>
        <v>9.905555555555555</v>
      </c>
      <c r="P36" s="28">
        <f t="shared" si="13"/>
        <v>98.120030864197517</v>
      </c>
      <c r="R36" s="29">
        <f t="shared" si="8"/>
        <v>99.089475939209422</v>
      </c>
      <c r="S36" s="29">
        <f t="shared" si="8"/>
        <v>95.837420230517552</v>
      </c>
      <c r="T36" s="12">
        <f t="shared" si="8"/>
        <v>85.647188689207667</v>
      </c>
      <c r="U36">
        <f t="shared" si="10"/>
        <v>-1.6319304572870246</v>
      </c>
      <c r="V36">
        <f t="shared" si="15"/>
        <v>-0.2382849517961278</v>
      </c>
      <c r="W36" s="32">
        <f t="shared" si="9"/>
        <v>-86.278149779569816</v>
      </c>
      <c r="X36">
        <f t="shared" si="11"/>
        <v>0.79258278728611131</v>
      </c>
    </row>
    <row r="37" spans="1:24" x14ac:dyDescent="0.25">
      <c r="A37">
        <f t="shared" si="0"/>
        <v>5</v>
      </c>
      <c r="B37" s="2">
        <f>yields!B36</f>
        <v>42250</v>
      </c>
      <c r="C37" s="13">
        <f>+yields!C36/100</f>
        <v>5.4905000000000006E-3</v>
      </c>
      <c r="D37" s="13">
        <f>+yields!D36/100</f>
        <v>8.5650999999999991E-3</v>
      </c>
      <c r="E37" s="13">
        <f>+yields!E36/100</f>
        <v>1.5725100000000002E-2</v>
      </c>
      <c r="F37" s="24"/>
      <c r="G37" s="1">
        <f t="shared" si="14"/>
        <v>1.7694444444444444</v>
      </c>
      <c r="H37" s="3">
        <f t="shared" si="14"/>
        <v>5.1083333333333334</v>
      </c>
      <c r="I37" s="1">
        <f t="shared" si="14"/>
        <v>9.8861111111111111</v>
      </c>
      <c r="K37" s="14">
        <f t="shared" si="4"/>
        <v>5.1083333333333334</v>
      </c>
      <c r="L37" s="15">
        <f t="shared" si="5"/>
        <v>26.095069444444444</v>
      </c>
      <c r="M37" s="28">
        <f t="shared" si="6"/>
        <v>1.7694444444444444</v>
      </c>
      <c r="N37" s="28">
        <f t="shared" si="12"/>
        <v>3.1309336419753082</v>
      </c>
      <c r="O37" s="28">
        <f t="shared" si="7"/>
        <v>9.8861111111111111</v>
      </c>
      <c r="P37" s="28">
        <f t="shared" si="13"/>
        <v>97.735192901234569</v>
      </c>
      <c r="R37" s="29">
        <f t="shared" si="8"/>
        <v>99.033190474428153</v>
      </c>
      <c r="S37" s="29">
        <f t="shared" si="8"/>
        <v>95.718998497847423</v>
      </c>
      <c r="T37" s="12">
        <f t="shared" si="8"/>
        <v>85.602124362164517</v>
      </c>
      <c r="U37">
        <f t="shared" si="10"/>
        <v>-1.6425095660156455</v>
      </c>
      <c r="V37">
        <f t="shared" si="15"/>
        <v>-0.23767943187570126</v>
      </c>
      <c r="W37" s="32">
        <f t="shared" si="9"/>
        <v>-87.289828495202698</v>
      </c>
      <c r="X37">
        <f t="shared" si="11"/>
        <v>1.1725781304045002</v>
      </c>
    </row>
    <row r="38" spans="1:24" x14ac:dyDescent="0.25">
      <c r="A38">
        <f t="shared" si="0"/>
        <v>5</v>
      </c>
      <c r="B38" s="2">
        <f>yields!B37</f>
        <v>42257</v>
      </c>
      <c r="C38" s="13">
        <f>+yields!C37/100</f>
        <v>5.8187999999999998E-3</v>
      </c>
      <c r="D38" s="13">
        <f>+yields!D37/100</f>
        <v>8.9218000000000006E-3</v>
      </c>
      <c r="E38" s="13">
        <f>+yields!E37/100</f>
        <v>1.6073400000000002E-2</v>
      </c>
      <c r="F38" s="24"/>
      <c r="G38" s="1">
        <f t="shared" si="14"/>
        <v>1.75</v>
      </c>
      <c r="H38" s="3">
        <f t="shared" si="14"/>
        <v>5.0888888888888886</v>
      </c>
      <c r="I38" s="1">
        <f t="shared" si="14"/>
        <v>9.8666666666666671</v>
      </c>
      <c r="K38" s="14">
        <f t="shared" si="4"/>
        <v>5.0888888888888886</v>
      </c>
      <c r="L38" s="15">
        <f t="shared" si="5"/>
        <v>25.896790123456785</v>
      </c>
      <c r="M38" s="28">
        <f t="shared" si="6"/>
        <v>1.75</v>
      </c>
      <c r="N38" s="28">
        <f t="shared" si="12"/>
        <v>3.0625</v>
      </c>
      <c r="O38" s="28">
        <f t="shared" si="7"/>
        <v>9.8666666666666671</v>
      </c>
      <c r="P38" s="28">
        <f t="shared" si="13"/>
        <v>97.351111111111123</v>
      </c>
      <c r="R38" s="29">
        <f t="shared" si="8"/>
        <v>98.98687701933423</v>
      </c>
      <c r="S38" s="29">
        <f t="shared" si="8"/>
        <v>95.561320136269273</v>
      </c>
      <c r="T38" s="12">
        <f t="shared" si="8"/>
        <v>85.334540823616237</v>
      </c>
      <c r="U38">
        <f t="shared" si="10"/>
        <v>-1.652485560043423</v>
      </c>
      <c r="V38">
        <f t="shared" si="15"/>
        <v>-0.23759322529166607</v>
      </c>
      <c r="W38" s="32">
        <f t="shared" si="9"/>
        <v>-88.28797355504102</v>
      </c>
      <c r="X38">
        <f t="shared" si="11"/>
        <v>1.1434838136876069</v>
      </c>
    </row>
    <row r="39" spans="1:24" x14ac:dyDescent="0.25">
      <c r="A39">
        <f t="shared" si="0"/>
        <v>5</v>
      </c>
      <c r="B39" s="2">
        <f>yields!B38</f>
        <v>42264</v>
      </c>
      <c r="C39" s="13">
        <f>+yields!C38/100</f>
        <v>6.0943999999999998E-3</v>
      </c>
      <c r="D39" s="13">
        <f>+yields!D38/100</f>
        <v>9.2645000000000002E-3</v>
      </c>
      <c r="E39" s="13">
        <f>+yields!E38/100</f>
        <v>1.64095E-2</v>
      </c>
      <c r="F39" s="24"/>
      <c r="G39" s="1">
        <f t="shared" si="14"/>
        <v>1.7305555555555556</v>
      </c>
      <c r="H39" s="3">
        <f t="shared" si="14"/>
        <v>5.0694444444444446</v>
      </c>
      <c r="I39" s="1">
        <f t="shared" si="14"/>
        <v>9.8472222222222214</v>
      </c>
      <c r="K39" s="14">
        <f t="shared" si="4"/>
        <v>5.0694444444444446</v>
      </c>
      <c r="L39" s="15">
        <f t="shared" si="5"/>
        <v>25.699266975308642</v>
      </c>
      <c r="M39" s="28">
        <f t="shared" si="6"/>
        <v>1.7305555555555556</v>
      </c>
      <c r="N39" s="28">
        <f t="shared" si="12"/>
        <v>2.9948225308641976</v>
      </c>
      <c r="O39" s="28">
        <f t="shared" si="7"/>
        <v>9.8472222222222214</v>
      </c>
      <c r="P39" s="28">
        <f t="shared" si="13"/>
        <v>96.967785493827151</v>
      </c>
      <c r="R39" s="29">
        <f t="shared" si="8"/>
        <v>98.950872363049498</v>
      </c>
      <c r="S39" s="29">
        <f t="shared" si="8"/>
        <v>95.411996300417812</v>
      </c>
      <c r="T39" s="12">
        <f t="shared" si="8"/>
        <v>85.07916644133384</v>
      </c>
      <c r="U39">
        <f t="shared" si="10"/>
        <v>-1.6626713475762858</v>
      </c>
      <c r="V39">
        <f t="shared" si="15"/>
        <v>-0.23749290606224671</v>
      </c>
      <c r="W39" s="32">
        <f t="shared" si="9"/>
        <v>-89.316482478808709</v>
      </c>
      <c r="X39">
        <f t="shared" si="11"/>
        <v>1.1649479338502244</v>
      </c>
    </row>
    <row r="40" spans="1:24" x14ac:dyDescent="0.25">
      <c r="A40">
        <f t="shared" si="0"/>
        <v>5</v>
      </c>
      <c r="B40" s="2">
        <f>yields!B39</f>
        <v>42271</v>
      </c>
      <c r="C40" s="13">
        <f>+yields!C39/100</f>
        <v>6.3188999999999997E-3</v>
      </c>
      <c r="D40" s="13">
        <f>+yields!D39/100</f>
        <v>9.1605999999999996E-3</v>
      </c>
      <c r="E40" s="13">
        <f>+yields!E39/100</f>
        <v>1.5774799999999999E-2</v>
      </c>
      <c r="F40" s="24"/>
      <c r="G40" s="1">
        <f t="shared" si="14"/>
        <v>1.711111111111111</v>
      </c>
      <c r="H40" s="3">
        <f t="shared" si="14"/>
        <v>5.05</v>
      </c>
      <c r="I40" s="1">
        <f t="shared" si="14"/>
        <v>9.8277777777777775</v>
      </c>
      <c r="K40" s="14">
        <f t="shared" si="4"/>
        <v>5.05</v>
      </c>
      <c r="L40" s="15">
        <f t="shared" si="5"/>
        <v>25.502499999999998</v>
      </c>
      <c r="M40" s="28">
        <f t="shared" si="6"/>
        <v>1.711111111111111</v>
      </c>
      <c r="N40" s="28">
        <f t="shared" si="12"/>
        <v>2.927901234567901</v>
      </c>
      <c r="O40" s="28">
        <f t="shared" si="7"/>
        <v>9.8277777777777775</v>
      </c>
      <c r="P40" s="28">
        <f t="shared" si="13"/>
        <v>96.585216049382709</v>
      </c>
      <c r="R40" s="29">
        <f t="shared" si="8"/>
        <v>98.924590324388291</v>
      </c>
      <c r="S40" s="29">
        <f t="shared" si="8"/>
        <v>95.479270012117837</v>
      </c>
      <c r="T40" s="12">
        <f t="shared" si="8"/>
        <v>85.63884330067954</v>
      </c>
      <c r="U40">
        <f t="shared" si="10"/>
        <v>-1.676741956151631</v>
      </c>
      <c r="V40">
        <f t="shared" si="15"/>
        <v>-0.23566690785860628</v>
      </c>
      <c r="W40" s="32">
        <f t="shared" si="9"/>
        <v>-90.573982473154558</v>
      </c>
      <c r="X40">
        <f t="shared" si="11"/>
        <v>1.4079148209225512</v>
      </c>
    </row>
    <row r="41" spans="1:24" x14ac:dyDescent="0.25">
      <c r="A41">
        <f t="shared" si="0"/>
        <v>5</v>
      </c>
      <c r="B41" s="2">
        <f>yields!B40</f>
        <v>42278</v>
      </c>
      <c r="C41" s="13">
        <f>+yields!C40/100</f>
        <v>6.4507000000000002E-3</v>
      </c>
      <c r="D41" s="13">
        <f>+yields!D40/100</f>
        <v>9.1830000000000002E-3</v>
      </c>
      <c r="E41" s="13">
        <f>+yields!E40/100</f>
        <v>1.5330900000000001E-2</v>
      </c>
      <c r="F41" s="24"/>
      <c r="G41" s="1">
        <f t="shared" si="14"/>
        <v>1.6916666666666667</v>
      </c>
      <c r="H41" s="3">
        <f t="shared" si="14"/>
        <v>5.0305555555555559</v>
      </c>
      <c r="I41" s="1">
        <f t="shared" si="14"/>
        <v>9.8083333333333336</v>
      </c>
      <c r="K41" s="14">
        <f t="shared" si="4"/>
        <v>5.0305555555555559</v>
      </c>
      <c r="L41" s="15">
        <f t="shared" si="5"/>
        <v>25.306489197530869</v>
      </c>
      <c r="M41" s="28">
        <f t="shared" si="6"/>
        <v>1.6916666666666667</v>
      </c>
      <c r="N41" s="28">
        <f t="shared" si="12"/>
        <v>2.861736111111111</v>
      </c>
      <c r="O41" s="28">
        <f t="shared" si="7"/>
        <v>9.8083333333333336</v>
      </c>
      <c r="P41" s="28">
        <f t="shared" si="13"/>
        <v>96.203402777777782</v>
      </c>
      <c r="R41" s="29">
        <f t="shared" si="8"/>
        <v>98.914689045495322</v>
      </c>
      <c r="S41" s="29">
        <f t="shared" si="8"/>
        <v>95.485518220849258</v>
      </c>
      <c r="T41" s="12">
        <f t="shared" si="8"/>
        <v>86.03890765071408</v>
      </c>
      <c r="U41">
        <f t="shared" si="10"/>
        <v>-1.6897642297353763</v>
      </c>
      <c r="V41">
        <f t="shared" si="15"/>
        <v>-0.23414646762229019</v>
      </c>
      <c r="W41" s="32">
        <f t="shared" si="9"/>
        <v>-91.802691428121548</v>
      </c>
      <c r="X41">
        <f t="shared" si="11"/>
        <v>1.3565804676096471</v>
      </c>
    </row>
    <row r="42" spans="1:24" x14ac:dyDescent="0.25">
      <c r="A42">
        <f t="shared" si="0"/>
        <v>5</v>
      </c>
      <c r="B42" s="2">
        <f>yields!B41</f>
        <v>42285</v>
      </c>
      <c r="C42" s="13">
        <f>+yields!C41/100</f>
        <v>6.5688000000000005E-3</v>
      </c>
      <c r="D42" s="13">
        <f>+yields!D41/100</f>
        <v>9.5967999999999991E-3</v>
      </c>
      <c r="E42" s="13">
        <f>+yields!E41/100</f>
        <v>1.5978200000000001E-2</v>
      </c>
      <c r="F42" s="24"/>
      <c r="G42" s="1">
        <f t="shared" si="14"/>
        <v>1.6722222222222223</v>
      </c>
      <c r="H42" s="3">
        <f t="shared" si="14"/>
        <v>5.0111111111111111</v>
      </c>
      <c r="I42" s="1">
        <f t="shared" si="14"/>
        <v>9.7888888888888896</v>
      </c>
      <c r="K42" s="14">
        <f t="shared" si="4"/>
        <v>5.0111111111111111</v>
      </c>
      <c r="L42" s="15">
        <f t="shared" si="5"/>
        <v>25.111234567901235</v>
      </c>
      <c r="M42" s="28">
        <f t="shared" si="6"/>
        <v>1.6722222222222223</v>
      </c>
      <c r="N42" s="28">
        <f t="shared" si="12"/>
        <v>2.7963271604938273</v>
      </c>
      <c r="O42" s="28">
        <f t="shared" si="7"/>
        <v>9.7888888888888896</v>
      </c>
      <c r="P42" s="28">
        <f t="shared" si="13"/>
        <v>95.822345679012358</v>
      </c>
      <c r="R42" s="29">
        <f t="shared" si="8"/>
        <v>98.907561592233861</v>
      </c>
      <c r="S42" s="29">
        <f t="shared" si="8"/>
        <v>95.30474074177458</v>
      </c>
      <c r="T42" s="12">
        <f t="shared" si="8"/>
        <v>85.520948834856398</v>
      </c>
      <c r="U42">
        <f t="shared" si="10"/>
        <v>-1.6997039605293893</v>
      </c>
      <c r="V42">
        <f t="shared" si="15"/>
        <v>-0.234675030611812</v>
      </c>
      <c r="W42" s="32">
        <f t="shared" si="9"/>
        <v>-92.878464708620953</v>
      </c>
      <c r="X42">
        <f t="shared" si="11"/>
        <v>1.1718319624013374</v>
      </c>
    </row>
    <row r="43" spans="1:24" x14ac:dyDescent="0.25">
      <c r="A43">
        <f t="shared" si="0"/>
        <v>5</v>
      </c>
      <c r="B43" s="2">
        <f>yields!B42</f>
        <v>42292</v>
      </c>
      <c r="C43" s="13">
        <f>+yields!C42/100</f>
        <v>6.4209999999999996E-3</v>
      </c>
      <c r="D43" s="13">
        <f>+yields!D42/100</f>
        <v>9.1722999999999996E-3</v>
      </c>
      <c r="E43" s="13">
        <f>+yields!E42/100</f>
        <v>1.5504800000000001E-2</v>
      </c>
      <c r="F43" s="24"/>
      <c r="G43" s="1">
        <f t="shared" ref="G43:I54" si="16">(G$2-$B43)/360</f>
        <v>1.6527777777777777</v>
      </c>
      <c r="H43" s="3">
        <f t="shared" si="16"/>
        <v>4.9916666666666663</v>
      </c>
      <c r="I43" s="1">
        <f t="shared" si="16"/>
        <v>9.7694444444444439</v>
      </c>
      <c r="K43" s="14">
        <f t="shared" si="4"/>
        <v>4.9916666666666663</v>
      </c>
      <c r="L43" s="15">
        <f t="shared" si="5"/>
        <v>24.916736111111106</v>
      </c>
      <c r="M43" s="28">
        <f t="shared" si="6"/>
        <v>1.6527777777777777</v>
      </c>
      <c r="N43" s="28">
        <f t="shared" si="12"/>
        <v>2.731674382716049</v>
      </c>
      <c r="O43" s="28">
        <f t="shared" si="7"/>
        <v>9.7694444444444439</v>
      </c>
      <c r="P43" s="28">
        <f t="shared" si="13"/>
        <v>95.442044753086407</v>
      </c>
      <c r="R43" s="29">
        <f t="shared" si="8"/>
        <v>98.944362764205025</v>
      </c>
      <c r="S43" s="29">
        <f t="shared" si="8"/>
        <v>95.524725699254077</v>
      </c>
      <c r="T43" s="12">
        <f t="shared" si="8"/>
        <v>85.944084431566978</v>
      </c>
      <c r="U43">
        <f t="shared" si="10"/>
        <v>-1.7163430276976726</v>
      </c>
      <c r="V43">
        <f t="shared" si="15"/>
        <v>-0.23361448906363622</v>
      </c>
      <c r="W43" s="32">
        <f t="shared" si="9"/>
        <v>-94.375524833600963</v>
      </c>
      <c r="X43">
        <f t="shared" si="11"/>
        <v>1.6118484835818458</v>
      </c>
    </row>
    <row r="44" spans="1:24" x14ac:dyDescent="0.25">
      <c r="A44">
        <f t="shared" si="0"/>
        <v>5</v>
      </c>
      <c r="B44" s="2">
        <f>yields!B43</f>
        <v>42299</v>
      </c>
      <c r="C44" s="13">
        <f>+yields!C43/100</f>
        <v>6.4513000000000001E-3</v>
      </c>
      <c r="D44" s="13">
        <f>+yields!D43/100</f>
        <v>9.3118999999999997E-3</v>
      </c>
      <c r="E44" s="13">
        <f>+yields!E43/100</f>
        <v>1.54976E-2</v>
      </c>
      <c r="F44" s="24"/>
      <c r="G44" s="1">
        <f t="shared" si="16"/>
        <v>1.6333333333333333</v>
      </c>
      <c r="H44" s="3">
        <f t="shared" si="16"/>
        <v>4.9722222222222223</v>
      </c>
      <c r="I44" s="1">
        <f t="shared" si="16"/>
        <v>9.75</v>
      </c>
      <c r="K44" s="14">
        <f t="shared" si="4"/>
        <v>4.9722222222222223</v>
      </c>
      <c r="L44" s="15">
        <f t="shared" si="5"/>
        <v>24.722993827160494</v>
      </c>
      <c r="M44" s="28">
        <f t="shared" si="6"/>
        <v>1.6333333333333333</v>
      </c>
      <c r="N44" s="28">
        <f t="shared" si="12"/>
        <v>2.6677777777777778</v>
      </c>
      <c r="O44" s="28">
        <f t="shared" si="7"/>
        <v>9.75</v>
      </c>
      <c r="P44" s="28">
        <f t="shared" si="13"/>
        <v>95.0625</v>
      </c>
      <c r="R44" s="29">
        <f t="shared" si="8"/>
        <v>98.951819767215099</v>
      </c>
      <c r="S44" s="29">
        <f t="shared" si="8"/>
        <v>95.475469429330644</v>
      </c>
      <c r="T44" s="12">
        <f t="shared" si="8"/>
        <v>85.976034257078609</v>
      </c>
      <c r="U44">
        <f t="shared" si="10"/>
        <v>-1.7289879125238847</v>
      </c>
      <c r="V44">
        <f t="shared" si="15"/>
        <v>-0.23296171995517809</v>
      </c>
      <c r="W44" s="32">
        <f t="shared" si="9"/>
        <v>-95.640155685880615</v>
      </c>
      <c r="X44">
        <f t="shared" si="11"/>
        <v>1.3399987491559795</v>
      </c>
    </row>
    <row r="45" spans="1:24" x14ac:dyDescent="0.25">
      <c r="A45">
        <f t="shared" si="0"/>
        <v>5</v>
      </c>
      <c r="B45" s="2">
        <f>yields!B44</f>
        <v>42306</v>
      </c>
      <c r="C45" s="13">
        <f>+yields!C44/100</f>
        <v>6.9103999999999997E-3</v>
      </c>
      <c r="D45" s="13">
        <f>+yields!D44/100</f>
        <v>1.0069699999999999E-2</v>
      </c>
      <c r="E45" s="13">
        <f>+yields!E44/100</f>
        <v>1.64791E-2</v>
      </c>
      <c r="F45" s="24"/>
      <c r="G45" s="1">
        <f t="shared" si="16"/>
        <v>1.6138888888888889</v>
      </c>
      <c r="H45" s="3">
        <f t="shared" si="16"/>
        <v>4.9527777777777775</v>
      </c>
      <c r="I45" s="1">
        <f t="shared" si="16"/>
        <v>9.7305555555555561</v>
      </c>
      <c r="K45" s="14">
        <f t="shared" si="4"/>
        <v>4.9527777777777775</v>
      </c>
      <c r="L45" s="15">
        <f t="shared" si="5"/>
        <v>24.530007716049379</v>
      </c>
      <c r="M45" s="28">
        <f t="shared" si="6"/>
        <v>1.6138888888888889</v>
      </c>
      <c r="N45" s="28">
        <f t="shared" si="12"/>
        <v>2.6046373456790124</v>
      </c>
      <c r="O45" s="28">
        <f t="shared" si="7"/>
        <v>9.7305555555555561</v>
      </c>
      <c r="P45" s="28">
        <f t="shared" si="13"/>
        <v>94.683711419753095</v>
      </c>
      <c r="R45" s="29">
        <f t="shared" si="8"/>
        <v>98.890934211163582</v>
      </c>
      <c r="S45" s="29">
        <f t="shared" si="8"/>
        <v>95.135025125807388</v>
      </c>
      <c r="T45" s="12">
        <f t="shared" si="8"/>
        <v>85.184491100795654</v>
      </c>
      <c r="U45">
        <f t="shared" si="10"/>
        <v>-1.7378304542977701</v>
      </c>
      <c r="V45">
        <f t="shared" si="15"/>
        <v>-0.23383814970061112</v>
      </c>
      <c r="W45" s="32">
        <f t="shared" si="9"/>
        <v>-96.640035782508136</v>
      </c>
      <c r="X45">
        <f t="shared" si="11"/>
        <v>1.045460548926247</v>
      </c>
    </row>
    <row r="46" spans="1:24" x14ac:dyDescent="0.25">
      <c r="A46">
        <f t="shared" si="0"/>
        <v>5</v>
      </c>
      <c r="B46" s="2">
        <f>yields!B45</f>
        <v>42313</v>
      </c>
      <c r="C46" s="13">
        <f>+yields!C45/100</f>
        <v>7.3553999999999998E-3</v>
      </c>
      <c r="D46" s="13">
        <f>+yields!D45/100</f>
        <v>1.0767000000000001E-2</v>
      </c>
      <c r="E46" s="13">
        <f>+yields!E45/100</f>
        <v>1.75674E-2</v>
      </c>
      <c r="F46" s="24"/>
      <c r="G46" s="1">
        <f t="shared" si="16"/>
        <v>1.5944444444444446</v>
      </c>
      <c r="H46" s="3">
        <f t="shared" si="16"/>
        <v>4.9333333333333336</v>
      </c>
      <c r="I46" s="1">
        <f t="shared" si="16"/>
        <v>9.7111111111111104</v>
      </c>
      <c r="K46" s="14">
        <f t="shared" si="4"/>
        <v>4.9333333333333336</v>
      </c>
      <c r="L46" s="15">
        <f t="shared" si="5"/>
        <v>24.337777777777781</v>
      </c>
      <c r="M46" s="28">
        <f t="shared" si="6"/>
        <v>1.5944444444444446</v>
      </c>
      <c r="N46" s="28">
        <f t="shared" si="12"/>
        <v>2.5422530864197532</v>
      </c>
      <c r="O46" s="28">
        <f t="shared" si="7"/>
        <v>9.7111111111111104</v>
      </c>
      <c r="P46" s="28">
        <f t="shared" si="13"/>
        <v>94.305679012345664</v>
      </c>
      <c r="R46" s="29">
        <f t="shared" si="8"/>
        <v>98.834072565129603</v>
      </c>
      <c r="S46" s="29">
        <f t="shared" si="8"/>
        <v>94.82688688579789</v>
      </c>
      <c r="T46" s="12">
        <f t="shared" si="8"/>
        <v>84.315963517917325</v>
      </c>
      <c r="U46">
        <f t="shared" si="10"/>
        <v>-1.7474473770495866</v>
      </c>
      <c r="V46">
        <f t="shared" si="15"/>
        <v>-0.23502684975087204</v>
      </c>
      <c r="W46" s="32">
        <f t="shared" si="9"/>
        <v>-97.696969270591907</v>
      </c>
      <c r="X46">
        <f t="shared" si="11"/>
        <v>1.0936807706305451</v>
      </c>
    </row>
    <row r="47" spans="1:24" x14ac:dyDescent="0.25">
      <c r="A47">
        <f t="shared" si="0"/>
        <v>5</v>
      </c>
      <c r="B47" s="2">
        <f>yields!B46</f>
        <v>42320</v>
      </c>
      <c r="C47" s="13">
        <f>+yields!C46/100</f>
        <v>7.5745999999999999E-3</v>
      </c>
      <c r="D47" s="13">
        <f>+yields!D46/100</f>
        <v>1.1073E-2</v>
      </c>
      <c r="E47" s="13">
        <f>+yields!E46/100</f>
        <v>1.8354200000000001E-2</v>
      </c>
      <c r="F47" s="24"/>
      <c r="G47" s="1">
        <f t="shared" si="16"/>
        <v>1.575</v>
      </c>
      <c r="H47" s="3">
        <f t="shared" si="16"/>
        <v>4.9138888888888888</v>
      </c>
      <c r="I47" s="1">
        <f t="shared" si="16"/>
        <v>9.6916666666666664</v>
      </c>
      <c r="K47" s="14">
        <f t="shared" si="4"/>
        <v>4.9138888888888888</v>
      </c>
      <c r="L47" s="15">
        <f t="shared" si="5"/>
        <v>24.146304012345677</v>
      </c>
      <c r="M47" s="28">
        <f t="shared" si="6"/>
        <v>1.575</v>
      </c>
      <c r="N47" s="28">
        <f t="shared" si="12"/>
        <v>2.4806249999999999</v>
      </c>
      <c r="O47" s="28">
        <f t="shared" si="7"/>
        <v>9.6916666666666664</v>
      </c>
      <c r="P47" s="28">
        <f t="shared" si="13"/>
        <v>93.928402777777777</v>
      </c>
      <c r="R47" s="29">
        <f t="shared" si="8"/>
        <v>98.814088524336753</v>
      </c>
      <c r="S47" s="29">
        <f t="shared" si="8"/>
        <v>94.704232628639559</v>
      </c>
      <c r="T47" s="12">
        <f t="shared" si="8"/>
        <v>83.704052865455196</v>
      </c>
      <c r="U47">
        <f t="shared" si="10"/>
        <v>-1.7601250739373644</v>
      </c>
      <c r="V47">
        <f t="shared" si="15"/>
        <v>-0.23597936184830187</v>
      </c>
      <c r="W47" s="32">
        <f t="shared" si="9"/>
        <v>-98.973351220618596</v>
      </c>
      <c r="X47">
        <f t="shared" si="11"/>
        <v>1.3064703639797504</v>
      </c>
    </row>
    <row r="48" spans="1:24" x14ac:dyDescent="0.25">
      <c r="A48">
        <f t="shared" si="0"/>
        <v>5</v>
      </c>
      <c r="B48" s="2">
        <f>yields!B47</f>
        <v>42327</v>
      </c>
      <c r="C48" s="13">
        <f>+yields!C47/100</f>
        <v>7.2629999999999995E-3</v>
      </c>
      <c r="D48" s="13">
        <f>+yields!D47/100</f>
        <v>1.0553300000000002E-2</v>
      </c>
      <c r="E48" s="13">
        <f>+yields!E47/100</f>
        <v>1.74769E-2</v>
      </c>
      <c r="F48" s="24"/>
      <c r="G48" s="1">
        <f t="shared" si="16"/>
        <v>1.5555555555555556</v>
      </c>
      <c r="H48" s="3">
        <f t="shared" si="16"/>
        <v>4.8944444444444448</v>
      </c>
      <c r="I48" s="1">
        <f t="shared" si="16"/>
        <v>9.6722222222222225</v>
      </c>
      <c r="K48" s="14">
        <f t="shared" si="4"/>
        <v>4.8944444444444448</v>
      </c>
      <c r="L48" s="15">
        <f t="shared" si="5"/>
        <v>23.955586419753089</v>
      </c>
      <c r="M48" s="28">
        <f t="shared" si="6"/>
        <v>1.5555555555555556</v>
      </c>
      <c r="N48" s="28">
        <f t="shared" si="12"/>
        <v>2.4197530864197532</v>
      </c>
      <c r="O48" s="28">
        <f t="shared" si="7"/>
        <v>9.6722222222222225</v>
      </c>
      <c r="P48" s="28">
        <f t="shared" si="13"/>
        <v>93.551882716049391</v>
      </c>
      <c r="R48" s="29">
        <f t="shared" si="8"/>
        <v>98.876558272418606</v>
      </c>
      <c r="S48" s="29">
        <f t="shared" si="8"/>
        <v>94.965877743551445</v>
      </c>
      <c r="T48" s="12">
        <f t="shared" si="8"/>
        <v>84.447473477787682</v>
      </c>
      <c r="U48">
        <f t="shared" si="10"/>
        <v>-1.7788542187460334</v>
      </c>
      <c r="V48">
        <f t="shared" si="15"/>
        <v>-0.23408970765404333</v>
      </c>
      <c r="W48" s="32">
        <f t="shared" si="9"/>
        <v>-100.68938945296631</v>
      </c>
      <c r="X48">
        <f t="shared" si="11"/>
        <v>1.733838665847065</v>
      </c>
    </row>
    <row r="49" spans="1:24" x14ac:dyDescent="0.25">
      <c r="A49">
        <f t="shared" si="0"/>
        <v>5</v>
      </c>
      <c r="B49" s="2">
        <f>yields!B48</f>
        <v>42334</v>
      </c>
      <c r="C49" s="13">
        <f>+yields!C48/100</f>
        <v>7.3397000000000002E-3</v>
      </c>
      <c r="D49" s="13">
        <f>+yields!D48/100</f>
        <v>1.0341499999999998E-2</v>
      </c>
      <c r="E49" s="13">
        <f>+yields!E48/100</f>
        <v>1.6874400000000001E-2</v>
      </c>
      <c r="F49" s="24"/>
      <c r="G49" s="1">
        <f t="shared" si="16"/>
        <v>1.5361111111111112</v>
      </c>
      <c r="H49" s="3">
        <f t="shared" si="16"/>
        <v>4.875</v>
      </c>
      <c r="I49" s="1">
        <f t="shared" si="16"/>
        <v>9.6527777777777786</v>
      </c>
      <c r="K49" s="14">
        <f t="shared" si="4"/>
        <v>4.875</v>
      </c>
      <c r="L49" s="15">
        <f t="shared" si="5"/>
        <v>23.765625</v>
      </c>
      <c r="M49" s="28">
        <f t="shared" si="6"/>
        <v>1.5361111111111112</v>
      </c>
      <c r="N49" s="28">
        <f t="shared" si="12"/>
        <v>2.3596373456790127</v>
      </c>
      <c r="O49" s="28">
        <f t="shared" si="7"/>
        <v>9.6527777777777786</v>
      </c>
      <c r="P49" s="28">
        <f t="shared" si="13"/>
        <v>93.176118827160508</v>
      </c>
      <c r="R49" s="29">
        <f t="shared" si="8"/>
        <v>98.878872532813531</v>
      </c>
      <c r="S49" s="29">
        <f t="shared" si="8"/>
        <v>95.083492447249156</v>
      </c>
      <c r="T49" s="12">
        <f t="shared" si="8"/>
        <v>84.968903863422298</v>
      </c>
      <c r="U49">
        <f t="shared" si="10"/>
        <v>-1.7963950273296385</v>
      </c>
      <c r="V49">
        <f t="shared" si="15"/>
        <v>-0.23248325490065766</v>
      </c>
      <c r="W49" s="32">
        <f t="shared" si="9"/>
        <v>-102.29586981416772</v>
      </c>
      <c r="X49">
        <f t="shared" si="11"/>
        <v>1.5954812815225372</v>
      </c>
    </row>
    <row r="50" spans="1:24" x14ac:dyDescent="0.25">
      <c r="A50">
        <f t="shared" si="0"/>
        <v>5</v>
      </c>
      <c r="B50" s="2">
        <f>yields!B49</f>
        <v>42341</v>
      </c>
      <c r="C50" s="13">
        <f>+yields!C49/100</f>
        <v>7.6604999999999998E-3</v>
      </c>
      <c r="D50" s="13">
        <f>+yields!D49/100</f>
        <v>1.09344E-2</v>
      </c>
      <c r="E50" s="13">
        <f>+yields!E49/100</f>
        <v>1.7545100000000001E-2</v>
      </c>
      <c r="F50" s="24"/>
      <c r="G50" s="1">
        <f t="shared" si="16"/>
        <v>1.5166666666666666</v>
      </c>
      <c r="H50" s="3">
        <f t="shared" si="16"/>
        <v>4.8555555555555552</v>
      </c>
      <c r="I50" s="1">
        <f t="shared" si="16"/>
        <v>9.6333333333333329</v>
      </c>
      <c r="K50" s="14">
        <f t="shared" si="4"/>
        <v>4.8555555555555552</v>
      </c>
      <c r="L50" s="15">
        <f t="shared" si="5"/>
        <v>23.576419753086416</v>
      </c>
      <c r="M50" s="28">
        <f t="shared" si="6"/>
        <v>1.5166666666666666</v>
      </c>
      <c r="N50" s="28">
        <f t="shared" si="12"/>
        <v>2.3002777777777776</v>
      </c>
      <c r="O50" s="28">
        <f t="shared" si="7"/>
        <v>9.6333333333333329</v>
      </c>
      <c r="P50" s="28">
        <f t="shared" si="13"/>
        <v>92.801111111111098</v>
      </c>
      <c r="R50" s="29">
        <f t="shared" si="8"/>
        <v>98.844880826627985</v>
      </c>
      <c r="S50" s="29">
        <f t="shared" si="8"/>
        <v>94.829220920297843</v>
      </c>
      <c r="T50" s="12">
        <f t="shared" si="8"/>
        <v>84.449387407631988</v>
      </c>
      <c r="U50">
        <f t="shared" si="10"/>
        <v>-1.8079441957312696</v>
      </c>
      <c r="V50">
        <f t="shared" si="15"/>
        <v>-0.23282642761136937</v>
      </c>
      <c r="W50" s="32">
        <f t="shared" si="9"/>
        <v>-103.53885683204081</v>
      </c>
      <c r="X50">
        <f t="shared" si="11"/>
        <v>1.215090130355323</v>
      </c>
    </row>
    <row r="51" spans="1:24" x14ac:dyDescent="0.25">
      <c r="A51">
        <f t="shared" si="0"/>
        <v>5</v>
      </c>
      <c r="B51" s="2">
        <f>yields!B50</f>
        <v>42348</v>
      </c>
      <c r="C51" s="13">
        <f>+yields!C50/100</f>
        <v>6.5179000000000001E-3</v>
      </c>
      <c r="D51" s="13">
        <f>+yields!D50/100</f>
        <v>9.4979000000000001E-3</v>
      </c>
      <c r="E51" s="13">
        <f>+yields!E50/100</f>
        <v>1.6043700000000001E-2</v>
      </c>
      <c r="F51" s="24"/>
      <c r="G51" s="1">
        <f t="shared" si="16"/>
        <v>1.4972222222222222</v>
      </c>
      <c r="H51" s="3">
        <f t="shared" si="16"/>
        <v>4.8361111111111112</v>
      </c>
      <c r="I51" s="1">
        <f t="shared" si="16"/>
        <v>9.6138888888888889</v>
      </c>
      <c r="K51" s="14">
        <f t="shared" si="4"/>
        <v>4.8361111111111112</v>
      </c>
      <c r="L51" s="15">
        <f t="shared" si="5"/>
        <v>23.387970679012348</v>
      </c>
      <c r="M51" s="28">
        <f t="shared" si="6"/>
        <v>1.4972222222222222</v>
      </c>
      <c r="N51" s="28">
        <f t="shared" si="12"/>
        <v>2.2416743827160492</v>
      </c>
      <c r="O51" s="28">
        <f t="shared" si="7"/>
        <v>9.6138888888888889</v>
      </c>
      <c r="P51" s="28">
        <f t="shared" si="13"/>
        <v>92.426859567901232</v>
      </c>
      <c r="R51" s="29">
        <f t="shared" si="8"/>
        <v>99.028871731162454</v>
      </c>
      <c r="S51" s="29">
        <f t="shared" si="8"/>
        <v>95.510604792172813</v>
      </c>
      <c r="T51" s="12">
        <f t="shared" si="8"/>
        <v>85.706428702465459</v>
      </c>
      <c r="U51">
        <f t="shared" si="10"/>
        <v>-1.8337832661422553</v>
      </c>
      <c r="V51">
        <f t="shared" si="15"/>
        <v>-0.23060017053083293</v>
      </c>
      <c r="W51" s="32">
        <f t="shared" si="9"/>
        <v>-105.85080012775792</v>
      </c>
      <c r="X51">
        <f t="shared" si="11"/>
        <v>2.2329233356975564</v>
      </c>
    </row>
    <row r="52" spans="1:24" x14ac:dyDescent="0.25">
      <c r="A52">
        <f t="shared" si="0"/>
        <v>5</v>
      </c>
      <c r="B52" s="2">
        <f>yields!B51</f>
        <v>42355</v>
      </c>
      <c r="C52" s="13">
        <f>+yields!C51/100</f>
        <v>6.3110999999999992E-3</v>
      </c>
      <c r="D52" s="13">
        <f>+yields!D51/100</f>
        <v>9.2481999999999998E-3</v>
      </c>
      <c r="E52" s="13">
        <f>+yields!E51/100</f>
        <v>1.55094E-2</v>
      </c>
      <c r="F52" s="24"/>
      <c r="G52" s="1">
        <f t="shared" si="16"/>
        <v>1.4777777777777779</v>
      </c>
      <c r="H52" s="3">
        <f t="shared" si="16"/>
        <v>4.8166666666666664</v>
      </c>
      <c r="I52" s="1">
        <f t="shared" si="16"/>
        <v>9.594444444444445</v>
      </c>
      <c r="K52" s="14">
        <f t="shared" si="4"/>
        <v>4.8166666666666664</v>
      </c>
      <c r="L52" s="15">
        <f t="shared" si="5"/>
        <v>23.200277777777774</v>
      </c>
      <c r="M52" s="28">
        <f t="shared" si="6"/>
        <v>1.4777777777777779</v>
      </c>
      <c r="N52" s="28">
        <f t="shared" si="12"/>
        <v>2.1838271604938275</v>
      </c>
      <c r="O52" s="28">
        <f t="shared" si="7"/>
        <v>9.594444444444445</v>
      </c>
      <c r="P52" s="28">
        <f t="shared" si="13"/>
        <v>92.053364197530868</v>
      </c>
      <c r="R52" s="29">
        <f t="shared" si="8"/>
        <v>99.071695267633373</v>
      </c>
      <c r="S52" s="29">
        <f t="shared" si="8"/>
        <v>95.643208463198022</v>
      </c>
      <c r="T52" s="12">
        <f t="shared" si="8"/>
        <v>86.173793292900186</v>
      </c>
      <c r="U52">
        <f t="shared" si="10"/>
        <v>-1.8522100582296226</v>
      </c>
      <c r="V52">
        <f t="shared" si="15"/>
        <v>-0.22920808988510222</v>
      </c>
      <c r="W52" s="32">
        <f t="shared" si="9"/>
        <v>-107.61011255619189</v>
      </c>
      <c r="X52">
        <f t="shared" si="11"/>
        <v>1.6620681433777929</v>
      </c>
    </row>
    <row r="53" spans="1:24" x14ac:dyDescent="0.25">
      <c r="A53">
        <f t="shared" si="0"/>
        <v>5</v>
      </c>
      <c r="B53" s="2">
        <f>yields!B52</f>
        <v>42362</v>
      </c>
      <c r="C53" s="13">
        <f>+yields!C52/100</f>
        <v>5.9806E-3</v>
      </c>
      <c r="D53" s="13">
        <f>+yields!D52/100</f>
        <v>8.7073999999999988E-3</v>
      </c>
      <c r="E53" s="13">
        <f>+yields!E52/100</f>
        <v>1.50396E-2</v>
      </c>
      <c r="F53" s="24"/>
      <c r="G53" s="1">
        <f t="shared" si="16"/>
        <v>1.4583333333333333</v>
      </c>
      <c r="H53" s="3">
        <f t="shared" si="16"/>
        <v>4.7972222222222225</v>
      </c>
      <c r="I53" s="1">
        <f t="shared" si="16"/>
        <v>9.5749999999999993</v>
      </c>
      <c r="K53" s="14">
        <f t="shared" si="4"/>
        <v>4.7972222222222225</v>
      </c>
      <c r="L53" s="15">
        <f t="shared" si="5"/>
        <v>23.013341049382717</v>
      </c>
      <c r="M53" s="28">
        <f t="shared" si="6"/>
        <v>1.4583333333333333</v>
      </c>
      <c r="N53" s="28">
        <f t="shared" si="12"/>
        <v>2.1267361111111107</v>
      </c>
      <c r="O53" s="28">
        <f t="shared" si="7"/>
        <v>9.5749999999999993</v>
      </c>
      <c r="P53" s="28">
        <f t="shared" si="13"/>
        <v>91.680624999999992</v>
      </c>
      <c r="R53" s="29">
        <f t="shared" si="8"/>
        <v>99.131621543136788</v>
      </c>
      <c r="S53" s="29">
        <f t="shared" si="8"/>
        <v>95.908906773261833</v>
      </c>
      <c r="T53" s="12">
        <f t="shared" si="8"/>
        <v>86.588413731482405</v>
      </c>
      <c r="U53">
        <f t="shared" si="10"/>
        <v>-1.8733891470778548</v>
      </c>
      <c r="V53">
        <f t="shared" si="15"/>
        <v>-0.22828347101241384</v>
      </c>
      <c r="W53" s="32">
        <f t="shared" si="9"/>
        <v>-109.56990079396164</v>
      </c>
      <c r="X53">
        <f t="shared" si="11"/>
        <v>1.8211933722737994</v>
      </c>
    </row>
    <row r="54" spans="1:24" ht="15.75" thickBot="1" x14ac:dyDescent="0.3">
      <c r="A54">
        <f t="shared" si="0"/>
        <v>5</v>
      </c>
      <c r="B54" s="2">
        <f>yields!B53</f>
        <v>42369</v>
      </c>
      <c r="C54" s="13">
        <f>+yields!C53/100</f>
        <v>5.9780999999999992E-3</v>
      </c>
      <c r="D54" s="13">
        <f>+yields!D53/100</f>
        <v>8.7644999999999997E-3</v>
      </c>
      <c r="E54" s="13">
        <f>+yields!E53/100</f>
        <v>1.5049300000000002E-2</v>
      </c>
      <c r="F54" s="24"/>
      <c r="G54" s="1">
        <f t="shared" si="16"/>
        <v>1.4388888888888889</v>
      </c>
      <c r="H54" s="3">
        <f t="shared" si="16"/>
        <v>4.7777777777777777</v>
      </c>
      <c r="I54" s="1">
        <f t="shared" si="16"/>
        <v>9.5555555555555554</v>
      </c>
      <c r="K54" s="16">
        <f t="shared" si="4"/>
        <v>4.7777777777777777</v>
      </c>
      <c r="L54" s="17">
        <f t="shared" si="5"/>
        <v>22.827160493827158</v>
      </c>
      <c r="M54" s="28">
        <f t="shared" si="6"/>
        <v>1.4388888888888889</v>
      </c>
      <c r="N54" s="28">
        <f t="shared" si="12"/>
        <v>2.070401234567901</v>
      </c>
      <c r="O54" s="28">
        <f t="shared" si="7"/>
        <v>9.5555555555555554</v>
      </c>
      <c r="P54" s="28">
        <f t="shared" si="13"/>
        <v>91.308641975308632</v>
      </c>
      <c r="R54" s="29">
        <f t="shared" si="8"/>
        <v>99.143506815233437</v>
      </c>
      <c r="S54" s="29">
        <f t="shared" si="8"/>
        <v>95.898980661815955</v>
      </c>
      <c r="T54" s="12">
        <f t="shared" si="8"/>
        <v>86.605711302224705</v>
      </c>
      <c r="U54">
        <f t="shared" si="10"/>
        <v>-1.8905868686357403</v>
      </c>
      <c r="V54">
        <f t="shared" si="15"/>
        <v>-0.22775174775007601</v>
      </c>
      <c r="W54" s="32">
        <f t="shared" si="9"/>
        <v>-111.26503354778261</v>
      </c>
      <c r="X54">
        <f t="shared" si="11"/>
        <v>1.5470788433116667</v>
      </c>
    </row>
  </sheetData>
  <autoFilter ref="A2:I54"/>
  <mergeCells count="5">
    <mergeCell ref="C1:E1"/>
    <mergeCell ref="G1:I1"/>
    <mergeCell ref="K1:L1"/>
    <mergeCell ref="M1:N1"/>
    <mergeCell ref="O1:P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1"/>
  <sheetViews>
    <sheetView workbookViewId="0">
      <selection activeCell="I4" sqref="I4"/>
    </sheetView>
  </sheetViews>
  <sheetFormatPr defaultRowHeight="18.75" x14ac:dyDescent="0.3"/>
  <cols>
    <col min="1" max="1" width="9.140625" style="34"/>
    <col min="2" max="2" width="13" style="34" customWidth="1"/>
    <col min="3" max="4" width="17.85546875" style="34" bestFit="1" customWidth="1"/>
    <col min="5" max="5" width="9.140625" style="34"/>
    <col min="6" max="6" width="18.42578125" style="34" customWidth="1"/>
    <col min="7" max="8" width="21.85546875" style="36" customWidth="1"/>
    <col min="9" max="16384" width="9.140625" style="34"/>
  </cols>
  <sheetData>
    <row r="3" spans="2:9" ht="19.5" thickBot="1" x14ac:dyDescent="0.35"/>
    <row r="4" spans="2:9" ht="19.5" thickBot="1" x14ac:dyDescent="0.35">
      <c r="C4" s="63" t="s">
        <v>21</v>
      </c>
      <c r="D4" s="64"/>
      <c r="E4" s="36"/>
      <c r="F4" s="36"/>
      <c r="G4" s="65" t="s">
        <v>20</v>
      </c>
      <c r="H4" s="66"/>
      <c r="I4" s="35"/>
    </row>
    <row r="5" spans="2:9" ht="19.5" thickBot="1" x14ac:dyDescent="0.35">
      <c r="C5" s="45" t="s">
        <v>19</v>
      </c>
      <c r="D5" s="37" t="s">
        <v>18</v>
      </c>
      <c r="G5" s="52" t="s">
        <v>19</v>
      </c>
      <c r="H5" s="53" t="s">
        <v>18</v>
      </c>
    </row>
    <row r="6" spans="2:9" x14ac:dyDescent="0.3">
      <c r="B6" s="46" t="s">
        <v>22</v>
      </c>
      <c r="C6" s="47">
        <f>MIN('Immunisation 1'!$V$3:$V$54)</f>
        <v>29.362641963448169</v>
      </c>
      <c r="D6" s="49">
        <f>MIN('Immunisation 2'!$W$3:$W$54)</f>
        <v>-111.26503354778261</v>
      </c>
      <c r="F6" s="42" t="s">
        <v>22</v>
      </c>
      <c r="G6" s="54">
        <f>MIN('Immunisation 1'!$W$3:$W$54)</f>
        <v>-0.26967937674476916</v>
      </c>
      <c r="H6" s="55">
        <f>MIN('Immunisation 2'!$X$3:$X$54)</f>
        <v>0.2171180617926094</v>
      </c>
    </row>
    <row r="7" spans="2:9" x14ac:dyDescent="0.3">
      <c r="B7" s="40" t="s">
        <v>23</v>
      </c>
      <c r="C7" s="38">
        <f>MAX('Immunisation 1'!$V$3:$V$54)</f>
        <v>29.87199701202475</v>
      </c>
      <c r="D7" s="50">
        <f>MAX('Immunisation 2'!$W$3:$W$54)</f>
        <v>-57.178409285101615</v>
      </c>
      <c r="F7" s="43" t="s">
        <v>23</v>
      </c>
      <c r="G7" s="56">
        <f>MAX('Immunisation 1'!$W$3:$W$54)</f>
        <v>0.64094367018558973</v>
      </c>
      <c r="H7" s="57">
        <f>MAX('Immunisation 2'!$X$3:$X$54)</f>
        <v>2.3094840695741414</v>
      </c>
    </row>
    <row r="8" spans="2:9" x14ac:dyDescent="0.3">
      <c r="B8" s="40" t="s">
        <v>27</v>
      </c>
      <c r="C8" s="39">
        <f>C7-C6</f>
        <v>0.50935504857658032</v>
      </c>
      <c r="D8" s="50">
        <f>D7-D6</f>
        <v>54.086624262680992</v>
      </c>
      <c r="F8" s="43" t="s">
        <v>27</v>
      </c>
      <c r="G8" s="58">
        <f>G7-G6</f>
        <v>0.91062304693035889</v>
      </c>
      <c r="H8" s="59">
        <f>H7-H6</f>
        <v>2.092366007781532</v>
      </c>
    </row>
    <row r="9" spans="2:9" x14ac:dyDescent="0.3">
      <c r="B9" s="40" t="s">
        <v>24</v>
      </c>
      <c r="C9" s="38">
        <f>MIN('Immunisation 1'!$V$3:$V$54)</f>
        <v>29.362641963448169</v>
      </c>
      <c r="D9" s="50">
        <f>AVERAGE('Immunisation 2'!$W$3:$W$54)</f>
        <v>-80.098101983281595</v>
      </c>
      <c r="F9" s="43" t="s">
        <v>24</v>
      </c>
      <c r="G9" s="56">
        <f>AVERAGE('Immunisation 1'!$W$3:$W$54)</f>
        <v>3.2940992056183428E-2</v>
      </c>
      <c r="H9" s="57">
        <f>AVERAGE('Immunisation 2'!$X$3:$X$54)</f>
        <v>1.3149890032195295</v>
      </c>
    </row>
    <row r="10" spans="2:9" x14ac:dyDescent="0.3">
      <c r="B10" s="40" t="s">
        <v>25</v>
      </c>
      <c r="C10" s="38">
        <f>MIN('Immunisation 1'!$V$3:$V$54)</f>
        <v>29.362641963448169</v>
      </c>
      <c r="D10" s="50">
        <f>_xlfn.VAR.P('Immunisation 2'!$W$3:$W$54)</f>
        <v>231.60517380078812</v>
      </c>
      <c r="F10" s="43" t="s">
        <v>25</v>
      </c>
      <c r="G10" s="56">
        <f>_xlfn.VAR.P('Immunisation 1'!$W$3:$W$54)</f>
        <v>2.2121098640468989E-2</v>
      </c>
      <c r="H10" s="57">
        <f>_xlfn.VAR.P('Immunisation 2'!$X$3:$X$54)</f>
        <v>0.21510605178483924</v>
      </c>
    </row>
    <row r="11" spans="2:9" ht="19.5" thickBot="1" x14ac:dyDescent="0.35">
      <c r="B11" s="41" t="s">
        <v>26</v>
      </c>
      <c r="C11" s="48">
        <f>MIN('Immunisation 1'!$V$3:$V$54)</f>
        <v>29.362641963448169</v>
      </c>
      <c r="D11" s="51">
        <f>_xlfn.STDEV.P('Immunisation 2'!$W$3:$W$54)</f>
        <v>15.218579887781518</v>
      </c>
      <c r="F11" s="44" t="s">
        <v>26</v>
      </c>
      <c r="G11" s="60">
        <f>_xlfn.STDEV.P('Immunisation 1'!$W$3:$W$54)</f>
        <v>0.14873163295166564</v>
      </c>
      <c r="H11" s="61">
        <f>_xlfn.STDEV.P('Immunisation 2'!$X$3:$X$54)</f>
        <v>0.46379526925664005</v>
      </c>
    </row>
  </sheetData>
  <mergeCells count="2">
    <mergeCell ref="C4:D4"/>
    <mergeCell ref="G4:H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yields_BRUTE</vt:lpstr>
      <vt:lpstr>maturity_BRUTE</vt:lpstr>
      <vt:lpstr>yields</vt:lpstr>
      <vt:lpstr>maturity</vt:lpstr>
      <vt:lpstr>Immunisation 1</vt:lpstr>
      <vt:lpstr>Immunisation 2</vt:lpstr>
      <vt:lpstr>RECAP INDICATEUR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Fontaine</dc:creator>
  <cp:lastModifiedBy>USER</cp:lastModifiedBy>
  <dcterms:created xsi:type="dcterms:W3CDTF">2017-03-30T14:01:03Z</dcterms:created>
  <dcterms:modified xsi:type="dcterms:W3CDTF">2022-12-04T21:29:44Z</dcterms:modified>
</cp:coreProperties>
</file>