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Y ACTIVITIES\PERSO\Actuaire\FORMATION\CANADA 2021\COURS AUTOMNE 2022\ECN 6258-A- MONNAIE\Devoir\DEVOIR 3\"/>
    </mc:Choice>
  </mc:AlternateContent>
  <bookViews>
    <workbookView xWindow="0" yWindow="0" windowWidth="20490" windowHeight="7155" activeTab="3"/>
  </bookViews>
  <sheets>
    <sheet name="SENARIO 1" sheetId="1" r:id="rId1"/>
    <sheet name="SENARIO 2" sheetId="2" r:id="rId2"/>
    <sheet name="2-GRAPHIQUE" sheetId="4" r:id="rId3"/>
    <sheet name="3-GRAPHIQUE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F18" i="2"/>
  <c r="F19" i="2"/>
  <c r="F20" i="2"/>
  <c r="F21" i="2"/>
  <c r="F22" i="2"/>
  <c r="F23" i="2"/>
  <c r="F24" i="2"/>
  <c r="F25" i="2"/>
  <c r="F26" i="2"/>
  <c r="F27" i="2"/>
  <c r="F28" i="2"/>
  <c r="F29" i="2"/>
  <c r="F29" i="1"/>
  <c r="F25" i="1"/>
  <c r="F26" i="1"/>
  <c r="F27" i="1"/>
  <c r="F28" i="1"/>
  <c r="D3" i="1"/>
  <c r="E3" i="1"/>
  <c r="E3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4" i="2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  <c r="E7" i="1"/>
  <c r="E11" i="1"/>
  <c r="E15" i="1"/>
  <c r="E19" i="1"/>
  <c r="E23" i="1"/>
  <c r="D4" i="1"/>
  <c r="E4" i="1" s="1"/>
  <c r="D5" i="1"/>
  <c r="E5" i="1" s="1"/>
  <c r="D6" i="1"/>
  <c r="E6" i="1" s="1"/>
  <c r="D7" i="1"/>
  <c r="D8" i="1"/>
  <c r="E8" i="1" s="1"/>
  <c r="D9" i="1"/>
  <c r="E9" i="1" s="1"/>
  <c r="D10" i="1"/>
  <c r="E10" i="1" s="1"/>
  <c r="D11" i="1"/>
  <c r="D12" i="1"/>
  <c r="E12" i="1" s="1"/>
  <c r="D13" i="1"/>
  <c r="E13" i="1" s="1"/>
  <c r="D14" i="1"/>
  <c r="E14" i="1" s="1"/>
  <c r="D15" i="1"/>
  <c r="D16" i="1"/>
  <c r="E16" i="1" s="1"/>
  <c r="D17" i="1"/>
  <c r="E17" i="1" s="1"/>
  <c r="D18" i="1"/>
  <c r="E18" i="1" s="1"/>
  <c r="D19" i="1"/>
  <c r="D20" i="1"/>
  <c r="E20" i="1" s="1"/>
  <c r="D21" i="1"/>
  <c r="E21" i="1" s="1"/>
  <c r="D22" i="1"/>
  <c r="E22" i="1" s="1"/>
  <c r="D23" i="1"/>
  <c r="D24" i="1"/>
  <c r="E24" i="1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</calcChain>
</file>

<file path=xl/comments1.xml><?xml version="1.0" encoding="utf-8"?>
<comments xmlns="http://schemas.openxmlformats.org/spreadsheetml/2006/main">
  <authors>
    <author>EliteBook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EliteBook:</t>
        </r>
        <r>
          <rPr>
            <sz val="9"/>
            <color indexed="81"/>
            <rFont val="Tahoma"/>
            <family val="2"/>
          </rPr>
          <t xml:space="preserve">
Date d'anonce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EliteBook:</t>
        </r>
        <r>
          <rPr>
            <sz val="9"/>
            <color indexed="81"/>
            <rFont val="Tahoma"/>
            <family val="2"/>
          </rPr>
          <t xml:space="preserve">
Date de maturité</t>
        </r>
      </text>
    </comment>
  </commentList>
</comments>
</file>

<file path=xl/comments2.xml><?xml version="1.0" encoding="utf-8"?>
<comments xmlns="http://schemas.openxmlformats.org/spreadsheetml/2006/main">
  <authors>
    <author>EliteBook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EliteBook:</t>
        </r>
        <r>
          <rPr>
            <sz val="9"/>
            <color indexed="81"/>
            <rFont val="Tahoma"/>
            <family val="2"/>
          </rPr>
          <t xml:space="preserve">
Date d'anonce</t>
        </r>
      </text>
    </comment>
  </commentList>
</comments>
</file>

<file path=xl/sharedStrings.xml><?xml version="1.0" encoding="utf-8"?>
<sst xmlns="http://schemas.openxmlformats.org/spreadsheetml/2006/main" count="14" uniqueCount="10">
  <si>
    <t>Scénario 1</t>
  </si>
  <si>
    <t>Scénario 2</t>
  </si>
  <si>
    <t>Poids w</t>
  </si>
  <si>
    <t>Date</t>
  </si>
  <si>
    <t>r(t): taux cible</t>
  </si>
  <si>
    <t>r(t,T): taux spot</t>
  </si>
  <si>
    <t>Anticipation 2: e(t)</t>
  </si>
  <si>
    <t>Anticipation 1: e(t)</t>
  </si>
  <si>
    <t>Surprise 2</t>
  </si>
  <si>
    <t>Surprise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</si>
</sst>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14" fontId="1" fillId="2" borderId="0" xfId="0" applyNumberFormat="1" applyFont="1" applyFill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'SENARIO 2'!$E$2</c:f>
              <c:strCache>
                <c:ptCount val="1"/>
                <c:pt idx="0">
                  <c:v>Anticipation 2: e(t)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'SENARIO 2'!$A$3:$A$19</c:f>
              <c:numCache>
                <c:formatCode>m/d/yyyy</c:formatCode>
                <c:ptCount val="17"/>
                <c:pt idx="0">
                  <c:v>42908</c:v>
                </c:pt>
                <c:pt idx="1">
                  <c:v>42909</c:v>
                </c:pt>
                <c:pt idx="2">
                  <c:v>42912</c:v>
                </c:pt>
                <c:pt idx="3">
                  <c:v>42913</c:v>
                </c:pt>
                <c:pt idx="4">
                  <c:v>42914</c:v>
                </c:pt>
                <c:pt idx="5">
                  <c:v>42915</c:v>
                </c:pt>
                <c:pt idx="6">
                  <c:v>42916</c:v>
                </c:pt>
                <c:pt idx="7">
                  <c:v>42919</c:v>
                </c:pt>
                <c:pt idx="8">
                  <c:v>42920</c:v>
                </c:pt>
                <c:pt idx="9">
                  <c:v>42921</c:v>
                </c:pt>
                <c:pt idx="10">
                  <c:v>42922</c:v>
                </c:pt>
                <c:pt idx="11">
                  <c:v>42923</c:v>
                </c:pt>
                <c:pt idx="12">
                  <c:v>42926</c:v>
                </c:pt>
                <c:pt idx="13">
                  <c:v>42927</c:v>
                </c:pt>
                <c:pt idx="14">
                  <c:v>42928</c:v>
                </c:pt>
                <c:pt idx="15">
                  <c:v>42929</c:v>
                </c:pt>
                <c:pt idx="16">
                  <c:v>42930</c:v>
                </c:pt>
              </c:numCache>
            </c:numRef>
          </c:cat>
          <c:val>
            <c:numRef>
              <c:f>'SENARIO 2'!$E$3:$E$19</c:f>
              <c:numCache>
                <c:formatCode>General</c:formatCode>
                <c:ptCount val="17"/>
                <c:pt idx="0">
                  <c:v>0.67346189824999991</c:v>
                </c:pt>
                <c:pt idx="1">
                  <c:v>0.60045048999999995</c:v>
                </c:pt>
                <c:pt idx="2">
                  <c:v>0.58694216999999993</c:v>
                </c:pt>
                <c:pt idx="3">
                  <c:v>0.59485980431249996</c:v>
                </c:pt>
                <c:pt idx="4">
                  <c:v>0.69123738875000007</c:v>
                </c:pt>
                <c:pt idx="5">
                  <c:v>0.69749119806250004</c:v>
                </c:pt>
                <c:pt idx="6">
                  <c:v>0.76600000000000001</c:v>
                </c:pt>
                <c:pt idx="7">
                  <c:v>0.72319144843749994</c:v>
                </c:pt>
                <c:pt idx="8">
                  <c:v>0.72899507299999988</c:v>
                </c:pt>
                <c:pt idx="9">
                  <c:v>0.73391353049999997</c:v>
                </c:pt>
                <c:pt idx="10">
                  <c:v>0.73325252499999993</c:v>
                </c:pt>
                <c:pt idx="11">
                  <c:v>0.77685163887500008</c:v>
                </c:pt>
                <c:pt idx="12">
                  <c:v>0.74203340900000003</c:v>
                </c:pt>
                <c:pt idx="13">
                  <c:v>0.73017721837500005</c:v>
                </c:pt>
                <c:pt idx="14">
                  <c:v>0.75182068300000005</c:v>
                </c:pt>
                <c:pt idx="15">
                  <c:v>0.75</c:v>
                </c:pt>
                <c:pt idx="16">
                  <c:v>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872816"/>
        <c:axId val="1810880432"/>
      </c:lineChart>
      <c:dateAx>
        <c:axId val="181087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80432"/>
        <c:crosses val="autoZero"/>
        <c:auto val="1"/>
        <c:lblOffset val="100"/>
        <c:baseTimeUnit val="days"/>
      </c:dateAx>
      <c:valAx>
        <c:axId val="181088043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Valeurs des Anticipation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72816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'SENARIO 1'!$E$2</c:f>
              <c:strCache>
                <c:ptCount val="1"/>
                <c:pt idx="0">
                  <c:v>Anticipation 1: e(t)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'SENARIO 1'!$A$3:$A$29</c:f>
              <c:numCache>
                <c:formatCode>m/d/yyyy</c:formatCode>
                <c:ptCount val="27"/>
                <c:pt idx="0">
                  <c:v>41998</c:v>
                </c:pt>
                <c:pt idx="1">
                  <c:v>41999</c:v>
                </c:pt>
                <c:pt idx="2">
                  <c:v>42002</c:v>
                </c:pt>
                <c:pt idx="3">
                  <c:v>42003</c:v>
                </c:pt>
                <c:pt idx="4">
                  <c:v>42004</c:v>
                </c:pt>
                <c:pt idx="5">
                  <c:v>42005</c:v>
                </c:pt>
                <c:pt idx="6">
                  <c:v>42006</c:v>
                </c:pt>
                <c:pt idx="7">
                  <c:v>42009</c:v>
                </c:pt>
                <c:pt idx="8">
                  <c:v>42010</c:v>
                </c:pt>
                <c:pt idx="9">
                  <c:v>42011</c:v>
                </c:pt>
                <c:pt idx="10">
                  <c:v>42012</c:v>
                </c:pt>
                <c:pt idx="11">
                  <c:v>42013</c:v>
                </c:pt>
                <c:pt idx="12">
                  <c:v>42016</c:v>
                </c:pt>
                <c:pt idx="13">
                  <c:v>42017</c:v>
                </c:pt>
                <c:pt idx="14">
                  <c:v>42018</c:v>
                </c:pt>
                <c:pt idx="15">
                  <c:v>42019</c:v>
                </c:pt>
                <c:pt idx="16">
                  <c:v>42020</c:v>
                </c:pt>
                <c:pt idx="17">
                  <c:v>42023</c:v>
                </c:pt>
                <c:pt idx="18">
                  <c:v>42024</c:v>
                </c:pt>
                <c:pt idx="19">
                  <c:v>42025</c:v>
                </c:pt>
                <c:pt idx="20">
                  <c:v>42026</c:v>
                </c:pt>
                <c:pt idx="21">
                  <c:v>42027</c:v>
                </c:pt>
                <c:pt idx="22">
                  <c:v>42030</c:v>
                </c:pt>
                <c:pt idx="23">
                  <c:v>42031</c:v>
                </c:pt>
                <c:pt idx="24">
                  <c:v>42032</c:v>
                </c:pt>
                <c:pt idx="25">
                  <c:v>42033</c:v>
                </c:pt>
                <c:pt idx="26">
                  <c:v>42034</c:v>
                </c:pt>
              </c:numCache>
            </c:numRef>
          </c:cat>
          <c:val>
            <c:numRef>
              <c:f>'SENARIO 1'!$E$3:$E$29</c:f>
              <c:numCache>
                <c:formatCode>General</c:formatCode>
                <c:ptCount val="27"/>
                <c:pt idx="0">
                  <c:v>1.0226620822857138</c:v>
                </c:pt>
                <c:pt idx="1">
                  <c:v>1.0217109899999999</c:v>
                </c:pt>
                <c:pt idx="2">
                  <c:v>1.0240828342857138</c:v>
                </c:pt>
                <c:pt idx="3">
                  <c:v>1.0221428571428568</c:v>
                </c:pt>
                <c:pt idx="4">
                  <c:v>1.0201322071428569</c:v>
                </c:pt>
                <c:pt idx="5">
                  <c:v>1.0188977712857143</c:v>
                </c:pt>
                <c:pt idx="6">
                  <c:v>1.0180301199999997</c:v>
                </c:pt>
                <c:pt idx="7">
                  <c:v>1.0095825571428572</c:v>
                </c:pt>
                <c:pt idx="8">
                  <c:v>1.0057371794285719</c:v>
                </c:pt>
                <c:pt idx="9">
                  <c:v>1.0063631405714286</c:v>
                </c:pt>
                <c:pt idx="10">
                  <c:v>1.0029206005714286</c:v>
                </c:pt>
                <c:pt idx="11">
                  <c:v>0.99400000000000022</c:v>
                </c:pt>
                <c:pt idx="12">
                  <c:v>0.99355620057142846</c:v>
                </c:pt>
                <c:pt idx="13">
                  <c:v>0.99958639485714307</c:v>
                </c:pt>
                <c:pt idx="14">
                  <c:v>0.98935787885714244</c:v>
                </c:pt>
                <c:pt idx="15">
                  <c:v>0.96597638499999983</c:v>
                </c:pt>
                <c:pt idx="16">
                  <c:v>0.97399999999999998</c:v>
                </c:pt>
                <c:pt idx="17">
                  <c:v>0.98674481457142849</c:v>
                </c:pt>
                <c:pt idx="18">
                  <c:v>0.97535535571428578</c:v>
                </c:pt>
                <c:pt idx="19">
                  <c:v>0.99921425371428574</c:v>
                </c:pt>
                <c:pt idx="20">
                  <c:v>0.98892348228571425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874448"/>
        <c:axId val="1810881520"/>
      </c:lineChart>
      <c:dateAx>
        <c:axId val="181087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81520"/>
        <c:crosses val="autoZero"/>
        <c:auto val="1"/>
        <c:lblOffset val="100"/>
        <c:baseTimeUnit val="days"/>
      </c:dateAx>
      <c:valAx>
        <c:axId val="1810881520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Valeurs des Anticipation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74448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'SENARIO 2'!$F$2</c:f>
              <c:strCache>
                <c:ptCount val="1"/>
                <c:pt idx="0">
                  <c:v>Surprise 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'SENARIO 2'!$A$3:$A$29</c:f>
              <c:numCache>
                <c:formatCode>m/d/yyyy</c:formatCode>
                <c:ptCount val="27"/>
                <c:pt idx="0">
                  <c:v>42908</c:v>
                </c:pt>
                <c:pt idx="1">
                  <c:v>42909</c:v>
                </c:pt>
                <c:pt idx="2">
                  <c:v>42912</c:v>
                </c:pt>
                <c:pt idx="3">
                  <c:v>42913</c:v>
                </c:pt>
                <c:pt idx="4">
                  <c:v>42914</c:v>
                </c:pt>
                <c:pt idx="5">
                  <c:v>42915</c:v>
                </c:pt>
                <c:pt idx="6">
                  <c:v>42916</c:v>
                </c:pt>
                <c:pt idx="7">
                  <c:v>42919</c:v>
                </c:pt>
                <c:pt idx="8">
                  <c:v>42920</c:v>
                </c:pt>
                <c:pt idx="9">
                  <c:v>42921</c:v>
                </c:pt>
                <c:pt idx="10">
                  <c:v>42922</c:v>
                </c:pt>
                <c:pt idx="11">
                  <c:v>42923</c:v>
                </c:pt>
                <c:pt idx="12">
                  <c:v>42926</c:v>
                </c:pt>
                <c:pt idx="13">
                  <c:v>42927</c:v>
                </c:pt>
                <c:pt idx="14">
                  <c:v>42928</c:v>
                </c:pt>
                <c:pt idx="15">
                  <c:v>42929</c:v>
                </c:pt>
                <c:pt idx="16">
                  <c:v>42930</c:v>
                </c:pt>
                <c:pt idx="17">
                  <c:v>42933</c:v>
                </c:pt>
                <c:pt idx="18">
                  <c:v>42934</c:v>
                </c:pt>
                <c:pt idx="19">
                  <c:v>42935</c:v>
                </c:pt>
                <c:pt idx="20">
                  <c:v>42936</c:v>
                </c:pt>
                <c:pt idx="21">
                  <c:v>42937</c:v>
                </c:pt>
                <c:pt idx="22">
                  <c:v>42940</c:v>
                </c:pt>
                <c:pt idx="23">
                  <c:v>42941</c:v>
                </c:pt>
                <c:pt idx="24">
                  <c:v>42942</c:v>
                </c:pt>
                <c:pt idx="25">
                  <c:v>42943</c:v>
                </c:pt>
                <c:pt idx="26">
                  <c:v>42944</c:v>
                </c:pt>
              </c:numCache>
            </c:numRef>
          </c:cat>
          <c:val>
            <c:numRef>
              <c:f>'SENARIO 2'!$F$3:$F$29</c:f>
              <c:numCache>
                <c:formatCode>General</c:formatCode>
                <c:ptCount val="27"/>
                <c:pt idx="1">
                  <c:v>-7.3011408249999965E-2</c:v>
                </c:pt>
                <c:pt idx="2">
                  <c:v>-1.3508320000000018E-2</c:v>
                </c:pt>
                <c:pt idx="3">
                  <c:v>7.9176343125000326E-3</c:v>
                </c:pt>
                <c:pt idx="4">
                  <c:v>9.6377584437500108E-2</c:v>
                </c:pt>
                <c:pt idx="5">
                  <c:v>6.2538093124999694E-3</c:v>
                </c:pt>
                <c:pt idx="6">
                  <c:v>6.8508801937499975E-2</c:v>
                </c:pt>
                <c:pt idx="7">
                  <c:v>-4.2808551562500075E-2</c:v>
                </c:pt>
                <c:pt idx="8">
                  <c:v>5.8036245624999427E-3</c:v>
                </c:pt>
                <c:pt idx="9">
                  <c:v>4.9184575000000841E-3</c:v>
                </c:pt>
                <c:pt idx="10">
                  <c:v>-6.6100550000003366E-4</c:v>
                </c:pt>
                <c:pt idx="11">
                  <c:v>4.3599113875000151E-2</c:v>
                </c:pt>
                <c:pt idx="12">
                  <c:v>-3.4818229875000051E-2</c:v>
                </c:pt>
                <c:pt idx="13">
                  <c:v>-1.1856190624999985E-2</c:v>
                </c:pt>
                <c:pt idx="14">
                  <c:v>2.1643464624999997E-2</c:v>
                </c:pt>
                <c:pt idx="15">
                  <c:v>-1.8206830000000451E-3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871184"/>
        <c:axId val="1810868464"/>
      </c:lineChart>
      <c:dateAx>
        <c:axId val="181087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51914387346318547"/>
              <c:y val="0.94191008673898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68464"/>
        <c:crosses val="autoZero"/>
        <c:auto val="1"/>
        <c:lblOffset val="100"/>
        <c:baseTimeUnit val="days"/>
      </c:dateAx>
      <c:valAx>
        <c:axId val="1810868464"/>
        <c:scaling>
          <c:orientation val="minMax"/>
          <c:max val="0.2"/>
          <c:min val="-7.500000000000001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Valeurs des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surprises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71184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'SENARIO 1'!$F$2</c:f>
              <c:strCache>
                <c:ptCount val="1"/>
                <c:pt idx="0">
                  <c:v>Surprise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'SENARIO 1'!$A$3:$A$29</c:f>
              <c:numCache>
                <c:formatCode>m/d/yyyy</c:formatCode>
                <c:ptCount val="27"/>
                <c:pt idx="0">
                  <c:v>41998</c:v>
                </c:pt>
                <c:pt idx="1">
                  <c:v>41999</c:v>
                </c:pt>
                <c:pt idx="2">
                  <c:v>42002</c:v>
                </c:pt>
                <c:pt idx="3">
                  <c:v>42003</c:v>
                </c:pt>
                <c:pt idx="4">
                  <c:v>42004</c:v>
                </c:pt>
                <c:pt idx="5">
                  <c:v>42005</c:v>
                </c:pt>
                <c:pt idx="6">
                  <c:v>42006</c:v>
                </c:pt>
                <c:pt idx="7">
                  <c:v>42009</c:v>
                </c:pt>
                <c:pt idx="8">
                  <c:v>42010</c:v>
                </c:pt>
                <c:pt idx="9">
                  <c:v>42011</c:v>
                </c:pt>
                <c:pt idx="10">
                  <c:v>42012</c:v>
                </c:pt>
                <c:pt idx="11">
                  <c:v>42013</c:v>
                </c:pt>
                <c:pt idx="12">
                  <c:v>42016</c:v>
                </c:pt>
                <c:pt idx="13">
                  <c:v>42017</c:v>
                </c:pt>
                <c:pt idx="14">
                  <c:v>42018</c:v>
                </c:pt>
                <c:pt idx="15">
                  <c:v>42019</c:v>
                </c:pt>
                <c:pt idx="16">
                  <c:v>42020</c:v>
                </c:pt>
                <c:pt idx="17">
                  <c:v>42023</c:v>
                </c:pt>
                <c:pt idx="18">
                  <c:v>42024</c:v>
                </c:pt>
                <c:pt idx="19">
                  <c:v>42025</c:v>
                </c:pt>
                <c:pt idx="20">
                  <c:v>42026</c:v>
                </c:pt>
                <c:pt idx="21">
                  <c:v>42027</c:v>
                </c:pt>
                <c:pt idx="22">
                  <c:v>42030</c:v>
                </c:pt>
                <c:pt idx="23">
                  <c:v>42031</c:v>
                </c:pt>
                <c:pt idx="24">
                  <c:v>42032</c:v>
                </c:pt>
                <c:pt idx="25">
                  <c:v>42033</c:v>
                </c:pt>
                <c:pt idx="26">
                  <c:v>42034</c:v>
                </c:pt>
              </c:numCache>
            </c:numRef>
          </c:cat>
          <c:val>
            <c:numRef>
              <c:f>'SENARIO 1'!$F$3:$F$29</c:f>
              <c:numCache>
                <c:formatCode>General</c:formatCode>
                <c:ptCount val="27"/>
                <c:pt idx="1">
                  <c:v>-9.5109228571388371E-4</c:v>
                </c:pt>
                <c:pt idx="2">
                  <c:v>2.3718442857139088E-3</c:v>
                </c:pt>
                <c:pt idx="3">
                  <c:v>-1.9399771428569856E-3</c:v>
                </c:pt>
                <c:pt idx="4">
                  <c:v>-2.0106499999998917E-3</c:v>
                </c:pt>
                <c:pt idx="5">
                  <c:v>-1.2344358571425573E-3</c:v>
                </c:pt>
                <c:pt idx="6">
                  <c:v>-8.6765128571464345E-4</c:v>
                </c:pt>
                <c:pt idx="7">
                  <c:v>-8.4475628571425432E-3</c:v>
                </c:pt>
                <c:pt idx="8">
                  <c:v>-3.8453777142852807E-3</c:v>
                </c:pt>
                <c:pt idx="9">
                  <c:v>6.2596114285673465E-4</c:v>
                </c:pt>
                <c:pt idx="10">
                  <c:v>-3.4425399999999939E-3</c:v>
                </c:pt>
                <c:pt idx="11">
                  <c:v>-8.9206005714284053E-3</c:v>
                </c:pt>
                <c:pt idx="12">
                  <c:v>-4.4379942857175614E-4</c:v>
                </c:pt>
                <c:pt idx="13">
                  <c:v>6.0301942857146074E-3</c:v>
                </c:pt>
                <c:pt idx="14">
                  <c:v>-1.0228516000000631E-2</c:v>
                </c:pt>
                <c:pt idx="15">
                  <c:v>-2.338149385714261E-2</c:v>
                </c:pt>
                <c:pt idx="16">
                  <c:v>8.0236150000001505E-3</c:v>
                </c:pt>
                <c:pt idx="17">
                  <c:v>1.2744814571428509E-2</c:v>
                </c:pt>
                <c:pt idx="18">
                  <c:v>-1.1389458857142709E-2</c:v>
                </c:pt>
                <c:pt idx="19">
                  <c:v>2.3858897999999962E-2</c:v>
                </c:pt>
                <c:pt idx="20">
                  <c:v>-1.0290771428571488E-2</c:v>
                </c:pt>
                <c:pt idx="21">
                  <c:v>-0.23892348228571425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872272"/>
        <c:axId val="1692206976"/>
      </c:lineChart>
      <c:dateAx>
        <c:axId val="181087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53350859391418604"/>
              <c:y val="0.9225860794080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206976"/>
        <c:crosses val="autoZero"/>
        <c:auto val="1"/>
        <c:lblOffset val="100"/>
        <c:baseTimeUnit val="days"/>
      </c:dateAx>
      <c:valAx>
        <c:axId val="1692206976"/>
        <c:scaling>
          <c:orientation val="minMax"/>
          <c:max val="0.25"/>
          <c:min val="-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Valeurs des surprises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72272"/>
        <c:crosses val="autoZero"/>
        <c:crossBetween val="between"/>
        <c:majorUnit val="0.1"/>
      </c:valAx>
      <c:spPr>
        <a:noFill/>
        <a:ln w="0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19049</xdr:rowOff>
    </xdr:from>
    <xdr:to>
      <xdr:col>17</xdr:col>
      <xdr:colOff>590549</xdr:colOff>
      <xdr:row>18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8</xdr:col>
      <xdr:colOff>552449</xdr:colOff>
      <xdr:row>18</xdr:row>
      <xdr:rowOff>76201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19049</xdr:rowOff>
    </xdr:from>
    <xdr:to>
      <xdr:col>18</xdr:col>
      <xdr:colOff>342900</xdr:colOff>
      <xdr:row>18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8</xdr:col>
      <xdr:colOff>552449</xdr:colOff>
      <xdr:row>18</xdr:row>
      <xdr:rowOff>76201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1"/>
  <sheetViews>
    <sheetView topLeftCell="A12" workbookViewId="0">
      <selection activeCell="H27" sqref="H27"/>
    </sheetView>
  </sheetViews>
  <sheetFormatPr defaultColWidth="11.42578125" defaultRowHeight="15" x14ac:dyDescent="0.25"/>
  <cols>
    <col min="1" max="1" width="14.85546875" customWidth="1"/>
    <col min="2" max="2" width="17.140625" style="3" customWidth="1"/>
    <col min="3" max="3" width="16.28515625" style="3" customWidth="1"/>
    <col min="5" max="5" width="14.85546875" customWidth="1"/>
  </cols>
  <sheetData>
    <row r="1" spans="1:6" x14ac:dyDescent="0.25">
      <c r="A1" s="11" t="s">
        <v>0</v>
      </c>
      <c r="B1" s="11"/>
      <c r="C1" s="11"/>
      <c r="D1" s="11"/>
      <c r="E1" s="11"/>
      <c r="F1" s="11"/>
    </row>
    <row r="2" spans="1:6" s="8" customFormat="1" ht="43.5" customHeight="1" x14ac:dyDescent="0.25">
      <c r="A2" s="6" t="s">
        <v>3</v>
      </c>
      <c r="B2" s="6" t="s">
        <v>5</v>
      </c>
      <c r="C2" s="6" t="s">
        <v>4</v>
      </c>
      <c r="D2" s="6" t="s">
        <v>2</v>
      </c>
      <c r="E2" s="7" t="s">
        <v>7</v>
      </c>
      <c r="F2" s="6" t="s">
        <v>9</v>
      </c>
    </row>
    <row r="3" spans="1:6" x14ac:dyDescent="0.25">
      <c r="A3" s="1">
        <v>41998</v>
      </c>
      <c r="B3" s="3">
        <v>1.004406516</v>
      </c>
      <c r="C3" s="3">
        <v>1</v>
      </c>
      <c r="D3">
        <f>($A$24-A3)/($A$29-A3)</f>
        <v>0.80555555555555558</v>
      </c>
      <c r="E3">
        <f>(1/(1-D3))*B3-(D3/(1-D3))*C3</f>
        <v>1.0226620822857138</v>
      </c>
    </row>
    <row r="4" spans="1:6" x14ac:dyDescent="0.25">
      <c r="A4" s="1">
        <v>41999</v>
      </c>
      <c r="B4" s="3">
        <v>1.004342198</v>
      </c>
      <c r="C4" s="3">
        <v>1</v>
      </c>
      <c r="D4">
        <f t="shared" ref="D4:D24" si="0">($A$24-A4)/($A$29-A4)</f>
        <v>0.8</v>
      </c>
      <c r="E4">
        <f t="shared" ref="E4:E24" si="1">(1/(1-D4))*B4-(D4/(1-D4))*C4</f>
        <v>1.0217109899999999</v>
      </c>
      <c r="F4">
        <f>E4-E3</f>
        <v>-9.5109228571388371E-4</v>
      </c>
    </row>
    <row r="5" spans="1:6" x14ac:dyDescent="0.25">
      <c r="A5" s="1">
        <v>42002</v>
      </c>
      <c r="B5" s="3">
        <v>1.00526812</v>
      </c>
      <c r="C5" s="3">
        <v>1</v>
      </c>
      <c r="D5">
        <f t="shared" si="0"/>
        <v>0.78125</v>
      </c>
      <c r="E5">
        <f t="shared" si="1"/>
        <v>1.0240828342857138</v>
      </c>
      <c r="F5">
        <f t="shared" ref="F5:F29" si="2">E5-E4</f>
        <v>2.3718442857139088E-3</v>
      </c>
    </row>
    <row r="6" spans="1:6" x14ac:dyDescent="0.25">
      <c r="A6" s="1">
        <v>42003</v>
      </c>
      <c r="B6" s="3">
        <v>1.0049999999999999</v>
      </c>
      <c r="C6" s="3">
        <v>1</v>
      </c>
      <c r="D6">
        <f t="shared" si="0"/>
        <v>0.77419354838709675</v>
      </c>
      <c r="E6">
        <f t="shared" si="1"/>
        <v>1.0221428571428568</v>
      </c>
      <c r="F6">
        <f t="shared" si="2"/>
        <v>-1.9399771428569856E-3</v>
      </c>
    </row>
    <row r="7" spans="1:6" x14ac:dyDescent="0.25">
      <c r="A7" s="1">
        <v>42004</v>
      </c>
      <c r="B7" s="3">
        <v>1.0046975149999999</v>
      </c>
      <c r="C7" s="3">
        <v>1</v>
      </c>
      <c r="D7">
        <f t="shared" si="0"/>
        <v>0.76666666666666672</v>
      </c>
      <c r="E7">
        <f t="shared" si="1"/>
        <v>1.0201322071428569</v>
      </c>
      <c r="F7">
        <f t="shared" si="2"/>
        <v>-2.0106499999998917E-3</v>
      </c>
    </row>
    <row r="8" spans="1:6" x14ac:dyDescent="0.25">
      <c r="A8" s="1">
        <v>42005</v>
      </c>
      <c r="B8" s="3">
        <v>1.004561531</v>
      </c>
      <c r="C8" s="3">
        <v>1</v>
      </c>
      <c r="D8">
        <f t="shared" si="0"/>
        <v>0.75862068965517238</v>
      </c>
      <c r="E8">
        <f t="shared" si="1"/>
        <v>1.0188977712857143</v>
      </c>
      <c r="F8">
        <f t="shared" si="2"/>
        <v>-1.2344358571425573E-3</v>
      </c>
    </row>
    <row r="9" spans="1:6" x14ac:dyDescent="0.25">
      <c r="A9" s="1">
        <v>42006</v>
      </c>
      <c r="B9" s="3">
        <v>1.0045075299999999</v>
      </c>
      <c r="C9" s="3">
        <v>1</v>
      </c>
      <c r="D9">
        <f t="shared" si="0"/>
        <v>0.75</v>
      </c>
      <c r="E9">
        <f t="shared" si="1"/>
        <v>1.0180301199999997</v>
      </c>
      <c r="F9">
        <f t="shared" si="2"/>
        <v>-8.6765128571464345E-4</v>
      </c>
    </row>
    <row r="10" spans="1:6" x14ac:dyDescent="0.25">
      <c r="A10" s="1">
        <v>42009</v>
      </c>
      <c r="B10" s="3">
        <v>1.002683116</v>
      </c>
      <c r="C10" s="3">
        <v>1</v>
      </c>
      <c r="D10">
        <f t="shared" si="0"/>
        <v>0.72</v>
      </c>
      <c r="E10">
        <f t="shared" si="1"/>
        <v>1.0095825571428572</v>
      </c>
      <c r="F10">
        <f t="shared" si="2"/>
        <v>-8.4475628571425432E-3</v>
      </c>
    </row>
    <row r="11" spans="1:6" x14ac:dyDescent="0.25">
      <c r="A11" s="1">
        <v>42010</v>
      </c>
      <c r="B11" s="3">
        <v>1.0016733440000001</v>
      </c>
      <c r="C11" s="3">
        <v>1</v>
      </c>
      <c r="D11">
        <f t="shared" si="0"/>
        <v>0.70833333333333337</v>
      </c>
      <c r="E11">
        <f t="shared" si="1"/>
        <v>1.0057371794285719</v>
      </c>
      <c r="F11">
        <f t="shared" si="2"/>
        <v>-3.8453777142852807E-3</v>
      </c>
    </row>
    <row r="12" spans="1:6" x14ac:dyDescent="0.25">
      <c r="A12" s="1">
        <v>42011</v>
      </c>
      <c r="B12" s="3">
        <v>1.0019366080000001</v>
      </c>
      <c r="C12" s="3">
        <v>1</v>
      </c>
      <c r="D12">
        <f t="shared" si="0"/>
        <v>0.69565217391304346</v>
      </c>
      <c r="E12">
        <f t="shared" si="1"/>
        <v>1.0063631405714286</v>
      </c>
      <c r="F12">
        <f t="shared" si="2"/>
        <v>6.2596114285673465E-4</v>
      </c>
    </row>
    <row r="13" spans="1:6" x14ac:dyDescent="0.25">
      <c r="A13" s="1">
        <v>42012</v>
      </c>
      <c r="B13" s="3">
        <v>1.000929282</v>
      </c>
      <c r="C13" s="3">
        <v>1</v>
      </c>
      <c r="D13">
        <f t="shared" si="0"/>
        <v>0.68181818181818177</v>
      </c>
      <c r="E13">
        <f t="shared" si="1"/>
        <v>1.0029206005714286</v>
      </c>
      <c r="F13">
        <f t="shared" si="2"/>
        <v>-3.4425399999999939E-3</v>
      </c>
    </row>
    <row r="14" spans="1:6" x14ac:dyDescent="0.25">
      <c r="A14" s="1">
        <v>42013</v>
      </c>
      <c r="B14" s="3">
        <v>0.998</v>
      </c>
      <c r="C14" s="3">
        <v>1</v>
      </c>
      <c r="D14">
        <f t="shared" si="0"/>
        <v>0.66666666666666663</v>
      </c>
      <c r="E14">
        <f t="shared" si="1"/>
        <v>0.99400000000000022</v>
      </c>
      <c r="F14">
        <f t="shared" si="2"/>
        <v>-8.9206005714284053E-3</v>
      </c>
    </row>
    <row r="15" spans="1:6" x14ac:dyDescent="0.25">
      <c r="A15" s="1">
        <v>42016</v>
      </c>
      <c r="B15" s="3">
        <v>0.99749407800000001</v>
      </c>
      <c r="C15" s="3">
        <v>1</v>
      </c>
      <c r="D15">
        <f t="shared" si="0"/>
        <v>0.61111111111111116</v>
      </c>
      <c r="E15">
        <f t="shared" si="1"/>
        <v>0.99355620057142846</v>
      </c>
      <c r="F15">
        <f t="shared" si="2"/>
        <v>-4.4379942857175614E-4</v>
      </c>
    </row>
    <row r="16" spans="1:6" x14ac:dyDescent="0.25">
      <c r="A16" s="1">
        <v>42017</v>
      </c>
      <c r="B16" s="3">
        <v>0.99982969200000005</v>
      </c>
      <c r="C16" s="3">
        <v>1</v>
      </c>
      <c r="D16">
        <f t="shared" si="0"/>
        <v>0.58823529411764708</v>
      </c>
      <c r="E16">
        <f t="shared" si="1"/>
        <v>0.99958639485714307</v>
      </c>
      <c r="F16">
        <f t="shared" si="2"/>
        <v>6.0301942857146074E-3</v>
      </c>
    </row>
    <row r="17" spans="1:11" x14ac:dyDescent="0.25">
      <c r="A17" s="1">
        <v>42018</v>
      </c>
      <c r="B17" s="3">
        <v>0.99534407199999997</v>
      </c>
      <c r="C17" s="3">
        <v>1</v>
      </c>
      <c r="D17">
        <f t="shared" si="0"/>
        <v>0.5625</v>
      </c>
      <c r="E17">
        <f t="shared" si="1"/>
        <v>0.98935787885714244</v>
      </c>
      <c r="F17">
        <f t="shared" si="2"/>
        <v>-1.0228516000000631E-2</v>
      </c>
    </row>
    <row r="18" spans="1:11" x14ac:dyDescent="0.25">
      <c r="A18" s="1">
        <v>42019</v>
      </c>
      <c r="B18" s="3">
        <v>0.98412231299999997</v>
      </c>
      <c r="C18" s="3">
        <v>1</v>
      </c>
      <c r="D18">
        <f t="shared" si="0"/>
        <v>0.53333333333333333</v>
      </c>
      <c r="E18">
        <f t="shared" si="1"/>
        <v>0.96597638499999983</v>
      </c>
      <c r="F18">
        <f t="shared" si="2"/>
        <v>-2.338149385714261E-2</v>
      </c>
    </row>
    <row r="19" spans="1:11" x14ac:dyDescent="0.25">
      <c r="A19" s="1">
        <v>42020</v>
      </c>
      <c r="B19" s="3">
        <v>0.98699999999999999</v>
      </c>
      <c r="C19" s="3">
        <v>1</v>
      </c>
      <c r="D19">
        <f t="shared" si="0"/>
        <v>0.5</v>
      </c>
      <c r="E19">
        <f t="shared" si="1"/>
        <v>0.97399999999999998</v>
      </c>
      <c r="F19">
        <f t="shared" si="2"/>
        <v>8.0236150000001505E-3</v>
      </c>
    </row>
    <row r="20" spans="1:11" x14ac:dyDescent="0.25">
      <c r="A20" s="1">
        <v>42023</v>
      </c>
      <c r="B20" s="3">
        <v>0.99156488200000004</v>
      </c>
      <c r="C20" s="3">
        <v>1</v>
      </c>
      <c r="D20">
        <f t="shared" si="0"/>
        <v>0.36363636363636365</v>
      </c>
      <c r="E20">
        <f t="shared" si="1"/>
        <v>0.98674481457142849</v>
      </c>
      <c r="F20">
        <f t="shared" si="2"/>
        <v>1.2744814571428509E-2</v>
      </c>
    </row>
    <row r="21" spans="1:11" x14ac:dyDescent="0.25">
      <c r="A21" s="1">
        <v>42024</v>
      </c>
      <c r="B21" s="3">
        <v>0.98274874899999998</v>
      </c>
      <c r="C21" s="3">
        <v>1</v>
      </c>
      <c r="D21">
        <f t="shared" si="0"/>
        <v>0.3</v>
      </c>
      <c r="E21">
        <f t="shared" si="1"/>
        <v>0.97535535571428578</v>
      </c>
      <c r="F21">
        <f t="shared" si="2"/>
        <v>-1.1389458857142709E-2</v>
      </c>
    </row>
    <row r="22" spans="1:11" x14ac:dyDescent="0.25">
      <c r="A22" s="1">
        <v>42025</v>
      </c>
      <c r="B22" s="3">
        <v>0.99938886400000004</v>
      </c>
      <c r="C22" s="3">
        <v>1</v>
      </c>
      <c r="D22">
        <f t="shared" si="0"/>
        <v>0.22222222222222221</v>
      </c>
      <c r="E22">
        <f t="shared" si="1"/>
        <v>0.99921425371428574</v>
      </c>
      <c r="F22">
        <f t="shared" si="2"/>
        <v>2.3858897999999962E-2</v>
      </c>
    </row>
    <row r="23" spans="1:11" x14ac:dyDescent="0.25">
      <c r="A23" s="1">
        <v>42026</v>
      </c>
      <c r="B23" s="3">
        <v>0.99030804699999997</v>
      </c>
      <c r="C23" s="3">
        <v>1</v>
      </c>
      <c r="D23">
        <f t="shared" si="0"/>
        <v>0.125</v>
      </c>
      <c r="E23">
        <f t="shared" si="1"/>
        <v>0.98892348228571425</v>
      </c>
      <c r="F23">
        <f t="shared" si="2"/>
        <v>-1.0290771428571488E-2</v>
      </c>
    </row>
    <row r="24" spans="1:11" x14ac:dyDescent="0.25">
      <c r="A24" s="5">
        <v>42027</v>
      </c>
      <c r="B24" s="3">
        <v>0.75</v>
      </c>
      <c r="C24" s="3">
        <v>0.75</v>
      </c>
      <c r="D24">
        <f t="shared" si="0"/>
        <v>0</v>
      </c>
      <c r="E24">
        <f t="shared" si="1"/>
        <v>0.75</v>
      </c>
      <c r="F24">
        <f>E24-E23</f>
        <v>-0.23892348228571425</v>
      </c>
    </row>
    <row r="25" spans="1:11" x14ac:dyDescent="0.25">
      <c r="A25" s="1">
        <v>42030</v>
      </c>
      <c r="B25" s="3">
        <v>0.75</v>
      </c>
      <c r="C25" s="3">
        <v>0.75</v>
      </c>
      <c r="E25">
        <v>0.75</v>
      </c>
      <c r="F25">
        <f t="shared" si="2"/>
        <v>0</v>
      </c>
    </row>
    <row r="26" spans="1:11" x14ac:dyDescent="0.25">
      <c r="A26" s="1">
        <v>42031</v>
      </c>
      <c r="B26" s="3">
        <v>0.75</v>
      </c>
      <c r="C26" s="3">
        <v>0.75</v>
      </c>
      <c r="E26">
        <v>0.75</v>
      </c>
      <c r="F26">
        <f t="shared" si="2"/>
        <v>0</v>
      </c>
    </row>
    <row r="27" spans="1:11" x14ac:dyDescent="0.25">
      <c r="A27" s="1">
        <v>42032</v>
      </c>
      <c r="B27" s="3">
        <v>0.75</v>
      </c>
      <c r="C27" s="3">
        <v>0.75</v>
      </c>
      <c r="E27">
        <v>0.75</v>
      </c>
      <c r="F27">
        <f t="shared" si="2"/>
        <v>0</v>
      </c>
    </row>
    <row r="28" spans="1:11" x14ac:dyDescent="0.25">
      <c r="A28" s="1">
        <v>42033</v>
      </c>
      <c r="B28" s="9">
        <v>0.748</v>
      </c>
      <c r="C28" s="3">
        <v>0.75</v>
      </c>
      <c r="E28">
        <v>0.75</v>
      </c>
      <c r="F28">
        <f t="shared" si="2"/>
        <v>0</v>
      </c>
    </row>
    <row r="29" spans="1:11" x14ac:dyDescent="0.25">
      <c r="A29" s="5">
        <v>42034</v>
      </c>
      <c r="B29" s="3">
        <v>0.75</v>
      </c>
      <c r="C29" s="3">
        <v>0.75</v>
      </c>
      <c r="E29">
        <v>0.75</v>
      </c>
      <c r="F29">
        <f t="shared" si="2"/>
        <v>0</v>
      </c>
    </row>
    <row r="30" spans="1:11" x14ac:dyDescent="0.25">
      <c r="A30" s="1"/>
      <c r="K30" s="4"/>
    </row>
    <row r="31" spans="1:11" x14ac:dyDescent="0.25">
      <c r="K31" s="4"/>
    </row>
  </sheetData>
  <mergeCells count="1">
    <mergeCell ref="A1:F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9"/>
  <sheetViews>
    <sheetView workbookViewId="0">
      <selection activeCell="E3" sqref="E3:E17"/>
    </sheetView>
  </sheetViews>
  <sheetFormatPr defaultColWidth="11.42578125" defaultRowHeight="15" x14ac:dyDescent="0.25"/>
  <cols>
    <col min="1" max="1" width="19.7109375" customWidth="1"/>
    <col min="2" max="2" width="25" customWidth="1"/>
    <col min="3" max="3" width="17.42578125" customWidth="1"/>
    <col min="4" max="4" width="13.85546875" customWidth="1"/>
    <col min="5" max="5" width="16.42578125" customWidth="1"/>
  </cols>
  <sheetData>
    <row r="1" spans="1:6" x14ac:dyDescent="0.25">
      <c r="A1" s="11" t="s">
        <v>1</v>
      </c>
      <c r="B1" s="11"/>
      <c r="C1" s="11"/>
      <c r="D1" s="11"/>
      <c r="E1" s="11"/>
      <c r="F1" s="11"/>
    </row>
    <row r="2" spans="1:6" s="2" customFormat="1" ht="51" customHeight="1" x14ac:dyDescent="0.25">
      <c r="A2" s="6" t="s">
        <v>3</v>
      </c>
      <c r="B2" s="6" t="s">
        <v>5</v>
      </c>
      <c r="C2" s="6" t="s">
        <v>4</v>
      </c>
      <c r="D2" s="6" t="s">
        <v>2</v>
      </c>
      <c r="E2" s="7" t="s">
        <v>6</v>
      </c>
      <c r="F2" s="6" t="s">
        <v>8</v>
      </c>
    </row>
    <row r="3" spans="1:6" x14ac:dyDescent="0.25">
      <c r="A3" s="1">
        <v>42908</v>
      </c>
      <c r="B3" s="4">
        <v>0.57709417699999999</v>
      </c>
      <c r="C3">
        <v>0.5</v>
      </c>
      <c r="D3">
        <f t="shared" ref="D3:D17" si="0">+($A$17-A3)/($A$29-A3)</f>
        <v>0.55555555555555558</v>
      </c>
      <c r="E3">
        <f>(1/(1-D3))*B3-(D3/(1-D3))*C3</f>
        <v>0.67346189824999991</v>
      </c>
    </row>
    <row r="4" spans="1:6" x14ac:dyDescent="0.25">
      <c r="A4" s="1">
        <v>42909</v>
      </c>
      <c r="B4" s="4">
        <v>0.54592022399999995</v>
      </c>
      <c r="C4">
        <v>0.5</v>
      </c>
      <c r="D4">
        <f t="shared" si="0"/>
        <v>0.54285714285714282</v>
      </c>
      <c r="E4">
        <f t="shared" ref="E4:E17" si="1">(1/(1-D4))*B4-(D4/(1-D4))*C4</f>
        <v>0.60045048999999995</v>
      </c>
      <c r="F4">
        <f>E4-E3</f>
        <v>-7.3011408249999965E-2</v>
      </c>
    </row>
    <row r="5" spans="1:6" x14ac:dyDescent="0.25">
      <c r="A5" s="1">
        <v>42912</v>
      </c>
      <c r="B5" s="4">
        <v>0.54347108499999996</v>
      </c>
      <c r="C5">
        <v>0.5</v>
      </c>
      <c r="D5">
        <f t="shared" si="0"/>
        <v>0.5</v>
      </c>
      <c r="E5">
        <f t="shared" si="1"/>
        <v>0.58694216999999993</v>
      </c>
      <c r="F5">
        <f t="shared" ref="F5:F29" si="2">E5-E4</f>
        <v>-1.3508320000000018E-2</v>
      </c>
    </row>
    <row r="6" spans="1:6" x14ac:dyDescent="0.25">
      <c r="A6" s="1">
        <v>42913</v>
      </c>
      <c r="B6" s="4">
        <v>0.54895989899999997</v>
      </c>
      <c r="C6">
        <v>0.5</v>
      </c>
      <c r="D6">
        <f t="shared" si="0"/>
        <v>0.4838709677419355</v>
      </c>
      <c r="E6">
        <f t="shared" si="1"/>
        <v>0.59485980431249996</v>
      </c>
      <c r="F6">
        <f t="shared" si="2"/>
        <v>7.9176343125000326E-3</v>
      </c>
    </row>
    <row r="7" spans="1:6" x14ac:dyDescent="0.25">
      <c r="A7" s="1">
        <v>42914</v>
      </c>
      <c r="B7" s="4">
        <v>0.60199327400000002</v>
      </c>
      <c r="C7">
        <v>0.5</v>
      </c>
      <c r="D7">
        <f t="shared" si="0"/>
        <v>0.46666666666666667</v>
      </c>
      <c r="E7">
        <f t="shared" si="1"/>
        <v>0.69123738875000007</v>
      </c>
      <c r="F7">
        <f t="shared" si="2"/>
        <v>9.6377584437500108E-2</v>
      </c>
    </row>
    <row r="8" spans="1:6" x14ac:dyDescent="0.25">
      <c r="A8" s="1">
        <v>42915</v>
      </c>
      <c r="B8" s="4">
        <v>0.60896066100000001</v>
      </c>
      <c r="C8">
        <v>0.5</v>
      </c>
      <c r="D8">
        <f t="shared" si="0"/>
        <v>0.44827586206896552</v>
      </c>
      <c r="E8">
        <f t="shared" si="1"/>
        <v>0.69749119806250004</v>
      </c>
      <c r="F8">
        <f t="shared" si="2"/>
        <v>6.2538093124999694E-3</v>
      </c>
    </row>
    <row r="9" spans="1:6" x14ac:dyDescent="0.25">
      <c r="A9" s="1">
        <v>42916</v>
      </c>
      <c r="B9" s="4">
        <v>0.65200000000000002</v>
      </c>
      <c r="C9">
        <v>0.5</v>
      </c>
      <c r="D9">
        <f t="shared" si="0"/>
        <v>0.42857142857142855</v>
      </c>
      <c r="E9">
        <f t="shared" si="1"/>
        <v>0.76600000000000001</v>
      </c>
      <c r="F9">
        <f t="shared" si="2"/>
        <v>6.8508801937499975E-2</v>
      </c>
    </row>
    <row r="10" spans="1:6" x14ac:dyDescent="0.25">
      <c r="A10" s="1">
        <v>42919</v>
      </c>
      <c r="B10" s="4">
        <v>0.642842527</v>
      </c>
      <c r="C10">
        <v>0.5</v>
      </c>
      <c r="D10">
        <f t="shared" si="0"/>
        <v>0.36</v>
      </c>
      <c r="E10">
        <f t="shared" si="1"/>
        <v>0.72319144843749994</v>
      </c>
      <c r="F10">
        <f t="shared" si="2"/>
        <v>-4.2808551562500075E-2</v>
      </c>
    </row>
    <row r="11" spans="1:6" x14ac:dyDescent="0.25">
      <c r="A11" s="1">
        <v>42920</v>
      </c>
      <c r="B11" s="4">
        <v>0.65266338199999996</v>
      </c>
      <c r="C11">
        <v>0.5</v>
      </c>
      <c r="D11">
        <f t="shared" si="0"/>
        <v>0.33333333333333331</v>
      </c>
      <c r="E11">
        <f t="shared" si="1"/>
        <v>0.72899507299999988</v>
      </c>
      <c r="F11">
        <f t="shared" si="2"/>
        <v>5.8036245624999427E-3</v>
      </c>
    </row>
    <row r="12" spans="1:6" x14ac:dyDescent="0.25">
      <c r="A12" s="1">
        <v>42921</v>
      </c>
      <c r="B12" s="4">
        <v>0.66272245600000002</v>
      </c>
      <c r="C12">
        <v>0.5</v>
      </c>
      <c r="D12">
        <f t="shared" si="0"/>
        <v>0.30434782608695654</v>
      </c>
      <c r="E12">
        <f t="shared" si="1"/>
        <v>0.73391353049999997</v>
      </c>
      <c r="F12">
        <f t="shared" si="2"/>
        <v>4.9184575000000841E-3</v>
      </c>
    </row>
    <row r="13" spans="1:6" x14ac:dyDescent="0.25">
      <c r="A13" s="1">
        <v>42922</v>
      </c>
      <c r="B13" s="4">
        <v>0.66963819999999996</v>
      </c>
      <c r="C13">
        <v>0.5</v>
      </c>
      <c r="D13">
        <f t="shared" si="0"/>
        <v>0.27272727272727271</v>
      </c>
      <c r="E13">
        <f t="shared" si="1"/>
        <v>0.73325252499999993</v>
      </c>
      <c r="F13">
        <f t="shared" si="2"/>
        <v>-6.6100550000003366E-4</v>
      </c>
    </row>
    <row r="14" spans="1:6" x14ac:dyDescent="0.25">
      <c r="A14" s="1">
        <v>42923</v>
      </c>
      <c r="B14" s="4">
        <v>0.71093458200000004</v>
      </c>
      <c r="C14">
        <v>0.5</v>
      </c>
      <c r="D14">
        <f t="shared" si="0"/>
        <v>0.23809523809523808</v>
      </c>
      <c r="E14">
        <f t="shared" si="1"/>
        <v>0.77685163887500008</v>
      </c>
      <c r="F14">
        <f t="shared" si="2"/>
        <v>4.3599113875000151E-2</v>
      </c>
    </row>
    <row r="15" spans="1:6" x14ac:dyDescent="0.25">
      <c r="A15" s="1">
        <v>42926</v>
      </c>
      <c r="B15" s="4">
        <v>0.71514080800000002</v>
      </c>
      <c r="C15">
        <v>0.5</v>
      </c>
      <c r="D15">
        <f t="shared" si="0"/>
        <v>0.1111111111111111</v>
      </c>
      <c r="E15">
        <f t="shared" si="1"/>
        <v>0.74203340900000003</v>
      </c>
      <c r="F15">
        <f t="shared" si="2"/>
        <v>-3.4818229875000051E-2</v>
      </c>
    </row>
    <row r="16" spans="1:6" x14ac:dyDescent="0.25">
      <c r="A16" s="1">
        <v>42927</v>
      </c>
      <c r="B16" s="4">
        <v>0.71663738200000004</v>
      </c>
      <c r="C16">
        <v>0.5</v>
      </c>
      <c r="D16">
        <f t="shared" si="0"/>
        <v>5.8823529411764705E-2</v>
      </c>
      <c r="E16">
        <f t="shared" si="1"/>
        <v>0.73017721837500005</v>
      </c>
      <c r="F16">
        <f t="shared" si="2"/>
        <v>-1.1856190624999985E-2</v>
      </c>
    </row>
    <row r="17" spans="1:6" x14ac:dyDescent="0.25">
      <c r="A17" s="5">
        <v>42928</v>
      </c>
      <c r="B17" s="4">
        <v>0.75182068300000005</v>
      </c>
      <c r="C17">
        <v>0.75</v>
      </c>
      <c r="D17">
        <f t="shared" si="0"/>
        <v>0</v>
      </c>
      <c r="E17">
        <f t="shared" si="1"/>
        <v>0.75182068300000005</v>
      </c>
      <c r="F17">
        <f t="shared" si="2"/>
        <v>2.1643464624999997E-2</v>
      </c>
    </row>
    <row r="18" spans="1:6" x14ac:dyDescent="0.25">
      <c r="A18" s="1">
        <v>42929</v>
      </c>
      <c r="B18" s="4">
        <v>0.75001093200000002</v>
      </c>
      <c r="C18">
        <v>0.75</v>
      </c>
      <c r="D18" s="10"/>
      <c r="E18" s="10">
        <v>0.75</v>
      </c>
      <c r="F18">
        <f t="shared" si="2"/>
        <v>-1.8206830000000451E-3</v>
      </c>
    </row>
    <row r="19" spans="1:6" x14ac:dyDescent="0.25">
      <c r="A19" s="1">
        <v>42930</v>
      </c>
      <c r="B19" s="4">
        <v>0.74801217900000005</v>
      </c>
      <c r="C19">
        <v>0.75</v>
      </c>
      <c r="D19" s="10"/>
      <c r="E19" s="10">
        <v>0.75</v>
      </c>
      <c r="F19">
        <f t="shared" si="2"/>
        <v>0</v>
      </c>
    </row>
    <row r="20" spans="1:6" x14ac:dyDescent="0.25">
      <c r="A20" s="1">
        <v>42933</v>
      </c>
      <c r="B20" s="4">
        <v>0.74703851899999996</v>
      </c>
      <c r="C20">
        <v>0.75</v>
      </c>
      <c r="D20" s="10"/>
      <c r="E20" s="10">
        <v>0.75</v>
      </c>
      <c r="F20">
        <f t="shared" si="2"/>
        <v>0</v>
      </c>
    </row>
    <row r="21" spans="1:6" x14ac:dyDescent="0.25">
      <c r="A21" s="1">
        <v>42934</v>
      </c>
      <c r="B21" s="4">
        <v>0.74814467399999995</v>
      </c>
      <c r="C21">
        <v>0.75</v>
      </c>
      <c r="D21" s="10"/>
      <c r="E21" s="10">
        <v>0.75</v>
      </c>
      <c r="F21">
        <f t="shared" si="2"/>
        <v>0</v>
      </c>
    </row>
    <row r="22" spans="1:6" x14ac:dyDescent="0.25">
      <c r="A22" s="1">
        <v>42935</v>
      </c>
      <c r="B22" s="4">
        <v>0.74815058599999995</v>
      </c>
      <c r="C22">
        <v>0.75</v>
      </c>
      <c r="D22" s="10"/>
      <c r="E22" s="10">
        <v>0.75</v>
      </c>
      <c r="F22">
        <f t="shared" si="2"/>
        <v>0</v>
      </c>
    </row>
    <row r="23" spans="1:6" x14ac:dyDescent="0.25">
      <c r="A23" s="1">
        <v>42936</v>
      </c>
      <c r="B23" s="4">
        <v>0.74777045499999995</v>
      </c>
      <c r="C23">
        <v>0.75</v>
      </c>
      <c r="D23" s="10"/>
      <c r="E23" s="10">
        <v>0.75</v>
      </c>
      <c r="F23">
        <f t="shared" si="2"/>
        <v>0</v>
      </c>
    </row>
    <row r="24" spans="1:6" x14ac:dyDescent="0.25">
      <c r="A24" s="1">
        <v>42937</v>
      </c>
      <c r="B24" s="4">
        <v>0.74999143899999998</v>
      </c>
      <c r="C24">
        <v>0.75</v>
      </c>
      <c r="D24" s="10"/>
      <c r="E24" s="10">
        <v>0.75</v>
      </c>
      <c r="F24">
        <f t="shared" si="2"/>
        <v>0</v>
      </c>
    </row>
    <row r="25" spans="1:6" x14ac:dyDescent="0.25">
      <c r="A25" s="1">
        <v>42940</v>
      </c>
      <c r="B25" s="4">
        <v>0.75</v>
      </c>
      <c r="C25">
        <v>0.75</v>
      </c>
      <c r="D25" s="10"/>
      <c r="E25" s="10">
        <v>0.75</v>
      </c>
      <c r="F25">
        <f t="shared" si="2"/>
        <v>0</v>
      </c>
    </row>
    <row r="26" spans="1:6" x14ac:dyDescent="0.25">
      <c r="A26" s="1">
        <v>42941</v>
      </c>
      <c r="B26" s="4">
        <v>0.75</v>
      </c>
      <c r="C26">
        <v>0.75</v>
      </c>
      <c r="D26" s="10"/>
      <c r="E26" s="10">
        <v>0.75</v>
      </c>
      <c r="F26">
        <f t="shared" si="2"/>
        <v>0</v>
      </c>
    </row>
    <row r="27" spans="1:6" x14ac:dyDescent="0.25">
      <c r="A27" s="1">
        <v>42942</v>
      </c>
      <c r="B27" s="4">
        <v>0.747</v>
      </c>
      <c r="C27">
        <v>0.75</v>
      </c>
      <c r="D27" s="10"/>
      <c r="E27" s="10">
        <v>0.75</v>
      </c>
      <c r="F27">
        <f t="shared" si="2"/>
        <v>0</v>
      </c>
    </row>
    <row r="28" spans="1:6" x14ac:dyDescent="0.25">
      <c r="A28" s="1">
        <v>42943</v>
      </c>
      <c r="B28" s="4">
        <v>0.755</v>
      </c>
      <c r="C28">
        <v>0.75</v>
      </c>
      <c r="D28" s="10"/>
      <c r="E28" s="10">
        <v>0.75</v>
      </c>
      <c r="F28">
        <f t="shared" si="2"/>
        <v>0</v>
      </c>
    </row>
    <row r="29" spans="1:6" x14ac:dyDescent="0.25">
      <c r="A29" s="5">
        <v>42944</v>
      </c>
      <c r="B29" s="4">
        <v>0.75</v>
      </c>
      <c r="C29">
        <v>0.75</v>
      </c>
      <c r="D29" s="10"/>
      <c r="E29" s="10">
        <v>0.75</v>
      </c>
      <c r="F29">
        <f t="shared" si="2"/>
        <v>0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0" sqref="N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20" sqref="L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SENARIO 1</vt:lpstr>
      <vt:lpstr>SENARIO 2</vt:lpstr>
      <vt:lpstr>2-GRAPHIQUE</vt:lpstr>
      <vt:lpstr>3-GRAPHIQUE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USER</cp:lastModifiedBy>
  <dcterms:created xsi:type="dcterms:W3CDTF">2022-12-03T21:07:29Z</dcterms:created>
  <dcterms:modified xsi:type="dcterms:W3CDTF">2022-12-05T04:16:50Z</dcterms:modified>
</cp:coreProperties>
</file>