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 ACTIVITIES\PERSO\Actuaire\FORMATION\CANADA 2021\COURS AUTOMNE 2022\ECN 6258-A- MONNAIE\Devoir\DEVOIR 3\"/>
    </mc:Choice>
  </mc:AlternateContent>
  <bookViews>
    <workbookView xWindow="0" yWindow="0" windowWidth="20490" windowHeight="8445" activeTab="2"/>
  </bookViews>
  <sheets>
    <sheet name="yields" sheetId="4" r:id="rId1"/>
    <sheet name="maturity" sheetId="7" r:id="rId2"/>
    <sheet name="Immunisation 1" sheetId="8" r:id="rId3"/>
  </sheets>
  <definedNames>
    <definedName name="_xlnm._FilterDatabase" localSheetId="2" hidden="1">'Immunisation 1'!$A$2:$I$54</definedName>
    <definedName name="_xlnm._FilterDatabase" localSheetId="1" hidden="1">maturity!$A$2:$E$54</definedName>
    <definedName name="_xlnm._FilterDatabase" localSheetId="0" hidden="1">yields!$A$1:$G$53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3" i="8"/>
  <c r="E3" i="8"/>
  <c r="E4" i="8"/>
  <c r="E5" i="8"/>
  <c r="E6" i="8"/>
  <c r="E7" i="8"/>
  <c r="E8" i="8"/>
  <c r="E9" i="8"/>
  <c r="E10" i="8"/>
  <c r="E11" i="8"/>
  <c r="T11" i="8" s="1"/>
  <c r="E12" i="8"/>
  <c r="E13" i="8"/>
  <c r="E14" i="8"/>
  <c r="E15" i="8"/>
  <c r="E16" i="8"/>
  <c r="E17" i="8"/>
  <c r="E18" i="8"/>
  <c r="E19" i="8"/>
  <c r="E20" i="8"/>
  <c r="E21" i="8"/>
  <c r="E22" i="8"/>
  <c r="E23" i="8"/>
  <c r="T23" i="8" s="1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T7" i="8"/>
  <c r="T3" i="8"/>
  <c r="D3" i="8"/>
  <c r="S3" i="8" s="1"/>
  <c r="H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R3" i="8"/>
  <c r="R4" i="8"/>
  <c r="R8" i="8"/>
  <c r="R12" i="8"/>
  <c r="M4" i="8"/>
  <c r="N4" i="8" s="1"/>
  <c r="T5" i="8"/>
  <c r="T9" i="8"/>
  <c r="T29" i="8"/>
  <c r="T32" i="8"/>
  <c r="T34" i="8"/>
  <c r="T36" i="8"/>
  <c r="T38" i="8"/>
  <c r="T40" i="8"/>
  <c r="T42" i="8"/>
  <c r="T44" i="8"/>
  <c r="T46" i="8"/>
  <c r="T48" i="8"/>
  <c r="T50" i="8"/>
  <c r="T52" i="8"/>
  <c r="T54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C4" i="8"/>
  <c r="C5" i="8"/>
  <c r="C6" i="8"/>
  <c r="R6" i="8" s="1"/>
  <c r="C7" i="8"/>
  <c r="C8" i="8"/>
  <c r="C9" i="8"/>
  <c r="C10" i="8"/>
  <c r="R10" i="8" s="1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R33" i="8" s="1"/>
  <c r="C34" i="8"/>
  <c r="C35" i="8"/>
  <c r="R35" i="8" s="1"/>
  <c r="C36" i="8"/>
  <c r="C37" i="8"/>
  <c r="R37" i="8" s="1"/>
  <c r="C38" i="8"/>
  <c r="C39" i="8"/>
  <c r="R39" i="8" s="1"/>
  <c r="C40" i="8"/>
  <c r="C41" i="8"/>
  <c r="R41" i="8" s="1"/>
  <c r="C42" i="8"/>
  <c r="C43" i="8"/>
  <c r="R43" i="8" s="1"/>
  <c r="C44" i="8"/>
  <c r="C45" i="8"/>
  <c r="R45" i="8" s="1"/>
  <c r="C46" i="8"/>
  <c r="C47" i="8"/>
  <c r="R47" i="8" s="1"/>
  <c r="C48" i="8"/>
  <c r="C49" i="8"/>
  <c r="R49" i="8" s="1"/>
  <c r="C50" i="8"/>
  <c r="C51" i="8"/>
  <c r="R51" i="8" s="1"/>
  <c r="C52" i="8"/>
  <c r="C53" i="8"/>
  <c r="R53" i="8" s="1"/>
  <c r="C54" i="8"/>
  <c r="C3" i="8"/>
  <c r="B54" i="8"/>
  <c r="I54" i="8" s="1"/>
  <c r="O54" i="8" s="1"/>
  <c r="P54" i="8" s="1"/>
  <c r="B53" i="8"/>
  <c r="G53" i="8" s="1"/>
  <c r="M53" i="8" s="1"/>
  <c r="N53" i="8" s="1"/>
  <c r="B52" i="8"/>
  <c r="I52" i="8" s="1"/>
  <c r="O52" i="8" s="1"/>
  <c r="P52" i="8" s="1"/>
  <c r="B51" i="8"/>
  <c r="G51" i="8" s="1"/>
  <c r="M51" i="8" s="1"/>
  <c r="N51" i="8" s="1"/>
  <c r="B50" i="8"/>
  <c r="I50" i="8" s="1"/>
  <c r="O50" i="8" s="1"/>
  <c r="P50" i="8" s="1"/>
  <c r="B49" i="8"/>
  <c r="G49" i="8" s="1"/>
  <c r="M49" i="8" s="1"/>
  <c r="N49" i="8" s="1"/>
  <c r="B48" i="8"/>
  <c r="I48" i="8" s="1"/>
  <c r="O48" i="8" s="1"/>
  <c r="P48" i="8" s="1"/>
  <c r="B47" i="8"/>
  <c r="G47" i="8" s="1"/>
  <c r="M47" i="8" s="1"/>
  <c r="N47" i="8" s="1"/>
  <c r="B46" i="8"/>
  <c r="I46" i="8" s="1"/>
  <c r="O46" i="8" s="1"/>
  <c r="P46" i="8" s="1"/>
  <c r="B45" i="8"/>
  <c r="G45" i="8" s="1"/>
  <c r="M45" i="8" s="1"/>
  <c r="N45" i="8" s="1"/>
  <c r="B44" i="8"/>
  <c r="I44" i="8" s="1"/>
  <c r="O44" i="8" s="1"/>
  <c r="P44" i="8" s="1"/>
  <c r="B43" i="8"/>
  <c r="G43" i="8" s="1"/>
  <c r="M43" i="8" s="1"/>
  <c r="N43" i="8" s="1"/>
  <c r="B42" i="8"/>
  <c r="I42" i="8" s="1"/>
  <c r="O42" i="8" s="1"/>
  <c r="P42" i="8" s="1"/>
  <c r="B41" i="8"/>
  <c r="G41" i="8" s="1"/>
  <c r="M41" i="8" s="1"/>
  <c r="N41" i="8" s="1"/>
  <c r="B40" i="8"/>
  <c r="I40" i="8" s="1"/>
  <c r="O40" i="8" s="1"/>
  <c r="P40" i="8" s="1"/>
  <c r="B39" i="8"/>
  <c r="G39" i="8" s="1"/>
  <c r="M39" i="8" s="1"/>
  <c r="N39" i="8" s="1"/>
  <c r="B38" i="8"/>
  <c r="I38" i="8" s="1"/>
  <c r="O38" i="8" s="1"/>
  <c r="P38" i="8" s="1"/>
  <c r="B37" i="8"/>
  <c r="G37" i="8" s="1"/>
  <c r="M37" i="8" s="1"/>
  <c r="N37" i="8" s="1"/>
  <c r="B36" i="8"/>
  <c r="I36" i="8" s="1"/>
  <c r="O36" i="8" s="1"/>
  <c r="P36" i="8" s="1"/>
  <c r="B35" i="8"/>
  <c r="G35" i="8" s="1"/>
  <c r="M35" i="8" s="1"/>
  <c r="N35" i="8" s="1"/>
  <c r="B34" i="8"/>
  <c r="I34" i="8" s="1"/>
  <c r="O34" i="8" s="1"/>
  <c r="P34" i="8" s="1"/>
  <c r="B33" i="8"/>
  <c r="G33" i="8" s="1"/>
  <c r="M33" i="8" s="1"/>
  <c r="N33" i="8" s="1"/>
  <c r="B32" i="8"/>
  <c r="I32" i="8" s="1"/>
  <c r="O32" i="8" s="1"/>
  <c r="P32" i="8" s="1"/>
  <c r="B31" i="8"/>
  <c r="H31" i="8" s="1"/>
  <c r="K31" i="8" s="1"/>
  <c r="L31" i="8" s="1"/>
  <c r="B30" i="8"/>
  <c r="H30" i="8" s="1"/>
  <c r="K30" i="8" s="1"/>
  <c r="L30" i="8" s="1"/>
  <c r="B29" i="8"/>
  <c r="I29" i="8" s="1"/>
  <c r="O29" i="8" s="1"/>
  <c r="P29" i="8" s="1"/>
  <c r="B28" i="8"/>
  <c r="H28" i="8" s="1"/>
  <c r="K28" i="8" s="1"/>
  <c r="L28" i="8" s="1"/>
  <c r="B27" i="8"/>
  <c r="H27" i="8" s="1"/>
  <c r="K27" i="8" s="1"/>
  <c r="L27" i="8" s="1"/>
  <c r="B26" i="8"/>
  <c r="H26" i="8" s="1"/>
  <c r="K26" i="8" s="1"/>
  <c r="L26" i="8" s="1"/>
  <c r="B25" i="8"/>
  <c r="H25" i="8" s="1"/>
  <c r="K25" i="8" s="1"/>
  <c r="L25" i="8" s="1"/>
  <c r="B24" i="8"/>
  <c r="H24" i="8" s="1"/>
  <c r="K24" i="8" s="1"/>
  <c r="L24" i="8" s="1"/>
  <c r="B23" i="8"/>
  <c r="I23" i="8" s="1"/>
  <c r="O23" i="8" s="1"/>
  <c r="P23" i="8" s="1"/>
  <c r="B22" i="8"/>
  <c r="H22" i="8" s="1"/>
  <c r="K22" i="8" s="1"/>
  <c r="L22" i="8" s="1"/>
  <c r="B21" i="8"/>
  <c r="H21" i="8" s="1"/>
  <c r="K21" i="8" s="1"/>
  <c r="L21" i="8" s="1"/>
  <c r="B20" i="8"/>
  <c r="H20" i="8" s="1"/>
  <c r="K20" i="8" s="1"/>
  <c r="L20" i="8" s="1"/>
  <c r="B19" i="8"/>
  <c r="H19" i="8" s="1"/>
  <c r="K19" i="8" s="1"/>
  <c r="L19" i="8" s="1"/>
  <c r="B18" i="8"/>
  <c r="H18" i="8" s="1"/>
  <c r="K18" i="8" s="1"/>
  <c r="L18" i="8" s="1"/>
  <c r="B17" i="8"/>
  <c r="H17" i="8" s="1"/>
  <c r="K17" i="8" s="1"/>
  <c r="L17" i="8" s="1"/>
  <c r="B16" i="8"/>
  <c r="H16" i="8" s="1"/>
  <c r="K16" i="8" s="1"/>
  <c r="L16" i="8" s="1"/>
  <c r="B15" i="8"/>
  <c r="H15" i="8" s="1"/>
  <c r="K15" i="8" s="1"/>
  <c r="L15" i="8" s="1"/>
  <c r="B14" i="8"/>
  <c r="H14" i="8" s="1"/>
  <c r="K14" i="8" s="1"/>
  <c r="L14" i="8" s="1"/>
  <c r="B13" i="8"/>
  <c r="H13" i="8" s="1"/>
  <c r="K13" i="8" s="1"/>
  <c r="L13" i="8" s="1"/>
  <c r="B12" i="8"/>
  <c r="G12" i="8" s="1"/>
  <c r="M12" i="8" s="1"/>
  <c r="N12" i="8" s="1"/>
  <c r="B11" i="8"/>
  <c r="I11" i="8" s="1"/>
  <c r="O11" i="8" s="1"/>
  <c r="P11" i="8" s="1"/>
  <c r="B10" i="8"/>
  <c r="G10" i="8" s="1"/>
  <c r="M10" i="8" s="1"/>
  <c r="N10" i="8" s="1"/>
  <c r="B9" i="8"/>
  <c r="I9" i="8" s="1"/>
  <c r="O9" i="8" s="1"/>
  <c r="P9" i="8" s="1"/>
  <c r="B8" i="8"/>
  <c r="G8" i="8" s="1"/>
  <c r="M8" i="8" s="1"/>
  <c r="N8" i="8" s="1"/>
  <c r="B7" i="8"/>
  <c r="I7" i="8" s="1"/>
  <c r="O7" i="8" s="1"/>
  <c r="P7" i="8" s="1"/>
  <c r="B6" i="8"/>
  <c r="G6" i="8" s="1"/>
  <c r="M6" i="8" s="1"/>
  <c r="N6" i="8" s="1"/>
  <c r="B5" i="8"/>
  <c r="I5" i="8" s="1"/>
  <c r="O5" i="8" s="1"/>
  <c r="P5" i="8" s="1"/>
  <c r="B4" i="8"/>
  <c r="G4" i="8" s="1"/>
  <c r="B3" i="8"/>
  <c r="I3" i="8" s="1"/>
  <c r="O3" i="8" s="1"/>
  <c r="P3" i="8" s="1"/>
  <c r="B2" i="8"/>
  <c r="R11" i="8" l="1"/>
  <c r="R42" i="8"/>
  <c r="R26" i="8"/>
  <c r="T30" i="8"/>
  <c r="T14" i="8"/>
  <c r="R23" i="8"/>
  <c r="R25" i="8"/>
  <c r="T45" i="8"/>
  <c r="T25" i="8"/>
  <c r="T28" i="8"/>
  <c r="T12" i="8"/>
  <c r="A49" i="8"/>
  <c r="I26" i="8"/>
  <c r="O26" i="8" s="1"/>
  <c r="P26" i="8" s="1"/>
  <c r="I31" i="8"/>
  <c r="A47" i="8"/>
  <c r="I18" i="8"/>
  <c r="O18" i="8" s="1"/>
  <c r="P18" i="8" s="1"/>
  <c r="G27" i="8"/>
  <c r="R27" i="8" s="1"/>
  <c r="I21" i="8"/>
  <c r="T21" i="8" s="1"/>
  <c r="I15" i="8"/>
  <c r="T15" i="8" s="1"/>
  <c r="G18" i="8"/>
  <c r="M18" i="8" s="1"/>
  <c r="N18" i="8" s="1"/>
  <c r="A21" i="8"/>
  <c r="G26" i="8"/>
  <c r="M26" i="8" s="1"/>
  <c r="N26" i="8" s="1"/>
  <c r="I27" i="8"/>
  <c r="T27" i="8" s="1"/>
  <c r="I37" i="8"/>
  <c r="T37" i="8" s="1"/>
  <c r="G54" i="8"/>
  <c r="R54" i="8" s="1"/>
  <c r="I17" i="8"/>
  <c r="T17" i="8" s="1"/>
  <c r="G21" i="8"/>
  <c r="R21" i="8" s="1"/>
  <c r="G22" i="8"/>
  <c r="M22" i="8" s="1"/>
  <c r="N22" i="8" s="1"/>
  <c r="G28" i="8"/>
  <c r="R28" i="8" s="1"/>
  <c r="A31" i="8"/>
  <c r="G32" i="8"/>
  <c r="G38" i="8"/>
  <c r="M38" i="8" s="1"/>
  <c r="N38" i="8" s="1"/>
  <c r="H47" i="8"/>
  <c r="K47" i="8" s="1"/>
  <c r="L47" i="8" s="1"/>
  <c r="I49" i="8"/>
  <c r="T49" i="8" s="1"/>
  <c r="I14" i="8"/>
  <c r="G40" i="8"/>
  <c r="R40" i="8" s="1"/>
  <c r="A6" i="8"/>
  <c r="I22" i="8"/>
  <c r="T22" i="8" s="1"/>
  <c r="I28" i="8"/>
  <c r="I8" i="8"/>
  <c r="T8" i="8" s="1"/>
  <c r="H10" i="8"/>
  <c r="A18" i="8"/>
  <c r="A24" i="8"/>
  <c r="A26" i="8"/>
  <c r="G29" i="8"/>
  <c r="R29" i="8" s="1"/>
  <c r="A33" i="8"/>
  <c r="H39" i="8"/>
  <c r="A41" i="8"/>
  <c r="G46" i="8"/>
  <c r="R46" i="8" s="1"/>
  <c r="I47" i="8"/>
  <c r="T47" i="8" s="1"/>
  <c r="G50" i="8"/>
  <c r="R50" i="8" s="1"/>
  <c r="H53" i="8"/>
  <c r="I10" i="8"/>
  <c r="T10" i="8" s="1"/>
  <c r="A14" i="8"/>
  <c r="A15" i="8"/>
  <c r="A17" i="8"/>
  <c r="A20" i="8"/>
  <c r="H29" i="8"/>
  <c r="I39" i="8"/>
  <c r="T39" i="8" s="1"/>
  <c r="A8" i="8"/>
  <c r="A10" i="8"/>
  <c r="A25" i="8"/>
  <c r="H37" i="8"/>
  <c r="A39" i="8"/>
  <c r="H45" i="8"/>
  <c r="G48" i="8"/>
  <c r="R48" i="8" s="1"/>
  <c r="H4" i="8"/>
  <c r="H12" i="8"/>
  <c r="G13" i="8"/>
  <c r="R13" i="8" s="1"/>
  <c r="I4" i="8"/>
  <c r="T4" i="8" s="1"/>
  <c r="H6" i="8"/>
  <c r="I12" i="8"/>
  <c r="I13" i="8"/>
  <c r="T13" i="8" s="1"/>
  <c r="G16" i="8"/>
  <c r="R16" i="8" s="1"/>
  <c r="G19" i="8"/>
  <c r="R19" i="8" s="1"/>
  <c r="G23" i="8"/>
  <c r="G30" i="8"/>
  <c r="R30" i="8" s="1"/>
  <c r="H35" i="8"/>
  <c r="G36" i="8"/>
  <c r="R36" i="8" s="1"/>
  <c r="H43" i="8"/>
  <c r="G44" i="8"/>
  <c r="R44" i="8" s="1"/>
  <c r="I45" i="8"/>
  <c r="H51" i="8"/>
  <c r="G52" i="8"/>
  <c r="R52" i="8" s="1"/>
  <c r="I53" i="8"/>
  <c r="T53" i="8" s="1"/>
  <c r="A4" i="8"/>
  <c r="I6" i="8"/>
  <c r="T6" i="8" s="1"/>
  <c r="H8" i="8"/>
  <c r="A12" i="8"/>
  <c r="A13" i="8"/>
  <c r="G14" i="8"/>
  <c r="M14" i="8" s="1"/>
  <c r="N14" i="8" s="1"/>
  <c r="I16" i="8"/>
  <c r="T16" i="8" s="1"/>
  <c r="G17" i="8"/>
  <c r="R17" i="8" s="1"/>
  <c r="I19" i="8"/>
  <c r="T19" i="8" s="1"/>
  <c r="G20" i="8"/>
  <c r="R20" i="8" s="1"/>
  <c r="A22" i="8"/>
  <c r="H23" i="8"/>
  <c r="G24" i="8"/>
  <c r="R24" i="8" s="1"/>
  <c r="G25" i="8"/>
  <c r="M25" i="8" s="1"/>
  <c r="N25" i="8" s="1"/>
  <c r="A27" i="8"/>
  <c r="A28" i="8"/>
  <c r="A29" i="8"/>
  <c r="I30" i="8"/>
  <c r="G31" i="8"/>
  <c r="R31" i="8" s="1"/>
  <c r="H33" i="8"/>
  <c r="G34" i="8"/>
  <c r="R34" i="8" s="1"/>
  <c r="I35" i="8"/>
  <c r="T35" i="8" s="1"/>
  <c r="A37" i="8"/>
  <c r="H41" i="8"/>
  <c r="G42" i="8"/>
  <c r="I43" i="8"/>
  <c r="T43" i="8" s="1"/>
  <c r="A45" i="8"/>
  <c r="H49" i="8"/>
  <c r="I51" i="8"/>
  <c r="T51" i="8" s="1"/>
  <c r="A53" i="8"/>
  <c r="G15" i="8"/>
  <c r="R15" i="8" s="1"/>
  <c r="A16" i="8"/>
  <c r="A19" i="8"/>
  <c r="I20" i="8"/>
  <c r="T20" i="8" s="1"/>
  <c r="A23" i="8"/>
  <c r="I24" i="8"/>
  <c r="T24" i="8" s="1"/>
  <c r="I25" i="8"/>
  <c r="A30" i="8"/>
  <c r="I33" i="8"/>
  <c r="T33" i="8" s="1"/>
  <c r="A35" i="8"/>
  <c r="I41" i="8"/>
  <c r="T41" i="8" s="1"/>
  <c r="A43" i="8"/>
  <c r="A51" i="8"/>
  <c r="G9" i="8"/>
  <c r="R9" i="8" s="1"/>
  <c r="G11" i="8"/>
  <c r="G3" i="8"/>
  <c r="G5" i="8"/>
  <c r="R5" i="8" s="1"/>
  <c r="G7" i="8"/>
  <c r="R7" i="8" s="1"/>
  <c r="H5" i="8"/>
  <c r="H7" i="8"/>
  <c r="H9" i="8"/>
  <c r="H11" i="8"/>
  <c r="A3" i="8"/>
  <c r="A5" i="8"/>
  <c r="A7" i="8"/>
  <c r="A9" i="8"/>
  <c r="A11" i="8"/>
  <c r="H32" i="8"/>
  <c r="H34" i="8"/>
  <c r="H36" i="8"/>
  <c r="H38" i="8"/>
  <c r="H40" i="8"/>
  <c r="H42" i="8"/>
  <c r="H44" i="8"/>
  <c r="H46" i="8"/>
  <c r="H48" i="8"/>
  <c r="H50" i="8"/>
  <c r="H52" i="8"/>
  <c r="H54" i="8"/>
  <c r="A32" i="8"/>
  <c r="A34" i="8"/>
  <c r="A36" i="8"/>
  <c r="A38" i="8"/>
  <c r="A40" i="8"/>
  <c r="A42" i="8"/>
  <c r="A44" i="8"/>
  <c r="A46" i="8"/>
  <c r="A48" i="8"/>
  <c r="A50" i="8"/>
  <c r="A52" i="8"/>
  <c r="A54" i="8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T18" i="8" l="1"/>
  <c r="R14" i="8"/>
  <c r="M32" i="8"/>
  <c r="N32" i="8" s="1"/>
  <c r="R32" i="8"/>
  <c r="R18" i="8"/>
  <c r="O31" i="8"/>
  <c r="P31" i="8" s="1"/>
  <c r="T31" i="8"/>
  <c r="T26" i="8"/>
  <c r="R22" i="8"/>
  <c r="R38" i="8"/>
  <c r="M7" i="8"/>
  <c r="N7" i="8" s="1"/>
  <c r="M44" i="8"/>
  <c r="N44" i="8" s="1"/>
  <c r="M13" i="8"/>
  <c r="N13" i="8" s="1"/>
  <c r="M46" i="8"/>
  <c r="N46" i="8" s="1"/>
  <c r="M9" i="8"/>
  <c r="N9" i="8" s="1"/>
  <c r="O24" i="8"/>
  <c r="P24" i="8" s="1"/>
  <c r="O53" i="8"/>
  <c r="P53" i="8" s="1"/>
  <c r="O13" i="8"/>
  <c r="P13" i="8" s="1"/>
  <c r="O10" i="8"/>
  <c r="P10" i="8" s="1"/>
  <c r="M29" i="8"/>
  <c r="N29" i="8" s="1"/>
  <c r="O22" i="8"/>
  <c r="P22" i="8" s="1"/>
  <c r="O33" i="8"/>
  <c r="P33" i="8" s="1"/>
  <c r="M15" i="8"/>
  <c r="N15" i="8" s="1"/>
  <c r="O16" i="8"/>
  <c r="P16" i="8" s="1"/>
  <c r="O12" i="8"/>
  <c r="P12" i="8" s="1"/>
  <c r="M3" i="8"/>
  <c r="N3" i="8" s="1"/>
  <c r="O20" i="8"/>
  <c r="P20" i="8" s="1"/>
  <c r="O43" i="8"/>
  <c r="P43" i="8" s="1"/>
  <c r="O35" i="8"/>
  <c r="P35" i="8" s="1"/>
  <c r="O30" i="8"/>
  <c r="P30" i="8" s="1"/>
  <c r="M20" i="8"/>
  <c r="N20" i="8" s="1"/>
  <c r="O6" i="8"/>
  <c r="P6" i="8" s="1"/>
  <c r="M36" i="8"/>
  <c r="N36" i="8" s="1"/>
  <c r="M19" i="8"/>
  <c r="N19" i="8" s="1"/>
  <c r="O39" i="8"/>
  <c r="P39" i="8" s="1"/>
  <c r="M50" i="8"/>
  <c r="N50" i="8" s="1"/>
  <c r="O14" i="8"/>
  <c r="P14" i="8" s="1"/>
  <c r="V18" i="8"/>
  <c r="O49" i="8"/>
  <c r="P49" i="8" s="1"/>
  <c r="O17" i="8"/>
  <c r="P17" i="8" s="1"/>
  <c r="O37" i="8"/>
  <c r="P37" i="8" s="1"/>
  <c r="M17" i="8"/>
  <c r="N17" i="8" s="1"/>
  <c r="V30" i="8"/>
  <c r="M30" i="8"/>
  <c r="N30" i="8" s="1"/>
  <c r="M5" i="8"/>
  <c r="N5" i="8" s="1"/>
  <c r="V31" i="8"/>
  <c r="M31" i="8"/>
  <c r="N31" i="8" s="1"/>
  <c r="M52" i="8"/>
  <c r="N52" i="8" s="1"/>
  <c r="V23" i="8"/>
  <c r="M23" i="8"/>
  <c r="N23" i="8" s="1"/>
  <c r="O8" i="8"/>
  <c r="P8" i="8" s="1"/>
  <c r="V40" i="8"/>
  <c r="M40" i="8"/>
  <c r="N40" i="8" s="1"/>
  <c r="M21" i="8"/>
  <c r="N21" i="8" s="1"/>
  <c r="M54" i="8"/>
  <c r="N54" i="8" s="1"/>
  <c r="O21" i="8"/>
  <c r="P21" i="8" s="1"/>
  <c r="M11" i="8"/>
  <c r="N11" i="8" s="1"/>
  <c r="O41" i="8"/>
  <c r="P41" i="8" s="1"/>
  <c r="O25" i="8"/>
  <c r="P25" i="8" s="1"/>
  <c r="O51" i="8"/>
  <c r="P51" i="8" s="1"/>
  <c r="M42" i="8"/>
  <c r="N42" i="8" s="1"/>
  <c r="M34" i="8"/>
  <c r="N34" i="8" s="1"/>
  <c r="M24" i="8"/>
  <c r="N24" i="8" s="1"/>
  <c r="O19" i="8"/>
  <c r="P19" i="8" s="1"/>
  <c r="O45" i="8"/>
  <c r="P45" i="8" s="1"/>
  <c r="M16" i="8"/>
  <c r="N16" i="8" s="1"/>
  <c r="O4" i="8"/>
  <c r="P4" i="8" s="1"/>
  <c r="M48" i="8"/>
  <c r="N48" i="8" s="1"/>
  <c r="O47" i="8"/>
  <c r="P47" i="8" s="1"/>
  <c r="O28" i="8"/>
  <c r="P28" i="8" s="1"/>
  <c r="M28" i="8"/>
  <c r="N28" i="8" s="1"/>
  <c r="O27" i="8"/>
  <c r="P27" i="8" s="1"/>
  <c r="O15" i="8"/>
  <c r="P15" i="8" s="1"/>
  <c r="M27" i="8"/>
  <c r="N27" i="8" s="1"/>
  <c r="V26" i="8"/>
  <c r="W26" i="8" s="1"/>
  <c r="V20" i="8"/>
  <c r="V27" i="8"/>
  <c r="V17" i="8"/>
  <c r="V47" i="8"/>
  <c r="V24" i="8"/>
  <c r="V19" i="8"/>
  <c r="V25" i="8"/>
  <c r="V13" i="8"/>
  <c r="V15" i="8"/>
  <c r="K46" i="8"/>
  <c r="L46" i="8" s="1"/>
  <c r="K38" i="8"/>
  <c r="L38" i="8" s="1"/>
  <c r="V38" i="8"/>
  <c r="K12" i="8"/>
  <c r="L12" i="8" s="1"/>
  <c r="V12" i="8"/>
  <c r="K52" i="8"/>
  <c r="L52" i="8" s="1"/>
  <c r="V52" i="8"/>
  <c r="K44" i="8"/>
  <c r="L44" i="8" s="1"/>
  <c r="K36" i="8"/>
  <c r="L36" i="8" s="1"/>
  <c r="V36" i="8"/>
  <c r="K7" i="8"/>
  <c r="L7" i="8" s="1"/>
  <c r="V7" i="8"/>
  <c r="K51" i="8"/>
  <c r="L51" i="8" s="1"/>
  <c r="V51" i="8"/>
  <c r="K6" i="8"/>
  <c r="L6" i="8" s="1"/>
  <c r="V6" i="8"/>
  <c r="K4" i="8"/>
  <c r="L4" i="8" s="1"/>
  <c r="V4" i="8"/>
  <c r="K37" i="8"/>
  <c r="L37" i="8" s="1"/>
  <c r="K39" i="8"/>
  <c r="L39" i="8" s="1"/>
  <c r="K54" i="8"/>
  <c r="L54" i="8" s="1"/>
  <c r="K9" i="8"/>
  <c r="L9" i="8" s="1"/>
  <c r="V9" i="8"/>
  <c r="K8" i="8"/>
  <c r="L8" i="8" s="1"/>
  <c r="V8" i="8"/>
  <c r="K53" i="8"/>
  <c r="L53" i="8" s="1"/>
  <c r="K50" i="8"/>
  <c r="L50" i="8" s="1"/>
  <c r="V50" i="8"/>
  <c r="K42" i="8"/>
  <c r="L42" i="8" s="1"/>
  <c r="V42" i="8"/>
  <c r="K34" i="8"/>
  <c r="L34" i="8" s="1"/>
  <c r="K3" i="8"/>
  <c r="L3" i="8" s="1"/>
  <c r="K5" i="8"/>
  <c r="L5" i="8" s="1"/>
  <c r="V5" i="8"/>
  <c r="K35" i="8"/>
  <c r="L35" i="8" s="1"/>
  <c r="V35" i="8"/>
  <c r="K29" i="8"/>
  <c r="L29" i="8" s="1"/>
  <c r="K43" i="8"/>
  <c r="L43" i="8" s="1"/>
  <c r="K48" i="8"/>
  <c r="L48" i="8" s="1"/>
  <c r="K40" i="8"/>
  <c r="L40" i="8" s="1"/>
  <c r="K32" i="8"/>
  <c r="L32" i="8" s="1"/>
  <c r="V32" i="8"/>
  <c r="K11" i="8"/>
  <c r="L11" i="8" s="1"/>
  <c r="V11" i="8"/>
  <c r="K49" i="8"/>
  <c r="L49" i="8" s="1"/>
  <c r="V49" i="8"/>
  <c r="K41" i="8"/>
  <c r="L41" i="8" s="1"/>
  <c r="K33" i="8"/>
  <c r="L33" i="8" s="1"/>
  <c r="K23" i="8"/>
  <c r="L23" i="8" s="1"/>
  <c r="K45" i="8"/>
  <c r="L45" i="8" s="1"/>
  <c r="V45" i="8"/>
  <c r="K10" i="8"/>
  <c r="L10" i="8" s="1"/>
  <c r="V10" i="8"/>
  <c r="W24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2" i="7"/>
  <c r="V43" i="8" l="1"/>
  <c r="W43" i="8" s="1"/>
  <c r="V28" i="8"/>
  <c r="W28" i="8" s="1"/>
  <c r="V41" i="8"/>
  <c r="W41" i="8" s="1"/>
  <c r="V34" i="8"/>
  <c r="W34" i="8" s="1"/>
  <c r="V54" i="8"/>
  <c r="V37" i="8"/>
  <c r="W37" i="8" s="1"/>
  <c r="V44" i="8"/>
  <c r="W44" i="8" s="1"/>
  <c r="V46" i="8"/>
  <c r="W47" i="8" s="1"/>
  <c r="V16" i="8"/>
  <c r="W16" i="8" s="1"/>
  <c r="V14" i="8"/>
  <c r="W15" i="8" s="1"/>
  <c r="V48" i="8"/>
  <c r="W49" i="8" s="1"/>
  <c r="V29" i="8"/>
  <c r="W30" i="8" s="1"/>
  <c r="V21" i="8"/>
  <c r="W21" i="8" s="1"/>
  <c r="V33" i="8"/>
  <c r="W33" i="8" s="1"/>
  <c r="V53" i="8"/>
  <c r="W53" i="8" s="1"/>
  <c r="V39" i="8"/>
  <c r="W39" i="8" s="1"/>
  <c r="W50" i="8"/>
  <c r="W25" i="8"/>
  <c r="W27" i="8"/>
  <c r="W6" i="8"/>
  <c r="W18" i="8"/>
  <c r="W32" i="8"/>
  <c r="W42" i="8"/>
  <c r="W51" i="8"/>
  <c r="W36" i="8"/>
  <c r="W52" i="8"/>
  <c r="W38" i="8"/>
  <c r="W19" i="8"/>
  <c r="W20" i="8"/>
  <c r="W4" i="8"/>
  <c r="W45" i="8"/>
  <c r="W13" i="8"/>
  <c r="W9" i="8"/>
  <c r="W5" i="8"/>
  <c r="W7" i="8"/>
  <c r="W11" i="8"/>
  <c r="A47" i="7"/>
  <c r="A31" i="7"/>
  <c r="A26" i="7"/>
  <c r="A21" i="7"/>
  <c r="A3" i="7"/>
  <c r="A50" i="7"/>
  <c r="A45" i="7"/>
  <c r="A40" i="7"/>
  <c r="A35" i="7"/>
  <c r="A30" i="7"/>
  <c r="A25" i="7"/>
  <c r="A20" i="7"/>
  <c r="A16" i="7"/>
  <c r="A15" i="7"/>
  <c r="A6" i="7"/>
  <c r="A22" i="7"/>
  <c r="A7" i="7"/>
  <c r="A53" i="7"/>
  <c r="A34" i="7"/>
  <c r="A29" i="7"/>
  <c r="A24" i="7"/>
  <c r="A19" i="7"/>
  <c r="A14" i="7"/>
  <c r="A10" i="7"/>
  <c r="A5" i="7"/>
  <c r="A51" i="7"/>
  <c r="A46" i="7"/>
  <c r="A41" i="7"/>
  <c r="A36" i="7"/>
  <c r="A17" i="7"/>
  <c r="A49" i="7"/>
  <c r="A44" i="7"/>
  <c r="A39" i="7"/>
  <c r="A54" i="7"/>
  <c r="A52" i="7"/>
  <c r="A48" i="7"/>
  <c r="A43" i="7"/>
  <c r="A42" i="7"/>
  <c r="A38" i="7"/>
  <c r="A37" i="7"/>
  <c r="A33" i="7"/>
  <c r="A32" i="7"/>
  <c r="A28" i="7"/>
  <c r="A27" i="7"/>
  <c r="A23" i="7"/>
  <c r="A13" i="7"/>
  <c r="A9" i="7"/>
  <c r="A4" i="7"/>
  <c r="A18" i="7"/>
  <c r="A8" i="7"/>
  <c r="A12" i="7"/>
  <c r="A11" i="7"/>
  <c r="E8" i="7"/>
  <c r="D5" i="7"/>
  <c r="C3" i="7"/>
  <c r="C11" i="7"/>
  <c r="E9" i="7"/>
  <c r="C9" i="7"/>
  <c r="C6" i="7"/>
  <c r="E7" i="7"/>
  <c r="C10" i="7"/>
  <c r="E10" i="7"/>
  <c r="E5" i="7"/>
  <c r="D54" i="7"/>
  <c r="D53" i="7"/>
  <c r="D52" i="7"/>
  <c r="D51" i="7"/>
  <c r="D50" i="7"/>
  <c r="D48" i="7"/>
  <c r="D46" i="7"/>
  <c r="D49" i="7"/>
  <c r="D44" i="7"/>
  <c r="D42" i="7"/>
  <c r="D41" i="7"/>
  <c r="D43" i="7"/>
  <c r="D45" i="7"/>
  <c r="D39" i="7"/>
  <c r="D37" i="7"/>
  <c r="D47" i="7"/>
  <c r="D35" i="7"/>
  <c r="D40" i="7"/>
  <c r="D38" i="7"/>
  <c r="D33" i="7"/>
  <c r="D36" i="7"/>
  <c r="D34" i="7"/>
  <c r="D29" i="7"/>
  <c r="D32" i="7"/>
  <c r="D27" i="7"/>
  <c r="D30" i="7"/>
  <c r="D31" i="7"/>
  <c r="D23" i="7"/>
  <c r="D19" i="7"/>
  <c r="D21" i="7"/>
  <c r="D25" i="7"/>
  <c r="D20" i="7"/>
  <c r="D18" i="7"/>
  <c r="D22" i="7"/>
  <c r="D15" i="7"/>
  <c r="D13" i="7"/>
  <c r="D17" i="7"/>
  <c r="D16" i="7"/>
  <c r="D14" i="7"/>
  <c r="D9" i="7"/>
  <c r="D12" i="7"/>
  <c r="D28" i="7"/>
  <c r="D10" i="7"/>
  <c r="D26" i="7"/>
  <c r="D3" i="7"/>
  <c r="D8" i="7"/>
  <c r="D6" i="7"/>
  <c r="D24" i="7"/>
  <c r="D7" i="7"/>
  <c r="D11" i="7"/>
  <c r="D4" i="7"/>
  <c r="C54" i="7"/>
  <c r="C51" i="7"/>
  <c r="C53" i="7"/>
  <c r="C50" i="7"/>
  <c r="C49" i="7"/>
  <c r="C52" i="7"/>
  <c r="C48" i="7"/>
  <c r="C47" i="7"/>
  <c r="C46" i="7"/>
  <c r="C45" i="7"/>
  <c r="C44" i="7"/>
  <c r="C42" i="7"/>
  <c r="C43" i="7"/>
  <c r="C41" i="7"/>
  <c r="C36" i="7"/>
  <c r="C40" i="7"/>
  <c r="C39" i="7"/>
  <c r="C37" i="7"/>
  <c r="C34" i="7"/>
  <c r="C33" i="7"/>
  <c r="C31" i="7"/>
  <c r="C38" i="7"/>
  <c r="C32" i="7"/>
  <c r="C35" i="7"/>
  <c r="C30" i="7"/>
  <c r="C25" i="7"/>
  <c r="C26" i="7"/>
  <c r="C29" i="7"/>
  <c r="C24" i="7"/>
  <c r="C21" i="7"/>
  <c r="C23" i="7"/>
  <c r="C22" i="7"/>
  <c r="C28" i="7"/>
  <c r="C20" i="7"/>
  <c r="C16" i="7"/>
  <c r="C14" i="7"/>
  <c r="C15" i="7"/>
  <c r="C27" i="7"/>
  <c r="C18" i="7"/>
  <c r="C12" i="7"/>
  <c r="C19" i="7"/>
  <c r="C17" i="7"/>
  <c r="C13" i="7"/>
  <c r="E4" i="7"/>
  <c r="C5" i="7"/>
  <c r="C8" i="7"/>
  <c r="E6" i="7"/>
  <c r="C7" i="7"/>
  <c r="E53" i="7"/>
  <c r="E54" i="7"/>
  <c r="E52" i="7"/>
  <c r="E51" i="7"/>
  <c r="E50" i="7"/>
  <c r="E48" i="7"/>
  <c r="E46" i="7"/>
  <c r="E47" i="7"/>
  <c r="E49" i="7"/>
  <c r="E44" i="7"/>
  <c r="E45" i="7"/>
  <c r="E43" i="7"/>
  <c r="E41" i="7"/>
  <c r="E42" i="7"/>
  <c r="E39" i="7"/>
  <c r="E40" i="7"/>
  <c r="E37" i="7"/>
  <c r="E36" i="7"/>
  <c r="E35" i="7"/>
  <c r="E31" i="7"/>
  <c r="E30" i="7"/>
  <c r="E33" i="7"/>
  <c r="E29" i="7"/>
  <c r="E24" i="7"/>
  <c r="E32" i="7"/>
  <c r="E38" i="7"/>
  <c r="E25" i="7"/>
  <c r="E23" i="7"/>
  <c r="E20" i="7"/>
  <c r="E28" i="7"/>
  <c r="E34" i="7"/>
  <c r="E26" i="7"/>
  <c r="E22" i="7"/>
  <c r="E18" i="7"/>
  <c r="E19" i="7"/>
  <c r="E14" i="7"/>
  <c r="E15" i="7"/>
  <c r="E17" i="7"/>
  <c r="E16" i="7"/>
  <c r="E11" i="7"/>
  <c r="E21" i="7"/>
  <c r="E27" i="7"/>
  <c r="E3" i="7"/>
  <c r="C4" i="7"/>
  <c r="E13" i="7"/>
  <c r="E12" i="7"/>
  <c r="W40" i="8" l="1"/>
  <c r="W17" i="8"/>
  <c r="W54" i="8"/>
  <c r="W35" i="8"/>
  <c r="W29" i="8"/>
  <c r="W14" i="8"/>
  <c r="W46" i="8"/>
  <c r="W48" i="8"/>
  <c r="V22" i="8"/>
  <c r="W22" i="8" s="1"/>
  <c r="W8" i="8"/>
  <c r="W10" i="8"/>
  <c r="W31" i="8"/>
  <c r="W12" i="8"/>
  <c r="W23" i="8" l="1"/>
</calcChain>
</file>

<file path=xl/sharedStrings.xml><?xml version="1.0" encoding="utf-8"?>
<sst xmlns="http://schemas.openxmlformats.org/spreadsheetml/2006/main" count="22" uniqueCount="15">
  <si>
    <t xml:space="preserve">Date </t>
  </si>
  <si>
    <t>Choix_Jeudi</t>
  </si>
  <si>
    <t>CONVEXITE</t>
  </si>
  <si>
    <t>DURATION</t>
  </si>
  <si>
    <t>OBLIGATION CIBLE</t>
  </si>
  <si>
    <t>Prix_2025</t>
  </si>
  <si>
    <t>Prix_2017</t>
  </si>
  <si>
    <t>k::quantité_2025</t>
  </si>
  <si>
    <t>Valeur Portefeuille</t>
  </si>
  <si>
    <t>variation</t>
  </si>
  <si>
    <t>YIELD</t>
  </si>
  <si>
    <t>MATURITE</t>
  </si>
  <si>
    <t>OBLIGATION_Juin 2017</t>
  </si>
  <si>
    <t>OBLIGATION_Juin 2025</t>
  </si>
  <si>
    <t>Prix_2020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</si>
</sst>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F800]dddd\,\ mmmm\ dd\,\ yyyy"/>
    <numFmt numFmtId="167" formatCode="_(* #,##0.0000_);_(* \(#,##0.0000\);_(* &quot;-&quot;??_);_(@_)"/>
    <numFmt numFmtId="171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14" fontId="2" fillId="2" borderId="6" xfId="0" applyNumberFormat="1" applyFont="1" applyFill="1" applyBorder="1" applyAlignment="1">
      <alignment horizontal="left"/>
    </xf>
    <xf numFmtId="43" fontId="0" fillId="0" borderId="0" xfId="1" applyFont="1"/>
    <xf numFmtId="167" fontId="0" fillId="0" borderId="0" xfId="1" applyNumberFormat="1" applyFont="1"/>
    <xf numFmtId="2" fontId="0" fillId="0" borderId="1" xfId="0" applyNumberFormat="1" applyFill="1" applyBorder="1"/>
    <xf numFmtId="2" fontId="0" fillId="0" borderId="2" xfId="0" applyNumberFormat="1" applyFill="1" applyBorder="1"/>
    <xf numFmtId="2" fontId="0" fillId="0" borderId="3" xfId="0" applyNumberFormat="1" applyFill="1" applyBorder="1"/>
    <xf numFmtId="2" fontId="0" fillId="0" borderId="5" xfId="0" applyNumberFormat="1" applyFill="1" applyBorder="1"/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0" borderId="0" xfId="0" applyFont="1" applyFill="1" applyAlignment="1"/>
    <xf numFmtId="43" fontId="0" fillId="0" borderId="0" xfId="0" applyNumberFormat="1"/>
    <xf numFmtId="0" fontId="2" fillId="2" borderId="0" xfId="0" applyFont="1" applyFill="1" applyBorder="1" applyAlignment="1">
      <alignment horizontal="center"/>
    </xf>
    <xf numFmtId="167" fontId="0" fillId="2" borderId="0" xfId="1" applyNumberFormat="1" applyFont="1" applyFill="1"/>
    <xf numFmtId="14" fontId="0" fillId="2" borderId="0" xfId="0" applyNumberFormat="1" applyFill="1"/>
    <xf numFmtId="0" fontId="0" fillId="2" borderId="0" xfId="0" applyFill="1"/>
    <xf numFmtId="14" fontId="2" fillId="0" borderId="6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2" fontId="0" fillId="0" borderId="0" xfId="0" applyNumberFormat="1" applyFill="1" applyBorder="1"/>
    <xf numFmtId="167" fontId="0" fillId="0" borderId="0" xfId="0" applyNumberFormat="1"/>
    <xf numFmtId="171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F2" sqref="F2"/>
    </sheetView>
  </sheetViews>
  <sheetFormatPr defaultColWidth="8.85546875" defaultRowHeight="15" x14ac:dyDescent="0.25"/>
  <cols>
    <col min="1" max="1" width="11.7109375" bestFit="1" customWidth="1"/>
    <col min="2" max="2" width="30.42578125" bestFit="1" customWidth="1"/>
    <col min="3" max="3" width="12" customWidth="1"/>
    <col min="4" max="4" width="17.42578125" customWidth="1"/>
    <col min="5" max="5" width="14.28515625" customWidth="1"/>
    <col min="6" max="7" width="12.85546875" customWidth="1"/>
  </cols>
  <sheetData>
    <row r="1" spans="1:7" s="7" customFormat="1" x14ac:dyDescent="0.25">
      <c r="A1" s="7" t="s">
        <v>1</v>
      </c>
      <c r="B1" s="7" t="s">
        <v>0</v>
      </c>
      <c r="C1" s="7" t="s">
        <v>0</v>
      </c>
      <c r="D1" s="7">
        <v>42887</v>
      </c>
      <c r="E1" s="8">
        <v>44089</v>
      </c>
      <c r="F1" s="7">
        <v>45809</v>
      </c>
      <c r="G1" s="7">
        <v>45809</v>
      </c>
    </row>
    <row r="2" spans="1:7" ht="15" customHeight="1" x14ac:dyDescent="0.25">
      <c r="A2">
        <f t="shared" ref="A2:A14" si="0">WEEKDAY(C2)</f>
        <v>5</v>
      </c>
      <c r="B2" s="3">
        <f t="shared" ref="B2:B14" si="1">C2</f>
        <v>42012</v>
      </c>
      <c r="C2" s="2">
        <v>42012</v>
      </c>
      <c r="D2">
        <v>1.04267</v>
      </c>
      <c r="E2">
        <v>1.46678</v>
      </c>
      <c r="F2">
        <v>1.9313800000000001</v>
      </c>
      <c r="G2">
        <v>1.8514999999999999</v>
      </c>
    </row>
    <row r="3" spans="1:7" ht="15" customHeight="1" x14ac:dyDescent="0.25">
      <c r="A3">
        <f t="shared" si="0"/>
        <v>5</v>
      </c>
      <c r="B3" s="3">
        <f t="shared" si="1"/>
        <v>42019</v>
      </c>
      <c r="C3" s="2">
        <v>42019</v>
      </c>
      <c r="D3">
        <v>0.87270999999999999</v>
      </c>
      <c r="E3">
        <v>1.24644</v>
      </c>
      <c r="F3">
        <v>1.6851499999999999</v>
      </c>
      <c r="G3">
        <v>1.62009</v>
      </c>
    </row>
    <row r="4" spans="1:7" ht="15" customHeight="1" x14ac:dyDescent="0.25">
      <c r="A4">
        <f t="shared" si="0"/>
        <v>5</v>
      </c>
      <c r="B4" s="3">
        <f t="shared" si="1"/>
        <v>42026</v>
      </c>
      <c r="C4" s="2">
        <v>42026</v>
      </c>
      <c r="D4">
        <v>0.61267000000000005</v>
      </c>
      <c r="E4">
        <v>1.08535</v>
      </c>
      <c r="F4">
        <v>1.6252</v>
      </c>
      <c r="G4">
        <v>1.57229</v>
      </c>
    </row>
    <row r="5" spans="1:7" ht="15" customHeight="1" x14ac:dyDescent="0.25">
      <c r="A5">
        <f t="shared" si="0"/>
        <v>5</v>
      </c>
      <c r="B5" s="3">
        <f t="shared" si="1"/>
        <v>42033</v>
      </c>
      <c r="C5" s="2">
        <v>42033</v>
      </c>
      <c r="D5">
        <v>0.51356999999999997</v>
      </c>
      <c r="E5">
        <v>0.93457000000000001</v>
      </c>
      <c r="F5">
        <v>1.4626999999999999</v>
      </c>
      <c r="G5">
        <v>1.39547</v>
      </c>
    </row>
    <row r="6" spans="1:7" ht="15" customHeight="1" x14ac:dyDescent="0.25">
      <c r="A6">
        <f t="shared" si="0"/>
        <v>5</v>
      </c>
      <c r="B6" s="3">
        <f t="shared" si="1"/>
        <v>42040</v>
      </c>
      <c r="C6" s="2">
        <v>42040</v>
      </c>
      <c r="D6">
        <v>0.48581999999999997</v>
      </c>
      <c r="E6">
        <v>0.9153</v>
      </c>
      <c r="F6">
        <v>1.44492</v>
      </c>
      <c r="G6">
        <v>1.3818999999999999</v>
      </c>
    </row>
    <row r="7" spans="1:7" ht="15" customHeight="1" x14ac:dyDescent="0.25">
      <c r="A7">
        <f t="shared" si="0"/>
        <v>5</v>
      </c>
      <c r="B7" s="3">
        <f t="shared" si="1"/>
        <v>42047</v>
      </c>
      <c r="C7" s="2">
        <v>42047</v>
      </c>
      <c r="D7">
        <v>0.48137999999999997</v>
      </c>
      <c r="E7">
        <v>0.93896999999999997</v>
      </c>
      <c r="F7">
        <v>1.47072</v>
      </c>
      <c r="G7">
        <v>1.42703</v>
      </c>
    </row>
    <row r="8" spans="1:7" ht="15" customHeight="1" x14ac:dyDescent="0.25">
      <c r="A8">
        <f t="shared" si="0"/>
        <v>5</v>
      </c>
      <c r="B8" s="3">
        <f t="shared" si="1"/>
        <v>42054</v>
      </c>
      <c r="C8" s="2">
        <v>42054</v>
      </c>
      <c r="D8">
        <v>0.48997000000000002</v>
      </c>
      <c r="E8">
        <v>0.98955000000000004</v>
      </c>
      <c r="F8">
        <v>1.5345599999999999</v>
      </c>
      <c r="G8">
        <v>1.4781599999999999</v>
      </c>
    </row>
    <row r="9" spans="1:7" ht="15" customHeight="1" x14ac:dyDescent="0.25">
      <c r="A9">
        <f t="shared" si="0"/>
        <v>5</v>
      </c>
      <c r="B9" s="3">
        <f t="shared" si="1"/>
        <v>42061</v>
      </c>
      <c r="C9" s="2">
        <v>42061</v>
      </c>
      <c r="D9">
        <v>0.56855999999999995</v>
      </c>
      <c r="E9">
        <v>0.94205000000000005</v>
      </c>
      <c r="F9">
        <v>1.44651</v>
      </c>
      <c r="G9">
        <v>1.3846499999999999</v>
      </c>
    </row>
    <row r="10" spans="1:7" ht="15" customHeight="1" x14ac:dyDescent="0.25">
      <c r="A10">
        <f t="shared" si="0"/>
        <v>5</v>
      </c>
      <c r="B10" s="3">
        <f t="shared" si="1"/>
        <v>42068</v>
      </c>
      <c r="C10" s="2">
        <v>42068</v>
      </c>
      <c r="D10">
        <v>0.69211999999999996</v>
      </c>
      <c r="E10">
        <v>1.09158</v>
      </c>
      <c r="F10">
        <v>1.6154999999999999</v>
      </c>
      <c r="G10">
        <v>1.54573</v>
      </c>
    </row>
    <row r="11" spans="1:7" ht="15" customHeight="1" x14ac:dyDescent="0.25">
      <c r="A11">
        <f t="shared" si="0"/>
        <v>5</v>
      </c>
      <c r="B11" s="3">
        <f t="shared" si="1"/>
        <v>42075</v>
      </c>
      <c r="C11" s="2">
        <v>42075</v>
      </c>
      <c r="D11">
        <v>0.65476000000000001</v>
      </c>
      <c r="E11">
        <v>1.03223</v>
      </c>
      <c r="F11">
        <v>1.58331</v>
      </c>
      <c r="G11">
        <v>1.51566</v>
      </c>
    </row>
    <row r="12" spans="1:7" ht="15" customHeight="1" x14ac:dyDescent="0.25">
      <c r="A12">
        <f t="shared" si="0"/>
        <v>5</v>
      </c>
      <c r="B12" s="3">
        <f t="shared" si="1"/>
        <v>42082</v>
      </c>
      <c r="C12" s="2">
        <v>42082</v>
      </c>
      <c r="D12">
        <v>0.56764000000000003</v>
      </c>
      <c r="E12">
        <v>0.89732000000000001</v>
      </c>
      <c r="F12">
        <v>1.4104000000000001</v>
      </c>
      <c r="G12">
        <v>1.3398099999999999</v>
      </c>
    </row>
    <row r="13" spans="1:7" ht="15" customHeight="1" x14ac:dyDescent="0.25">
      <c r="A13">
        <f t="shared" si="0"/>
        <v>5</v>
      </c>
      <c r="B13" s="3">
        <f t="shared" si="1"/>
        <v>42089</v>
      </c>
      <c r="C13" s="2">
        <v>42089</v>
      </c>
      <c r="D13">
        <v>0.67054999999999998</v>
      </c>
      <c r="E13">
        <v>1.0221800000000001</v>
      </c>
      <c r="F13">
        <v>1.52322</v>
      </c>
      <c r="G13">
        <v>1.4582299999999999</v>
      </c>
    </row>
    <row r="14" spans="1:7" ht="15" customHeight="1" x14ac:dyDescent="0.25">
      <c r="A14">
        <f t="shared" si="0"/>
        <v>5</v>
      </c>
      <c r="B14" s="3">
        <f t="shared" si="1"/>
        <v>42096</v>
      </c>
      <c r="C14" s="2">
        <v>42096</v>
      </c>
      <c r="D14">
        <v>0.57757999999999998</v>
      </c>
      <c r="E14">
        <v>0.89888000000000001</v>
      </c>
      <c r="F14">
        <v>1.3983099999999999</v>
      </c>
      <c r="G14">
        <v>1.3321000000000001</v>
      </c>
    </row>
    <row r="15" spans="1:7" ht="15" customHeight="1" x14ac:dyDescent="0.25">
      <c r="A15">
        <f t="shared" ref="A15:A27" si="2">WEEKDAY(C15)</f>
        <v>5</v>
      </c>
      <c r="B15" s="3">
        <f t="shared" ref="B15:B27" si="3">C15</f>
        <v>42103</v>
      </c>
      <c r="C15" s="2">
        <v>42103</v>
      </c>
      <c r="D15">
        <v>0.59660000000000002</v>
      </c>
      <c r="E15">
        <v>0.94550000000000001</v>
      </c>
      <c r="F15">
        <v>1.45706</v>
      </c>
      <c r="G15">
        <v>1.3906799999999999</v>
      </c>
    </row>
    <row r="16" spans="1:7" ht="15" customHeight="1" x14ac:dyDescent="0.25">
      <c r="A16">
        <f t="shared" si="2"/>
        <v>5</v>
      </c>
      <c r="B16" s="3">
        <f t="shared" si="3"/>
        <v>42110</v>
      </c>
      <c r="C16" s="2">
        <v>42110</v>
      </c>
      <c r="D16">
        <v>0.66274</v>
      </c>
      <c r="E16">
        <v>0.97616000000000003</v>
      </c>
      <c r="F16">
        <v>1.46065</v>
      </c>
      <c r="G16">
        <v>1.39028</v>
      </c>
    </row>
    <row r="17" spans="1:7" ht="15" customHeight="1" x14ac:dyDescent="0.25">
      <c r="A17">
        <f t="shared" si="2"/>
        <v>5</v>
      </c>
      <c r="B17" s="3">
        <f t="shared" si="3"/>
        <v>42117</v>
      </c>
      <c r="C17" s="2">
        <v>42117</v>
      </c>
      <c r="D17">
        <v>0.74214999999999998</v>
      </c>
      <c r="E17">
        <v>1.08626</v>
      </c>
      <c r="F17">
        <v>1.57826</v>
      </c>
      <c r="G17">
        <v>1.5035400000000001</v>
      </c>
    </row>
    <row r="18" spans="1:7" ht="15" customHeight="1" x14ac:dyDescent="0.25">
      <c r="A18">
        <f t="shared" si="2"/>
        <v>5</v>
      </c>
      <c r="B18" s="3">
        <f t="shared" si="3"/>
        <v>42124</v>
      </c>
      <c r="C18" s="2">
        <v>42124</v>
      </c>
      <c r="D18">
        <v>0.76934999999999998</v>
      </c>
      <c r="E18">
        <v>1.15201</v>
      </c>
      <c r="F18">
        <v>1.6869499999999999</v>
      </c>
      <c r="G18">
        <v>1.6077300000000001</v>
      </c>
    </row>
    <row r="19" spans="1:7" ht="15" customHeight="1" x14ac:dyDescent="0.25">
      <c r="A19">
        <f t="shared" si="2"/>
        <v>5</v>
      </c>
      <c r="B19" s="3">
        <f t="shared" si="3"/>
        <v>42131</v>
      </c>
      <c r="C19" s="2">
        <v>42131</v>
      </c>
      <c r="D19">
        <v>0.78710999999999998</v>
      </c>
      <c r="E19">
        <v>1.2451099999999999</v>
      </c>
      <c r="F19">
        <v>1.81758</v>
      </c>
      <c r="G19">
        <v>1.7625200000000001</v>
      </c>
    </row>
    <row r="20" spans="1:7" ht="15" customHeight="1" x14ac:dyDescent="0.25">
      <c r="A20">
        <f t="shared" si="2"/>
        <v>5</v>
      </c>
      <c r="B20" s="3">
        <f t="shared" si="3"/>
        <v>42138</v>
      </c>
      <c r="C20" s="2">
        <v>42138</v>
      </c>
      <c r="D20">
        <v>0.77688999999999997</v>
      </c>
      <c r="E20">
        <v>1.2604900000000001</v>
      </c>
      <c r="F20">
        <v>1.8763700000000001</v>
      </c>
      <c r="G20">
        <v>1.82759</v>
      </c>
    </row>
    <row r="21" spans="1:7" ht="15" customHeight="1" x14ac:dyDescent="0.25">
      <c r="A21">
        <f t="shared" si="2"/>
        <v>5</v>
      </c>
      <c r="B21" s="3">
        <f t="shared" si="3"/>
        <v>42145</v>
      </c>
      <c r="C21" s="2">
        <v>42145</v>
      </c>
      <c r="D21">
        <v>0.77415</v>
      </c>
      <c r="E21">
        <v>1.25146</v>
      </c>
      <c r="F21">
        <v>1.8550800000000001</v>
      </c>
      <c r="G21">
        <v>1.7756799999999999</v>
      </c>
    </row>
    <row r="22" spans="1:7" ht="15" customHeight="1" x14ac:dyDescent="0.25">
      <c r="A22">
        <f t="shared" si="2"/>
        <v>5</v>
      </c>
      <c r="B22" s="3">
        <f t="shared" si="3"/>
        <v>42152</v>
      </c>
      <c r="C22" s="2">
        <v>42152</v>
      </c>
      <c r="D22">
        <v>0.72138999999999998</v>
      </c>
      <c r="E22">
        <v>1.1453100000000001</v>
      </c>
      <c r="F22">
        <v>1.7628200000000001</v>
      </c>
      <c r="G22">
        <v>1.68113</v>
      </c>
    </row>
    <row r="23" spans="1:7" ht="15" customHeight="1" x14ac:dyDescent="0.25">
      <c r="A23">
        <f t="shared" si="2"/>
        <v>5</v>
      </c>
      <c r="B23" s="3">
        <f t="shared" si="3"/>
        <v>42159</v>
      </c>
      <c r="C23" s="2">
        <v>42159</v>
      </c>
      <c r="D23">
        <v>0.68084</v>
      </c>
      <c r="E23">
        <v>1.18127</v>
      </c>
      <c r="F23">
        <v>1.8450299999999999</v>
      </c>
      <c r="G23">
        <v>1.75868</v>
      </c>
    </row>
    <row r="24" spans="1:7" ht="15" customHeight="1" x14ac:dyDescent="0.25">
      <c r="A24">
        <f t="shared" si="2"/>
        <v>5</v>
      </c>
      <c r="B24" s="3">
        <f t="shared" si="3"/>
        <v>42166</v>
      </c>
      <c r="C24" s="2">
        <v>42166</v>
      </c>
      <c r="D24">
        <v>0.75036999999999998</v>
      </c>
      <c r="E24">
        <v>1.2605299999999999</v>
      </c>
      <c r="F24">
        <v>1.9277500000000001</v>
      </c>
      <c r="G24">
        <v>1.84</v>
      </c>
    </row>
    <row r="25" spans="1:7" ht="15" customHeight="1" x14ac:dyDescent="0.25">
      <c r="A25">
        <f t="shared" si="2"/>
        <v>5</v>
      </c>
      <c r="B25" s="3">
        <f t="shared" si="3"/>
        <v>42173</v>
      </c>
      <c r="C25" s="2">
        <v>42173</v>
      </c>
      <c r="D25">
        <v>0.71319999999999995</v>
      </c>
      <c r="E25">
        <v>1.19937</v>
      </c>
      <c r="F25">
        <v>1.8945700000000001</v>
      </c>
      <c r="G25">
        <v>1.8132999999999999</v>
      </c>
    </row>
    <row r="26" spans="1:7" ht="15" customHeight="1" x14ac:dyDescent="0.25">
      <c r="A26">
        <f t="shared" si="2"/>
        <v>5</v>
      </c>
      <c r="B26" s="3">
        <f t="shared" si="3"/>
        <v>42180</v>
      </c>
      <c r="C26" s="2">
        <v>42180</v>
      </c>
      <c r="D26">
        <v>0.71355000000000002</v>
      </c>
      <c r="E26">
        <v>1.23908</v>
      </c>
      <c r="F26">
        <v>1.92425</v>
      </c>
      <c r="G26">
        <v>1.8411999999999999</v>
      </c>
    </row>
    <row r="27" spans="1:7" ht="15" customHeight="1" x14ac:dyDescent="0.25">
      <c r="A27">
        <f t="shared" si="2"/>
        <v>5</v>
      </c>
      <c r="B27" s="3">
        <f t="shared" si="3"/>
        <v>42187</v>
      </c>
      <c r="C27" s="2">
        <v>42187</v>
      </c>
      <c r="D27">
        <v>0.58301999999999998</v>
      </c>
      <c r="E27">
        <v>1.0854699999999999</v>
      </c>
      <c r="F27">
        <v>1.8134999999999999</v>
      </c>
      <c r="G27">
        <v>1.76007</v>
      </c>
    </row>
    <row r="28" spans="1:7" ht="15" customHeight="1" x14ac:dyDescent="0.25">
      <c r="A28">
        <f t="shared" ref="A28:A40" si="4">WEEKDAY(C28)</f>
        <v>5</v>
      </c>
      <c r="B28" s="3">
        <f t="shared" ref="B28:B40" si="5">C28</f>
        <v>42194</v>
      </c>
      <c r="C28" s="2">
        <v>42194</v>
      </c>
      <c r="D28">
        <v>0.55710000000000004</v>
      </c>
      <c r="E28">
        <v>0.97540000000000004</v>
      </c>
      <c r="F28">
        <v>1.6862299999999999</v>
      </c>
      <c r="G28">
        <v>1.6202300000000001</v>
      </c>
    </row>
    <row r="29" spans="1:7" ht="15" customHeight="1" x14ac:dyDescent="0.25">
      <c r="A29">
        <f t="shared" si="4"/>
        <v>5</v>
      </c>
      <c r="B29" s="3">
        <f t="shared" si="5"/>
        <v>42201</v>
      </c>
      <c r="C29" s="2">
        <v>42201</v>
      </c>
      <c r="D29">
        <v>0.50948000000000004</v>
      </c>
      <c r="E29">
        <v>0.94447000000000003</v>
      </c>
      <c r="F29">
        <v>1.6594599999999999</v>
      </c>
      <c r="G29">
        <v>1.5901400000000001</v>
      </c>
    </row>
    <row r="30" spans="1:7" ht="15" customHeight="1" x14ac:dyDescent="0.25">
      <c r="A30">
        <f t="shared" si="4"/>
        <v>5</v>
      </c>
      <c r="B30" s="3">
        <f t="shared" si="5"/>
        <v>42208</v>
      </c>
      <c r="C30" s="2">
        <v>42208</v>
      </c>
      <c r="D30">
        <v>0.52337999999999996</v>
      </c>
      <c r="E30">
        <v>0.86995</v>
      </c>
      <c r="F30">
        <v>1.59355</v>
      </c>
      <c r="G30">
        <v>1.5266900000000001</v>
      </c>
    </row>
    <row r="31" spans="1:7" ht="15" customHeight="1" x14ac:dyDescent="0.25">
      <c r="A31">
        <f t="shared" si="4"/>
        <v>5</v>
      </c>
      <c r="B31" s="3">
        <f t="shared" si="5"/>
        <v>42215</v>
      </c>
      <c r="C31" s="2">
        <v>42215</v>
      </c>
      <c r="D31">
        <v>0.53927000000000003</v>
      </c>
      <c r="E31">
        <v>0.93522000000000005</v>
      </c>
      <c r="F31">
        <v>1.57498</v>
      </c>
      <c r="G31">
        <v>1.5169900000000001</v>
      </c>
    </row>
    <row r="32" spans="1:7" ht="15" customHeight="1" x14ac:dyDescent="0.25">
      <c r="A32">
        <f t="shared" si="4"/>
        <v>5</v>
      </c>
      <c r="B32" s="3">
        <f t="shared" si="5"/>
        <v>42222</v>
      </c>
      <c r="C32" s="2">
        <v>42222</v>
      </c>
      <c r="D32">
        <v>0.52112000000000003</v>
      </c>
      <c r="E32">
        <v>0.87165999999999999</v>
      </c>
      <c r="F32">
        <v>1.52955</v>
      </c>
      <c r="G32">
        <v>1.4709700000000001</v>
      </c>
    </row>
    <row r="33" spans="1:7" ht="15" customHeight="1" x14ac:dyDescent="0.25">
      <c r="A33">
        <f t="shared" si="4"/>
        <v>5</v>
      </c>
      <c r="B33" s="3">
        <f t="shared" si="5"/>
        <v>42229</v>
      </c>
      <c r="C33" s="2">
        <v>42229</v>
      </c>
      <c r="D33">
        <v>0.51097999999999999</v>
      </c>
      <c r="E33">
        <v>0.82603000000000004</v>
      </c>
      <c r="F33">
        <v>1.48075</v>
      </c>
      <c r="G33">
        <v>1.4220299999999999</v>
      </c>
    </row>
    <row r="34" spans="1:7" ht="15" customHeight="1" x14ac:dyDescent="0.25">
      <c r="A34">
        <f t="shared" si="4"/>
        <v>5</v>
      </c>
      <c r="B34" s="3">
        <f t="shared" si="5"/>
        <v>42236</v>
      </c>
      <c r="C34" s="2">
        <v>42236</v>
      </c>
      <c r="D34">
        <v>0.45038</v>
      </c>
      <c r="E34">
        <v>0.73126000000000002</v>
      </c>
      <c r="F34">
        <v>1.37751</v>
      </c>
      <c r="G34">
        <v>1.3248200000000001</v>
      </c>
    </row>
    <row r="35" spans="1:7" ht="15" customHeight="1" x14ac:dyDescent="0.25">
      <c r="A35">
        <f t="shared" si="4"/>
        <v>5</v>
      </c>
      <c r="B35" s="3">
        <f t="shared" si="5"/>
        <v>42243</v>
      </c>
      <c r="C35" s="2">
        <v>42243</v>
      </c>
      <c r="D35">
        <v>0.51132</v>
      </c>
      <c r="E35">
        <v>0.82915000000000005</v>
      </c>
      <c r="F35">
        <v>1.5641099999999999</v>
      </c>
      <c r="G35">
        <v>1.48342</v>
      </c>
    </row>
    <row r="36" spans="1:7" ht="15" customHeight="1" x14ac:dyDescent="0.25">
      <c r="A36">
        <f t="shared" si="4"/>
        <v>5</v>
      </c>
      <c r="B36" s="3">
        <f t="shared" si="5"/>
        <v>42250</v>
      </c>
      <c r="C36" s="2">
        <v>42250</v>
      </c>
      <c r="D36">
        <v>0.54905000000000004</v>
      </c>
      <c r="E36">
        <v>0.85650999999999999</v>
      </c>
      <c r="F36">
        <v>1.5725100000000001</v>
      </c>
      <c r="G36">
        <v>1.4859500000000001</v>
      </c>
    </row>
    <row r="37" spans="1:7" ht="15" customHeight="1" x14ac:dyDescent="0.25">
      <c r="A37">
        <f t="shared" si="4"/>
        <v>5</v>
      </c>
      <c r="B37" s="3">
        <f t="shared" si="5"/>
        <v>42257</v>
      </c>
      <c r="C37" s="2">
        <v>42257</v>
      </c>
      <c r="D37">
        <v>0.58187999999999995</v>
      </c>
      <c r="E37">
        <v>0.89217999999999997</v>
      </c>
      <c r="F37">
        <v>1.60734</v>
      </c>
      <c r="G37">
        <v>1.51461</v>
      </c>
    </row>
    <row r="38" spans="1:7" ht="15" customHeight="1" x14ac:dyDescent="0.25">
      <c r="A38">
        <f t="shared" si="4"/>
        <v>5</v>
      </c>
      <c r="B38" s="3">
        <f t="shared" si="5"/>
        <v>42264</v>
      </c>
      <c r="C38" s="2">
        <v>42264</v>
      </c>
      <c r="D38">
        <v>0.60943999999999998</v>
      </c>
      <c r="E38">
        <v>0.92645</v>
      </c>
      <c r="F38">
        <v>1.6409499999999999</v>
      </c>
      <c r="G38">
        <v>1.5561499999999999</v>
      </c>
    </row>
    <row r="39" spans="1:7" ht="15" customHeight="1" x14ac:dyDescent="0.25">
      <c r="A39">
        <f t="shared" si="4"/>
        <v>5</v>
      </c>
      <c r="B39" s="3">
        <f t="shared" si="5"/>
        <v>42271</v>
      </c>
      <c r="C39" s="2">
        <v>42271</v>
      </c>
      <c r="D39">
        <v>0.63188999999999995</v>
      </c>
      <c r="E39">
        <v>0.91605999999999999</v>
      </c>
      <c r="F39">
        <v>1.57748</v>
      </c>
      <c r="G39">
        <v>1.49512</v>
      </c>
    </row>
    <row r="40" spans="1:7" ht="15" customHeight="1" x14ac:dyDescent="0.25">
      <c r="A40">
        <f t="shared" si="4"/>
        <v>5</v>
      </c>
      <c r="B40" s="3">
        <f t="shared" si="5"/>
        <v>42278</v>
      </c>
      <c r="C40" s="2">
        <v>42278</v>
      </c>
      <c r="D40">
        <v>0.64507000000000003</v>
      </c>
      <c r="E40">
        <v>0.91830000000000001</v>
      </c>
      <c r="F40">
        <v>1.5330900000000001</v>
      </c>
      <c r="G40">
        <v>1.4614100000000001</v>
      </c>
    </row>
    <row r="41" spans="1:7" ht="15" customHeight="1" x14ac:dyDescent="0.25">
      <c r="A41">
        <f t="shared" ref="A41:A53" si="6">WEEKDAY(C41)</f>
        <v>5</v>
      </c>
      <c r="B41" s="3">
        <f t="shared" ref="B41:B53" si="7">C41</f>
        <v>42285</v>
      </c>
      <c r="C41" s="2">
        <v>42285</v>
      </c>
      <c r="D41">
        <v>0.65688000000000002</v>
      </c>
      <c r="E41">
        <v>0.95967999999999998</v>
      </c>
      <c r="F41">
        <v>1.59782</v>
      </c>
      <c r="G41">
        <v>1.5307500000000001</v>
      </c>
    </row>
    <row r="42" spans="1:7" ht="15" customHeight="1" x14ac:dyDescent="0.25">
      <c r="A42">
        <f t="shared" si="6"/>
        <v>5</v>
      </c>
      <c r="B42" s="3">
        <f t="shared" si="7"/>
        <v>42292</v>
      </c>
      <c r="C42" s="2">
        <v>42292</v>
      </c>
      <c r="D42">
        <v>0.6421</v>
      </c>
      <c r="E42">
        <v>0.91722999999999999</v>
      </c>
      <c r="F42">
        <v>1.5504800000000001</v>
      </c>
      <c r="G42">
        <v>1.4615</v>
      </c>
    </row>
    <row r="43" spans="1:7" ht="15" customHeight="1" x14ac:dyDescent="0.25">
      <c r="A43">
        <f t="shared" si="6"/>
        <v>5</v>
      </c>
      <c r="B43" s="3">
        <f t="shared" si="7"/>
        <v>42299</v>
      </c>
      <c r="C43" s="2">
        <v>42299</v>
      </c>
      <c r="D43">
        <v>0.64512999999999998</v>
      </c>
      <c r="E43">
        <v>0.93118999999999996</v>
      </c>
      <c r="F43">
        <v>1.54976</v>
      </c>
      <c r="G43">
        <v>1.4702200000000001</v>
      </c>
    </row>
    <row r="44" spans="1:7" ht="15" customHeight="1" x14ac:dyDescent="0.25">
      <c r="A44">
        <f t="shared" si="6"/>
        <v>5</v>
      </c>
      <c r="B44" s="3">
        <f t="shared" si="7"/>
        <v>42306</v>
      </c>
      <c r="C44" s="2">
        <v>42306</v>
      </c>
      <c r="D44">
        <v>0.69103999999999999</v>
      </c>
      <c r="E44">
        <v>1.0069699999999999</v>
      </c>
      <c r="F44">
        <v>1.64791</v>
      </c>
      <c r="G44">
        <v>1.5687</v>
      </c>
    </row>
    <row r="45" spans="1:7" ht="15" customHeight="1" x14ac:dyDescent="0.25">
      <c r="A45">
        <f t="shared" si="6"/>
        <v>5</v>
      </c>
      <c r="B45" s="3">
        <f t="shared" si="7"/>
        <v>42313</v>
      </c>
      <c r="C45" s="2">
        <v>42313</v>
      </c>
      <c r="D45">
        <v>0.73553999999999997</v>
      </c>
      <c r="E45">
        <v>1.0767</v>
      </c>
      <c r="F45">
        <v>1.75674</v>
      </c>
      <c r="G45">
        <v>1.66845</v>
      </c>
    </row>
    <row r="46" spans="1:7" ht="15" customHeight="1" x14ac:dyDescent="0.25">
      <c r="A46">
        <f t="shared" si="6"/>
        <v>5</v>
      </c>
      <c r="B46" s="3">
        <f t="shared" si="7"/>
        <v>42320</v>
      </c>
      <c r="C46" s="2">
        <v>42320</v>
      </c>
      <c r="D46">
        <v>0.75746000000000002</v>
      </c>
      <c r="E46">
        <v>1.1073</v>
      </c>
      <c r="F46">
        <v>1.8354200000000001</v>
      </c>
      <c r="G46">
        <v>1.7261299999999999</v>
      </c>
    </row>
    <row r="47" spans="1:7" ht="15" customHeight="1" x14ac:dyDescent="0.25">
      <c r="A47">
        <f t="shared" si="6"/>
        <v>5</v>
      </c>
      <c r="B47" s="3">
        <f t="shared" si="7"/>
        <v>42327</v>
      </c>
      <c r="C47" s="2">
        <v>42327</v>
      </c>
      <c r="D47">
        <v>0.72629999999999995</v>
      </c>
      <c r="E47">
        <v>1.0553300000000001</v>
      </c>
      <c r="F47">
        <v>1.74769</v>
      </c>
      <c r="G47">
        <v>1.6462699999999999</v>
      </c>
    </row>
    <row r="48" spans="1:7" ht="15" customHeight="1" x14ac:dyDescent="0.25">
      <c r="A48">
        <f t="shared" si="6"/>
        <v>5</v>
      </c>
      <c r="B48" s="3">
        <f t="shared" si="7"/>
        <v>42334</v>
      </c>
      <c r="C48" s="2">
        <v>42334</v>
      </c>
      <c r="D48">
        <v>0.73397000000000001</v>
      </c>
      <c r="E48">
        <v>1.0341499999999999</v>
      </c>
      <c r="F48">
        <v>1.6874400000000001</v>
      </c>
      <c r="G48">
        <v>1.5901099999999999</v>
      </c>
    </row>
    <row r="49" spans="1:7" ht="15" customHeight="1" x14ac:dyDescent="0.25">
      <c r="A49">
        <f t="shared" si="6"/>
        <v>5</v>
      </c>
      <c r="B49" s="3">
        <f t="shared" si="7"/>
        <v>42341</v>
      </c>
      <c r="C49" s="2">
        <v>42341</v>
      </c>
      <c r="D49">
        <v>0.76605000000000001</v>
      </c>
      <c r="E49">
        <v>1.09344</v>
      </c>
      <c r="F49">
        <v>1.75451</v>
      </c>
      <c r="G49">
        <v>1.64527</v>
      </c>
    </row>
    <row r="50" spans="1:7" ht="15" customHeight="1" x14ac:dyDescent="0.25">
      <c r="A50">
        <f t="shared" si="6"/>
        <v>5</v>
      </c>
      <c r="B50" s="3">
        <f t="shared" si="7"/>
        <v>42348</v>
      </c>
      <c r="C50" s="2">
        <v>42348</v>
      </c>
      <c r="D50">
        <v>0.65178999999999998</v>
      </c>
      <c r="E50">
        <v>0.94979000000000002</v>
      </c>
      <c r="F50">
        <v>1.6043700000000001</v>
      </c>
      <c r="G50">
        <v>1.5049300000000001</v>
      </c>
    </row>
    <row r="51" spans="1:7" ht="15" customHeight="1" x14ac:dyDescent="0.25">
      <c r="A51">
        <f t="shared" si="6"/>
        <v>5</v>
      </c>
      <c r="B51" s="3">
        <f t="shared" si="7"/>
        <v>42355</v>
      </c>
      <c r="C51" s="2">
        <v>42355</v>
      </c>
      <c r="D51">
        <v>0.63110999999999995</v>
      </c>
      <c r="E51">
        <v>0.92481999999999998</v>
      </c>
      <c r="F51">
        <v>1.55094</v>
      </c>
      <c r="G51">
        <v>1.4548399999999999</v>
      </c>
    </row>
    <row r="52" spans="1:7" ht="15" customHeight="1" x14ac:dyDescent="0.25">
      <c r="A52">
        <f t="shared" si="6"/>
        <v>5</v>
      </c>
      <c r="B52" s="3">
        <f t="shared" si="7"/>
        <v>42362</v>
      </c>
      <c r="C52" s="2">
        <v>42362</v>
      </c>
      <c r="D52">
        <v>0.59806000000000004</v>
      </c>
      <c r="E52">
        <v>0.87073999999999996</v>
      </c>
      <c r="F52">
        <v>1.50396</v>
      </c>
      <c r="G52">
        <v>1.39252</v>
      </c>
    </row>
    <row r="53" spans="1:7" ht="15" customHeight="1" x14ac:dyDescent="0.25">
      <c r="A53">
        <f t="shared" si="6"/>
        <v>5</v>
      </c>
      <c r="B53" s="3">
        <f t="shared" si="7"/>
        <v>42369</v>
      </c>
      <c r="C53" s="2">
        <v>42369</v>
      </c>
      <c r="D53">
        <v>0.59780999999999995</v>
      </c>
      <c r="E53">
        <v>0.87644999999999995</v>
      </c>
      <c r="F53">
        <v>1.5049300000000001</v>
      </c>
      <c r="G53">
        <v>1.4188700000000001</v>
      </c>
    </row>
  </sheetData>
  <autoFilter ref="A1:G5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="115" zoomScaleNormal="115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G2" sqref="G1:K1048576"/>
    </sheetView>
  </sheetViews>
  <sheetFormatPr defaultColWidth="8.85546875" defaultRowHeight="15" x14ac:dyDescent="0.25"/>
  <cols>
    <col min="1" max="1" width="11.7109375" bestFit="1" customWidth="1"/>
    <col min="2" max="2" width="11.85546875" bestFit="1" customWidth="1"/>
    <col min="3" max="3" width="10.7109375" customWidth="1"/>
    <col min="4" max="4" width="10.7109375" style="5" customWidth="1"/>
    <col min="5" max="5" width="10.7109375" customWidth="1"/>
    <col min="6" max="6" width="3.85546875" customWidth="1"/>
  </cols>
  <sheetData>
    <row r="1" spans="1:5" x14ac:dyDescent="0.25">
      <c r="C1" s="22"/>
      <c r="D1" s="22"/>
      <c r="E1" s="22"/>
    </row>
    <row r="2" spans="1:5" s="6" customFormat="1" x14ac:dyDescent="0.25">
      <c r="A2" s="6" t="s">
        <v>1</v>
      </c>
      <c r="B2" s="10" t="str">
        <f>yields!C1</f>
        <v xml:space="preserve">Date </v>
      </c>
      <c r="C2" s="11">
        <v>42887</v>
      </c>
      <c r="D2" s="12">
        <v>44089</v>
      </c>
      <c r="E2" s="11">
        <v>45809</v>
      </c>
    </row>
    <row r="3" spans="1:5" x14ac:dyDescent="0.25">
      <c r="A3">
        <f t="shared" ref="A3:A15" si="0">WEEKDAY(B3)</f>
        <v>5</v>
      </c>
      <c r="B3" s="2">
        <f>yields!C2</f>
        <v>42012</v>
      </c>
      <c r="C3" s="1">
        <f>(C$2-$B3)/360</f>
        <v>2.4305555555555554</v>
      </c>
      <c r="D3" s="4">
        <f>(D$2-$B3)/360</f>
        <v>5.7694444444444448</v>
      </c>
      <c r="E3" s="1">
        <f>(E$2-$B3)/360</f>
        <v>10.547222222222222</v>
      </c>
    </row>
    <row r="4" spans="1:5" x14ac:dyDescent="0.25">
      <c r="A4">
        <f t="shared" si="0"/>
        <v>5</v>
      </c>
      <c r="B4" s="2">
        <f>yields!C3</f>
        <v>42019</v>
      </c>
      <c r="C4" s="1">
        <f>(C$2-$B4)/360</f>
        <v>2.411111111111111</v>
      </c>
      <c r="D4" s="4">
        <f>(D$2-$B4)/360</f>
        <v>5.75</v>
      </c>
      <c r="E4" s="1">
        <f>(E$2-$B4)/360</f>
        <v>10.527777777777779</v>
      </c>
    </row>
    <row r="5" spans="1:5" x14ac:dyDescent="0.25">
      <c r="A5">
        <f t="shared" si="0"/>
        <v>5</v>
      </c>
      <c r="B5" s="2">
        <f>yields!C4</f>
        <v>42026</v>
      </c>
      <c r="C5" s="1">
        <f>(C$2-$B5)/360</f>
        <v>2.3916666666666666</v>
      </c>
      <c r="D5" s="4">
        <f>(D$2-$B5)/360</f>
        <v>5.7305555555555552</v>
      </c>
      <c r="E5" s="1">
        <f>(E$2-$B5)/360</f>
        <v>10.508333333333333</v>
      </c>
    </row>
    <row r="6" spans="1:5" x14ac:dyDescent="0.25">
      <c r="A6">
        <f t="shared" si="0"/>
        <v>5</v>
      </c>
      <c r="B6" s="2">
        <f>yields!C5</f>
        <v>42033</v>
      </c>
      <c r="C6" s="1">
        <f>(C$2-$B6)/360</f>
        <v>2.3722222222222222</v>
      </c>
      <c r="D6" s="4">
        <f>(D$2-$B6)/360</f>
        <v>5.7111111111111112</v>
      </c>
      <c r="E6" s="1">
        <f>(E$2-$B6)/360</f>
        <v>10.488888888888889</v>
      </c>
    </row>
    <row r="7" spans="1:5" x14ac:dyDescent="0.25">
      <c r="A7">
        <f t="shared" si="0"/>
        <v>5</v>
      </c>
      <c r="B7" s="2">
        <f>yields!C6</f>
        <v>42040</v>
      </c>
      <c r="C7" s="1">
        <f>(C$2-$B7)/360</f>
        <v>2.3527777777777779</v>
      </c>
      <c r="D7" s="4">
        <f>(D$2-$B7)/360</f>
        <v>5.6916666666666664</v>
      </c>
      <c r="E7" s="1">
        <f>(E$2-$B7)/360</f>
        <v>10.469444444444445</v>
      </c>
    </row>
    <row r="8" spans="1:5" x14ac:dyDescent="0.25">
      <c r="A8">
        <f t="shared" si="0"/>
        <v>5</v>
      </c>
      <c r="B8" s="2">
        <f>yields!C7</f>
        <v>42047</v>
      </c>
      <c r="C8" s="1">
        <f>(C$2-$B8)/360</f>
        <v>2.3333333333333335</v>
      </c>
      <c r="D8" s="4">
        <f>(D$2-$B8)/360</f>
        <v>5.6722222222222225</v>
      </c>
      <c r="E8" s="1">
        <f>(E$2-$B8)/360</f>
        <v>10.45</v>
      </c>
    </row>
    <row r="9" spans="1:5" x14ac:dyDescent="0.25">
      <c r="A9">
        <f t="shared" si="0"/>
        <v>5</v>
      </c>
      <c r="B9" s="2">
        <f>yields!C8</f>
        <v>42054</v>
      </c>
      <c r="C9" s="1">
        <f>(C$2-$B9)/360</f>
        <v>2.3138888888888891</v>
      </c>
      <c r="D9" s="4">
        <f>(D$2-$B9)/360</f>
        <v>5.6527777777777777</v>
      </c>
      <c r="E9" s="1">
        <f>(E$2-$B9)/360</f>
        <v>10.430555555555555</v>
      </c>
    </row>
    <row r="10" spans="1:5" x14ac:dyDescent="0.25">
      <c r="A10">
        <f t="shared" si="0"/>
        <v>5</v>
      </c>
      <c r="B10" s="2">
        <f>yields!C9</f>
        <v>42061</v>
      </c>
      <c r="C10" s="1">
        <f>(C$2-$B10)/360</f>
        <v>2.2944444444444443</v>
      </c>
      <c r="D10" s="4">
        <f>(D$2-$B10)/360</f>
        <v>5.6333333333333337</v>
      </c>
      <c r="E10" s="1">
        <f>(E$2-$B10)/360</f>
        <v>10.411111111111111</v>
      </c>
    </row>
    <row r="11" spans="1:5" x14ac:dyDescent="0.25">
      <c r="A11">
        <f t="shared" si="0"/>
        <v>5</v>
      </c>
      <c r="B11" s="2">
        <f>yields!C10</f>
        <v>42068</v>
      </c>
      <c r="C11" s="1">
        <f>(C$2-$B11)/360</f>
        <v>2.2749999999999999</v>
      </c>
      <c r="D11" s="4">
        <f>(D$2-$B11)/360</f>
        <v>5.6138888888888889</v>
      </c>
      <c r="E11" s="1">
        <f>(E$2-$B11)/360</f>
        <v>10.391666666666667</v>
      </c>
    </row>
    <row r="12" spans="1:5" x14ac:dyDescent="0.25">
      <c r="A12">
        <f t="shared" si="0"/>
        <v>5</v>
      </c>
      <c r="B12" s="2">
        <f>yields!C11</f>
        <v>42075</v>
      </c>
      <c r="C12" s="1">
        <f>(C$2-$B12)/360</f>
        <v>2.2555555555555555</v>
      </c>
      <c r="D12" s="4">
        <f>(D$2-$B12)/360</f>
        <v>5.5944444444444441</v>
      </c>
      <c r="E12" s="1">
        <f>(E$2-$B12)/360</f>
        <v>10.372222222222222</v>
      </c>
    </row>
    <row r="13" spans="1:5" x14ac:dyDescent="0.25">
      <c r="A13">
        <f t="shared" si="0"/>
        <v>5</v>
      </c>
      <c r="B13" s="2">
        <f>yields!C12</f>
        <v>42082</v>
      </c>
      <c r="C13" s="1">
        <f>(C$2-$B13)/360</f>
        <v>2.2361111111111112</v>
      </c>
      <c r="D13" s="4">
        <f>(D$2-$B13)/360</f>
        <v>5.5750000000000002</v>
      </c>
      <c r="E13" s="1">
        <f>(E$2-$B13)/360</f>
        <v>10.352777777777778</v>
      </c>
    </row>
    <row r="14" spans="1:5" x14ac:dyDescent="0.25">
      <c r="A14">
        <f t="shared" si="0"/>
        <v>5</v>
      </c>
      <c r="B14" s="2">
        <f>yields!C13</f>
        <v>42089</v>
      </c>
      <c r="C14" s="1">
        <f>(C$2-$B14)/360</f>
        <v>2.2166666666666668</v>
      </c>
      <c r="D14" s="4">
        <f>(D$2-$B14)/360</f>
        <v>5.5555555555555554</v>
      </c>
      <c r="E14" s="1">
        <f>(E$2-$B14)/360</f>
        <v>10.333333333333334</v>
      </c>
    </row>
    <row r="15" spans="1:5" x14ac:dyDescent="0.25">
      <c r="A15">
        <f t="shared" si="0"/>
        <v>5</v>
      </c>
      <c r="B15" s="2">
        <f>yields!C14</f>
        <v>42096</v>
      </c>
      <c r="C15" s="1">
        <f>(C$2-$B15)/360</f>
        <v>2.1972222222222224</v>
      </c>
      <c r="D15" s="4">
        <f>(D$2-$B15)/360</f>
        <v>5.5361111111111114</v>
      </c>
      <c r="E15" s="1">
        <f>(E$2-$B15)/360</f>
        <v>10.313888888888888</v>
      </c>
    </row>
    <row r="16" spans="1:5" x14ac:dyDescent="0.25">
      <c r="A16">
        <f t="shared" ref="A16:A28" si="1">WEEKDAY(B16)</f>
        <v>5</v>
      </c>
      <c r="B16" s="2">
        <f>yields!C15</f>
        <v>42103</v>
      </c>
      <c r="C16" s="1">
        <f>(C$2-$B16)/360</f>
        <v>2.1777777777777776</v>
      </c>
      <c r="D16" s="4">
        <f>(D$2-$B16)/360</f>
        <v>5.5166666666666666</v>
      </c>
      <c r="E16" s="1">
        <f>(E$2-$B16)/360</f>
        <v>10.294444444444444</v>
      </c>
    </row>
    <row r="17" spans="1:5" x14ac:dyDescent="0.25">
      <c r="A17">
        <f t="shared" si="1"/>
        <v>5</v>
      </c>
      <c r="B17" s="2">
        <f>yields!C16</f>
        <v>42110</v>
      </c>
      <c r="C17" s="1">
        <f>(C$2-$B17)/360</f>
        <v>2.1583333333333332</v>
      </c>
      <c r="D17" s="4">
        <f>(D$2-$B17)/360</f>
        <v>5.4972222222222218</v>
      </c>
      <c r="E17" s="1">
        <f>(E$2-$B17)/360</f>
        <v>10.275</v>
      </c>
    </row>
    <row r="18" spans="1:5" x14ac:dyDescent="0.25">
      <c r="A18">
        <f t="shared" si="1"/>
        <v>5</v>
      </c>
      <c r="B18" s="2">
        <f>yields!C17</f>
        <v>42117</v>
      </c>
      <c r="C18" s="1">
        <f>(C$2-$B18)/360</f>
        <v>2.1388888888888888</v>
      </c>
      <c r="D18" s="4">
        <f>(D$2-$B18)/360</f>
        <v>5.4777777777777779</v>
      </c>
      <c r="E18" s="1">
        <f>(E$2-$B18)/360</f>
        <v>10.255555555555556</v>
      </c>
    </row>
    <row r="19" spans="1:5" x14ac:dyDescent="0.25">
      <c r="A19">
        <f t="shared" si="1"/>
        <v>5</v>
      </c>
      <c r="B19" s="2">
        <f>yields!C18</f>
        <v>42124</v>
      </c>
      <c r="C19" s="1">
        <f>(C$2-$B19)/360</f>
        <v>2.1194444444444445</v>
      </c>
      <c r="D19" s="4">
        <f>(D$2-$B19)/360</f>
        <v>5.458333333333333</v>
      </c>
      <c r="E19" s="1">
        <f>(E$2-$B19)/360</f>
        <v>10.236111111111111</v>
      </c>
    </row>
    <row r="20" spans="1:5" x14ac:dyDescent="0.25">
      <c r="A20">
        <f t="shared" si="1"/>
        <v>5</v>
      </c>
      <c r="B20" s="2">
        <f>yields!C19</f>
        <v>42131</v>
      </c>
      <c r="C20" s="1">
        <f>(C$2-$B20)/360</f>
        <v>2.1</v>
      </c>
      <c r="D20" s="4">
        <f>(D$2-$B20)/360</f>
        <v>5.4388888888888891</v>
      </c>
      <c r="E20" s="1">
        <f>(E$2-$B20)/360</f>
        <v>10.216666666666667</v>
      </c>
    </row>
    <row r="21" spans="1:5" x14ac:dyDescent="0.25">
      <c r="A21">
        <f t="shared" si="1"/>
        <v>5</v>
      </c>
      <c r="B21" s="2">
        <f>yields!C20</f>
        <v>42138</v>
      </c>
      <c r="C21" s="1">
        <f>(C$2-$B21)/360</f>
        <v>2.0805555555555557</v>
      </c>
      <c r="D21" s="4">
        <f>(D$2-$B21)/360</f>
        <v>5.4194444444444443</v>
      </c>
      <c r="E21" s="1">
        <f>(E$2-$B21)/360</f>
        <v>10.197222222222223</v>
      </c>
    </row>
    <row r="22" spans="1:5" x14ac:dyDescent="0.25">
      <c r="A22">
        <f t="shared" si="1"/>
        <v>5</v>
      </c>
      <c r="B22" s="2">
        <f>yields!C21</f>
        <v>42145</v>
      </c>
      <c r="C22" s="1">
        <f>(C$2-$B22)/360</f>
        <v>2.0611111111111109</v>
      </c>
      <c r="D22" s="4">
        <f>(D$2-$B22)/360</f>
        <v>5.4</v>
      </c>
      <c r="E22" s="1">
        <f>(E$2-$B22)/360</f>
        <v>10.177777777777777</v>
      </c>
    </row>
    <row r="23" spans="1:5" x14ac:dyDescent="0.25">
      <c r="A23">
        <f t="shared" si="1"/>
        <v>5</v>
      </c>
      <c r="B23" s="2">
        <f>yields!C22</f>
        <v>42152</v>
      </c>
      <c r="C23" s="1">
        <f>(C$2-$B23)/360</f>
        <v>2.0416666666666665</v>
      </c>
      <c r="D23" s="4">
        <f>(D$2-$B23)/360</f>
        <v>5.3805555555555555</v>
      </c>
      <c r="E23" s="1">
        <f>(E$2-$B23)/360</f>
        <v>10.158333333333333</v>
      </c>
    </row>
    <row r="24" spans="1:5" x14ac:dyDescent="0.25">
      <c r="A24">
        <f t="shared" si="1"/>
        <v>5</v>
      </c>
      <c r="B24" s="2">
        <f>yields!C23</f>
        <v>42159</v>
      </c>
      <c r="C24" s="1">
        <f>(C$2-$B24)/360</f>
        <v>2.0222222222222221</v>
      </c>
      <c r="D24" s="4">
        <f>(D$2-$B24)/360</f>
        <v>5.3611111111111107</v>
      </c>
      <c r="E24" s="1">
        <f>(E$2-$B24)/360</f>
        <v>10.138888888888889</v>
      </c>
    </row>
    <row r="25" spans="1:5" x14ac:dyDescent="0.25">
      <c r="A25">
        <f t="shared" si="1"/>
        <v>5</v>
      </c>
      <c r="B25" s="2">
        <f>yields!C24</f>
        <v>42166</v>
      </c>
      <c r="C25" s="1">
        <f>(C$2-$B25)/360</f>
        <v>2.0027777777777778</v>
      </c>
      <c r="D25" s="4">
        <f>(D$2-$B25)/360</f>
        <v>5.3416666666666668</v>
      </c>
      <c r="E25" s="1">
        <f>(E$2-$B25)/360</f>
        <v>10.119444444444444</v>
      </c>
    </row>
    <row r="26" spans="1:5" x14ac:dyDescent="0.25">
      <c r="A26">
        <f t="shared" si="1"/>
        <v>5</v>
      </c>
      <c r="B26" s="2">
        <f>yields!C25</f>
        <v>42173</v>
      </c>
      <c r="C26" s="1">
        <f>(C$2-$B26)/360</f>
        <v>1.9833333333333334</v>
      </c>
      <c r="D26" s="4">
        <f>(D$2-$B26)/360</f>
        <v>5.322222222222222</v>
      </c>
      <c r="E26" s="1">
        <f>(E$2-$B26)/360</f>
        <v>10.1</v>
      </c>
    </row>
    <row r="27" spans="1:5" x14ac:dyDescent="0.25">
      <c r="A27">
        <f t="shared" si="1"/>
        <v>5</v>
      </c>
      <c r="B27" s="2">
        <f>yields!C26</f>
        <v>42180</v>
      </c>
      <c r="C27" s="1">
        <f>(C$2-$B27)/360</f>
        <v>1.9638888888888888</v>
      </c>
      <c r="D27" s="4">
        <f>(D$2-$B27)/360</f>
        <v>5.302777777777778</v>
      </c>
      <c r="E27" s="1">
        <f>(E$2-$B27)/360</f>
        <v>10.080555555555556</v>
      </c>
    </row>
    <row r="28" spans="1:5" x14ac:dyDescent="0.25">
      <c r="A28">
        <f t="shared" si="1"/>
        <v>5</v>
      </c>
      <c r="B28" s="2">
        <f>yields!C27</f>
        <v>42187</v>
      </c>
      <c r="C28" s="1">
        <f>(C$2-$B28)/360</f>
        <v>1.9444444444444444</v>
      </c>
      <c r="D28" s="4">
        <f>(D$2-$B28)/360</f>
        <v>5.2833333333333332</v>
      </c>
      <c r="E28" s="1">
        <f>(E$2-$B28)/360</f>
        <v>10.061111111111112</v>
      </c>
    </row>
    <row r="29" spans="1:5" x14ac:dyDescent="0.25">
      <c r="A29">
        <f t="shared" ref="A29:A41" si="2">WEEKDAY(B29)</f>
        <v>5</v>
      </c>
      <c r="B29" s="2">
        <f>yields!C28</f>
        <v>42194</v>
      </c>
      <c r="C29" s="1">
        <f>(C$2-$B29)/360</f>
        <v>1.925</v>
      </c>
      <c r="D29" s="4">
        <f>(D$2-$B29)/360</f>
        <v>5.2638888888888893</v>
      </c>
      <c r="E29" s="1">
        <f>(E$2-$B29)/360</f>
        <v>10.041666666666666</v>
      </c>
    </row>
    <row r="30" spans="1:5" x14ac:dyDescent="0.25">
      <c r="A30">
        <f t="shared" si="2"/>
        <v>5</v>
      </c>
      <c r="B30" s="2">
        <f>yields!C29</f>
        <v>42201</v>
      </c>
      <c r="C30" s="1">
        <f>(C$2-$B30)/360</f>
        <v>1.9055555555555554</v>
      </c>
      <c r="D30" s="4">
        <f>(D$2-$B30)/360</f>
        <v>5.2444444444444445</v>
      </c>
      <c r="E30" s="1">
        <f>(E$2-$B30)/360</f>
        <v>10.022222222222222</v>
      </c>
    </row>
    <row r="31" spans="1:5" x14ac:dyDescent="0.25">
      <c r="A31">
        <f t="shared" si="2"/>
        <v>5</v>
      </c>
      <c r="B31" s="2">
        <f>yields!C30</f>
        <v>42208</v>
      </c>
      <c r="C31" s="1">
        <f>(C$2-$B31)/360</f>
        <v>1.8861111111111111</v>
      </c>
      <c r="D31" s="4">
        <f>(D$2-$B31)/360</f>
        <v>5.2249999999999996</v>
      </c>
      <c r="E31" s="1">
        <f>(E$2-$B31)/360</f>
        <v>10.002777777777778</v>
      </c>
    </row>
    <row r="32" spans="1:5" x14ac:dyDescent="0.25">
      <c r="A32">
        <f t="shared" si="2"/>
        <v>5</v>
      </c>
      <c r="B32" s="2">
        <f>yields!C31</f>
        <v>42215</v>
      </c>
      <c r="C32" s="1">
        <f>(C$2-$B32)/360</f>
        <v>1.8666666666666667</v>
      </c>
      <c r="D32" s="4">
        <f>(D$2-$B32)/360</f>
        <v>5.2055555555555557</v>
      </c>
      <c r="E32" s="1">
        <f>(E$2-$B32)/360</f>
        <v>9.9833333333333325</v>
      </c>
    </row>
    <row r="33" spans="1:5" x14ac:dyDescent="0.25">
      <c r="A33">
        <f t="shared" si="2"/>
        <v>5</v>
      </c>
      <c r="B33" s="2">
        <f>yields!C32</f>
        <v>42222</v>
      </c>
      <c r="C33" s="1">
        <f>(C$2-$B33)/360</f>
        <v>1.8472222222222223</v>
      </c>
      <c r="D33" s="4">
        <f>(D$2-$B33)/360</f>
        <v>5.1861111111111109</v>
      </c>
      <c r="E33" s="1">
        <f>(E$2-$B33)/360</f>
        <v>9.9638888888888886</v>
      </c>
    </row>
    <row r="34" spans="1:5" x14ac:dyDescent="0.25">
      <c r="A34">
        <f t="shared" si="2"/>
        <v>5</v>
      </c>
      <c r="B34" s="2">
        <f>yields!C33</f>
        <v>42229</v>
      </c>
      <c r="C34" s="1">
        <f>(C$2-$B34)/360</f>
        <v>1.8277777777777777</v>
      </c>
      <c r="D34" s="4">
        <f>(D$2-$B34)/360</f>
        <v>5.166666666666667</v>
      </c>
      <c r="E34" s="1">
        <f>(E$2-$B34)/360</f>
        <v>9.9444444444444446</v>
      </c>
    </row>
    <row r="35" spans="1:5" x14ac:dyDescent="0.25">
      <c r="A35">
        <f t="shared" si="2"/>
        <v>5</v>
      </c>
      <c r="B35" s="2">
        <f>yields!C34</f>
        <v>42236</v>
      </c>
      <c r="C35" s="1">
        <f>(C$2-$B35)/360</f>
        <v>1.8083333333333333</v>
      </c>
      <c r="D35" s="4">
        <f>(D$2-$B35)/360</f>
        <v>5.1472222222222221</v>
      </c>
      <c r="E35" s="1">
        <f>(E$2-$B35)/360</f>
        <v>9.9250000000000007</v>
      </c>
    </row>
    <row r="36" spans="1:5" x14ac:dyDescent="0.25">
      <c r="A36">
        <f t="shared" si="2"/>
        <v>5</v>
      </c>
      <c r="B36" s="2">
        <f>yields!C35</f>
        <v>42243</v>
      </c>
      <c r="C36" s="1">
        <f>(C$2-$B36)/360</f>
        <v>1.788888888888889</v>
      </c>
      <c r="D36" s="4">
        <f>(D$2-$B36)/360</f>
        <v>5.1277777777777782</v>
      </c>
      <c r="E36" s="1">
        <f>(E$2-$B36)/360</f>
        <v>9.905555555555555</v>
      </c>
    </row>
    <row r="37" spans="1:5" x14ac:dyDescent="0.25">
      <c r="A37">
        <f t="shared" si="2"/>
        <v>5</v>
      </c>
      <c r="B37" s="2">
        <f>yields!C36</f>
        <v>42250</v>
      </c>
      <c r="C37" s="1">
        <f>(C$2-$B37)/360</f>
        <v>1.7694444444444444</v>
      </c>
      <c r="D37" s="4">
        <f>(D$2-$B37)/360</f>
        <v>5.1083333333333334</v>
      </c>
      <c r="E37" s="1">
        <f>(E$2-$B37)/360</f>
        <v>9.8861111111111111</v>
      </c>
    </row>
    <row r="38" spans="1:5" x14ac:dyDescent="0.25">
      <c r="A38">
        <f t="shared" si="2"/>
        <v>5</v>
      </c>
      <c r="B38" s="2">
        <f>yields!C37</f>
        <v>42257</v>
      </c>
      <c r="C38" s="1">
        <f>(C$2-$B38)/360</f>
        <v>1.75</v>
      </c>
      <c r="D38" s="4">
        <f>(D$2-$B38)/360</f>
        <v>5.0888888888888886</v>
      </c>
      <c r="E38" s="1">
        <f>(E$2-$B38)/360</f>
        <v>9.8666666666666671</v>
      </c>
    </row>
    <row r="39" spans="1:5" x14ac:dyDescent="0.25">
      <c r="A39">
        <f t="shared" si="2"/>
        <v>5</v>
      </c>
      <c r="B39" s="2">
        <f>yields!C38</f>
        <v>42264</v>
      </c>
      <c r="C39" s="1">
        <f>(C$2-$B39)/360</f>
        <v>1.7305555555555556</v>
      </c>
      <c r="D39" s="4">
        <f>(D$2-$B39)/360</f>
        <v>5.0694444444444446</v>
      </c>
      <c r="E39" s="1">
        <f>(E$2-$B39)/360</f>
        <v>9.8472222222222214</v>
      </c>
    </row>
    <row r="40" spans="1:5" x14ac:dyDescent="0.25">
      <c r="A40">
        <f t="shared" si="2"/>
        <v>5</v>
      </c>
      <c r="B40" s="2">
        <f>yields!C39</f>
        <v>42271</v>
      </c>
      <c r="C40" s="1">
        <f>(C$2-$B40)/360</f>
        <v>1.711111111111111</v>
      </c>
      <c r="D40" s="4">
        <f>(D$2-$B40)/360</f>
        <v>5.05</v>
      </c>
      <c r="E40" s="1">
        <f>(E$2-$B40)/360</f>
        <v>9.8277777777777775</v>
      </c>
    </row>
    <row r="41" spans="1:5" x14ac:dyDescent="0.25">
      <c r="A41">
        <f t="shared" si="2"/>
        <v>5</v>
      </c>
      <c r="B41" s="2">
        <f>yields!C40</f>
        <v>42278</v>
      </c>
      <c r="C41" s="1">
        <f>(C$2-$B41)/360</f>
        <v>1.6916666666666667</v>
      </c>
      <c r="D41" s="4">
        <f>(D$2-$B41)/360</f>
        <v>5.0305555555555559</v>
      </c>
      <c r="E41" s="1">
        <f>(E$2-$B41)/360</f>
        <v>9.8083333333333336</v>
      </c>
    </row>
    <row r="42" spans="1:5" x14ac:dyDescent="0.25">
      <c r="A42">
        <f t="shared" ref="A42:A54" si="3">WEEKDAY(B42)</f>
        <v>5</v>
      </c>
      <c r="B42" s="2">
        <f>yields!C41</f>
        <v>42285</v>
      </c>
      <c r="C42" s="1">
        <f>(C$2-$B42)/360</f>
        <v>1.6722222222222223</v>
      </c>
      <c r="D42" s="4">
        <f>(D$2-$B42)/360</f>
        <v>5.0111111111111111</v>
      </c>
      <c r="E42" s="1">
        <f>(E$2-$B42)/360</f>
        <v>9.7888888888888896</v>
      </c>
    </row>
    <row r="43" spans="1:5" x14ac:dyDescent="0.25">
      <c r="A43">
        <f t="shared" si="3"/>
        <v>5</v>
      </c>
      <c r="B43" s="2">
        <f>yields!C42</f>
        <v>42292</v>
      </c>
      <c r="C43" s="1">
        <f>(C$2-$B43)/360</f>
        <v>1.6527777777777777</v>
      </c>
      <c r="D43" s="4">
        <f>(D$2-$B43)/360</f>
        <v>4.9916666666666663</v>
      </c>
      <c r="E43" s="1">
        <f>(E$2-$B43)/360</f>
        <v>9.7694444444444439</v>
      </c>
    </row>
    <row r="44" spans="1:5" x14ac:dyDescent="0.25">
      <c r="A44">
        <f t="shared" si="3"/>
        <v>5</v>
      </c>
      <c r="B44" s="2">
        <f>yields!C43</f>
        <v>42299</v>
      </c>
      <c r="C44" s="1">
        <f>(C$2-$B44)/360</f>
        <v>1.6333333333333333</v>
      </c>
      <c r="D44" s="4">
        <f>(D$2-$B44)/360</f>
        <v>4.9722222222222223</v>
      </c>
      <c r="E44" s="1">
        <f>(E$2-$B44)/360</f>
        <v>9.75</v>
      </c>
    </row>
    <row r="45" spans="1:5" x14ac:dyDescent="0.25">
      <c r="A45">
        <f t="shared" si="3"/>
        <v>5</v>
      </c>
      <c r="B45" s="2">
        <f>yields!C44</f>
        <v>42306</v>
      </c>
      <c r="C45" s="1">
        <f>(C$2-$B45)/360</f>
        <v>1.6138888888888889</v>
      </c>
      <c r="D45" s="4">
        <f>(D$2-$B45)/360</f>
        <v>4.9527777777777775</v>
      </c>
      <c r="E45" s="1">
        <f>(E$2-$B45)/360</f>
        <v>9.7305555555555561</v>
      </c>
    </row>
    <row r="46" spans="1:5" x14ac:dyDescent="0.25">
      <c r="A46">
        <f t="shared" si="3"/>
        <v>5</v>
      </c>
      <c r="B46" s="2">
        <f>yields!C45</f>
        <v>42313</v>
      </c>
      <c r="C46" s="1">
        <f>(C$2-$B46)/360</f>
        <v>1.5944444444444446</v>
      </c>
      <c r="D46" s="4">
        <f>(D$2-$B46)/360</f>
        <v>4.9333333333333336</v>
      </c>
      <c r="E46" s="1">
        <f>(E$2-$B46)/360</f>
        <v>9.7111111111111104</v>
      </c>
    </row>
    <row r="47" spans="1:5" x14ac:dyDescent="0.25">
      <c r="A47">
        <f t="shared" si="3"/>
        <v>5</v>
      </c>
      <c r="B47" s="2">
        <f>yields!C46</f>
        <v>42320</v>
      </c>
      <c r="C47" s="1">
        <f>(C$2-$B47)/360</f>
        <v>1.575</v>
      </c>
      <c r="D47" s="4">
        <f>(D$2-$B47)/360</f>
        <v>4.9138888888888888</v>
      </c>
      <c r="E47" s="1">
        <f>(E$2-$B47)/360</f>
        <v>9.6916666666666664</v>
      </c>
    </row>
    <row r="48" spans="1:5" x14ac:dyDescent="0.25">
      <c r="A48">
        <f t="shared" si="3"/>
        <v>5</v>
      </c>
      <c r="B48" s="2">
        <f>yields!C47</f>
        <v>42327</v>
      </c>
      <c r="C48" s="1">
        <f>(C$2-$B48)/360</f>
        <v>1.5555555555555556</v>
      </c>
      <c r="D48" s="4">
        <f>(D$2-$B48)/360</f>
        <v>4.8944444444444448</v>
      </c>
      <c r="E48" s="1">
        <f>(E$2-$B48)/360</f>
        <v>9.6722222222222225</v>
      </c>
    </row>
    <row r="49" spans="1:5" x14ac:dyDescent="0.25">
      <c r="A49">
        <f t="shared" si="3"/>
        <v>5</v>
      </c>
      <c r="B49" s="2">
        <f>yields!C48</f>
        <v>42334</v>
      </c>
      <c r="C49" s="1">
        <f>(C$2-$B49)/360</f>
        <v>1.5361111111111112</v>
      </c>
      <c r="D49" s="4">
        <f>(D$2-$B49)/360</f>
        <v>4.875</v>
      </c>
      <c r="E49" s="1">
        <f>(E$2-$B49)/360</f>
        <v>9.6527777777777786</v>
      </c>
    </row>
    <row r="50" spans="1:5" x14ac:dyDescent="0.25">
      <c r="A50">
        <f t="shared" si="3"/>
        <v>5</v>
      </c>
      <c r="B50" s="2">
        <f>yields!C49</f>
        <v>42341</v>
      </c>
      <c r="C50" s="1">
        <f>(C$2-$B50)/360</f>
        <v>1.5166666666666666</v>
      </c>
      <c r="D50" s="4">
        <f>(D$2-$B50)/360</f>
        <v>4.8555555555555552</v>
      </c>
      <c r="E50" s="1">
        <f>(E$2-$B50)/360</f>
        <v>9.6333333333333329</v>
      </c>
    </row>
    <row r="51" spans="1:5" x14ac:dyDescent="0.25">
      <c r="A51">
        <f t="shared" si="3"/>
        <v>5</v>
      </c>
      <c r="B51" s="2">
        <f>yields!C50</f>
        <v>42348</v>
      </c>
      <c r="C51" s="1">
        <f>(C$2-$B51)/360</f>
        <v>1.4972222222222222</v>
      </c>
      <c r="D51" s="4">
        <f>(D$2-$B51)/360</f>
        <v>4.8361111111111112</v>
      </c>
      <c r="E51" s="1">
        <f>(E$2-$B51)/360</f>
        <v>9.6138888888888889</v>
      </c>
    </row>
    <row r="52" spans="1:5" x14ac:dyDescent="0.25">
      <c r="A52">
        <f t="shared" si="3"/>
        <v>5</v>
      </c>
      <c r="B52" s="2">
        <f>yields!C51</f>
        <v>42355</v>
      </c>
      <c r="C52" s="1">
        <f>(C$2-$B52)/360</f>
        <v>1.4777777777777779</v>
      </c>
      <c r="D52" s="4">
        <f>(D$2-$B52)/360</f>
        <v>4.8166666666666664</v>
      </c>
      <c r="E52" s="1">
        <f>(E$2-$B52)/360</f>
        <v>9.594444444444445</v>
      </c>
    </row>
    <row r="53" spans="1:5" x14ac:dyDescent="0.25">
      <c r="A53">
        <f t="shared" si="3"/>
        <v>5</v>
      </c>
      <c r="B53" s="2">
        <f>yields!C52</f>
        <v>42362</v>
      </c>
      <c r="C53" s="1">
        <f>(C$2-$B53)/360</f>
        <v>1.4583333333333333</v>
      </c>
      <c r="D53" s="4">
        <f>(D$2-$B53)/360</f>
        <v>4.7972222222222225</v>
      </c>
      <c r="E53" s="1">
        <f>(E$2-$B53)/360</f>
        <v>9.5749999999999993</v>
      </c>
    </row>
    <row r="54" spans="1:5" x14ac:dyDescent="0.25">
      <c r="A54">
        <f t="shared" si="3"/>
        <v>5</v>
      </c>
      <c r="B54" s="2">
        <f>yields!C53</f>
        <v>42369</v>
      </c>
      <c r="C54" s="1">
        <f>(C$2-$B54)/360</f>
        <v>1.4388888888888889</v>
      </c>
      <c r="D54" s="4">
        <f>(D$2-$B54)/360</f>
        <v>4.7777777777777777</v>
      </c>
      <c r="E54" s="1">
        <f>(E$2-$B54)/360</f>
        <v>9.5555555555555554</v>
      </c>
    </row>
  </sheetData>
  <autoFilter ref="A2:E5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tabSelected="1" zoomScale="115" zoomScaleNormal="11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V14" sqref="V14"/>
    </sheetView>
  </sheetViews>
  <sheetFormatPr defaultColWidth="8.85546875" defaultRowHeight="15" x14ac:dyDescent="0.25"/>
  <cols>
    <col min="1" max="1" width="11.7109375" bestFit="1" customWidth="1"/>
    <col min="2" max="2" width="11.85546875" bestFit="1" customWidth="1"/>
    <col min="3" max="5" width="11.85546875" customWidth="1"/>
    <col min="6" max="6" width="6" style="27" customWidth="1"/>
    <col min="7" max="7" width="10.7109375" customWidth="1"/>
    <col min="8" max="8" width="10.7109375" style="5" customWidth="1"/>
    <col min="9" max="9" width="10.7109375" customWidth="1"/>
    <col min="10" max="10" width="3.85546875" style="27" customWidth="1"/>
    <col min="11" max="11" width="10.42578125" bestFit="1" customWidth="1"/>
    <col min="12" max="14" width="11" customWidth="1"/>
    <col min="15" max="16" width="11.85546875" customWidth="1"/>
    <col min="17" max="17" width="3.85546875" style="27" customWidth="1"/>
    <col min="18" max="19" width="13.42578125" customWidth="1"/>
    <col min="20" max="20" width="14.85546875" bestFit="1" customWidth="1"/>
    <col min="21" max="21" width="16.28515625" bestFit="1" customWidth="1"/>
    <col min="22" max="22" width="18.42578125" customWidth="1"/>
    <col min="23" max="23" width="10.7109375" style="9" customWidth="1"/>
  </cols>
  <sheetData>
    <row r="1" spans="1:23" ht="15.75" thickBot="1" x14ac:dyDescent="0.3">
      <c r="C1" s="21" t="s">
        <v>10</v>
      </c>
      <c r="D1" s="21"/>
      <c r="E1" s="21"/>
      <c r="F1" s="24"/>
      <c r="G1" s="21" t="s">
        <v>11</v>
      </c>
      <c r="H1" s="21"/>
      <c r="I1" s="21"/>
      <c r="K1" s="21" t="s">
        <v>4</v>
      </c>
      <c r="L1" s="21"/>
      <c r="M1" s="21" t="s">
        <v>12</v>
      </c>
      <c r="N1" s="21"/>
      <c r="O1" s="21" t="s">
        <v>13</v>
      </c>
      <c r="P1" s="21"/>
    </row>
    <row r="2" spans="1:23" s="6" customFormat="1" ht="15.75" thickBot="1" x14ac:dyDescent="0.3">
      <c r="A2" s="6" t="s">
        <v>1</v>
      </c>
      <c r="B2" s="10" t="str">
        <f>yields!C1</f>
        <v xml:space="preserve">Date </v>
      </c>
      <c r="C2" s="11">
        <v>42887</v>
      </c>
      <c r="D2" s="28">
        <v>44089</v>
      </c>
      <c r="E2" s="11">
        <v>45809</v>
      </c>
      <c r="F2" s="12"/>
      <c r="G2" s="11">
        <v>42887</v>
      </c>
      <c r="H2" s="28">
        <v>44089</v>
      </c>
      <c r="I2" s="11">
        <v>45809</v>
      </c>
      <c r="J2" s="29"/>
      <c r="K2" s="19" t="s">
        <v>3</v>
      </c>
      <c r="L2" s="20" t="s">
        <v>2</v>
      </c>
      <c r="M2" s="19" t="s">
        <v>3</v>
      </c>
      <c r="N2" s="20" t="s">
        <v>2</v>
      </c>
      <c r="O2" s="19" t="s">
        <v>3</v>
      </c>
      <c r="P2" s="20" t="s">
        <v>2</v>
      </c>
      <c r="Q2" s="29"/>
      <c r="R2" s="20" t="s">
        <v>6</v>
      </c>
      <c r="S2" s="20" t="s">
        <v>14</v>
      </c>
      <c r="T2" s="20" t="s">
        <v>5</v>
      </c>
      <c r="U2" s="20" t="s">
        <v>7</v>
      </c>
      <c r="V2" s="20" t="s">
        <v>8</v>
      </c>
      <c r="W2" s="9" t="s">
        <v>9</v>
      </c>
    </row>
    <row r="3" spans="1:23" x14ac:dyDescent="0.25">
      <c r="A3">
        <f t="shared" ref="A3:A54" si="0">WEEKDAY(B3)</f>
        <v>5</v>
      </c>
      <c r="B3" s="2">
        <f>yields!C2</f>
        <v>42012</v>
      </c>
      <c r="C3" s="14">
        <f>+yields!D2/100</f>
        <v>1.0426700000000001E-2</v>
      </c>
      <c r="D3" s="14">
        <f>+yields!E2/100</f>
        <v>1.46678E-2</v>
      </c>
      <c r="E3" s="14">
        <f>+yields!F2/100</f>
        <v>1.9313800000000002E-2</v>
      </c>
      <c r="F3" s="25"/>
      <c r="G3" s="1">
        <f>(G$2-$B3)/360</f>
        <v>2.4305555555555554</v>
      </c>
      <c r="H3" s="4">
        <f>(H$2-$B3)/360</f>
        <v>5.7694444444444448</v>
      </c>
      <c r="I3" s="1">
        <f>(I$2-$B3)/360</f>
        <v>10.547222222222222</v>
      </c>
      <c r="K3" s="15">
        <f>H3</f>
        <v>5.7694444444444448</v>
      </c>
      <c r="L3" s="16">
        <f>K3^2</f>
        <v>33.286489197530869</v>
      </c>
      <c r="M3" s="30">
        <f>+G3</f>
        <v>2.4305555555555554</v>
      </c>
      <c r="N3" s="30">
        <f t="shared" ref="N3:P4" si="1">+M3^2</f>
        <v>5.9076003086419746</v>
      </c>
      <c r="O3" s="30">
        <f>+I3</f>
        <v>10.547222222222222</v>
      </c>
      <c r="P3" s="30">
        <f t="shared" si="1"/>
        <v>111.24389660493827</v>
      </c>
      <c r="R3" s="31">
        <f>100*EXP(-C3*G3)</f>
        <v>97.497575631526772</v>
      </c>
      <c r="S3" s="31">
        <f>100*EXP(-D3*H3)</f>
        <v>91.885673852005056</v>
      </c>
      <c r="T3" s="13">
        <f>100*EXP(-E3*I3)</f>
        <v>81.570138515769813</v>
      </c>
      <c r="U3" s="14">
        <f>((M3-K3)*R3)/((K3-O3)*T3)</f>
        <v>0.83529260717028442</v>
      </c>
      <c r="V3" s="23">
        <f>R3-(U3*T3)</f>
        <v>29.362641963448169</v>
      </c>
    </row>
    <row r="4" spans="1:23" x14ac:dyDescent="0.25">
      <c r="A4">
        <f t="shared" si="0"/>
        <v>5</v>
      </c>
      <c r="B4" s="2">
        <f>yields!C3</f>
        <v>42019</v>
      </c>
      <c r="C4" s="14">
        <f>+yields!D3/100</f>
        <v>8.7270999999999998E-3</v>
      </c>
      <c r="D4" s="14">
        <f>+yields!E3/100</f>
        <v>1.24644E-2</v>
      </c>
      <c r="E4" s="14">
        <f>+yields!F3/100</f>
        <v>1.6851499999999998E-2</v>
      </c>
      <c r="F4" s="26"/>
      <c r="G4" s="1">
        <f>(G$2-$B4)/360</f>
        <v>2.411111111111111</v>
      </c>
      <c r="H4" s="4">
        <f>(H$2-$B4)/360</f>
        <v>5.75</v>
      </c>
      <c r="I4" s="1">
        <f>(I$2-$B4)/360</f>
        <v>10.527777777777779</v>
      </c>
      <c r="K4" s="15">
        <f t="shared" ref="K4:K54" si="2">H4</f>
        <v>5.75</v>
      </c>
      <c r="L4" s="16">
        <f t="shared" ref="L4:L54" si="3">K4^2</f>
        <v>33.0625</v>
      </c>
      <c r="M4" s="30">
        <f t="shared" ref="M4:M54" si="4">+G4</f>
        <v>2.411111111111111</v>
      </c>
      <c r="N4" s="30">
        <f t="shared" si="1"/>
        <v>5.813456790123456</v>
      </c>
      <c r="O4" s="30">
        <f t="shared" ref="O4:O54" si="5">+I4</f>
        <v>10.527777777777779</v>
      </c>
      <c r="P4" s="30">
        <f t="shared" ref="P4" si="6">+O4^2</f>
        <v>110.83410493827162</v>
      </c>
      <c r="R4" s="31">
        <f t="shared" ref="R4:R54" si="7">100*EXP(-C4*G4)</f>
        <v>97.917783062077916</v>
      </c>
      <c r="S4" s="31">
        <f t="shared" ref="S4:S54" si="8">100*EXP(-D4*H4)</f>
        <v>93.083774242844001</v>
      </c>
      <c r="T4" s="13">
        <f t="shared" ref="T4:T54" si="9">100*EXP(-E4*I4)</f>
        <v>83.743733059569649</v>
      </c>
      <c r="U4" s="14">
        <f t="shared" ref="U4:U54" si="10">((M4-K4)*R4)/((K4-O4)*T4)</f>
        <v>0.81711893841056216</v>
      </c>
      <c r="V4" s="23">
        <f t="shared" ref="V4:V54" si="11">R4-(U4*T4)</f>
        <v>29.489192805904864</v>
      </c>
      <c r="W4" s="32">
        <f>((V4/V3)-1)*100</f>
        <v>0.43099269682282948</v>
      </c>
    </row>
    <row r="5" spans="1:23" x14ac:dyDescent="0.25">
      <c r="A5">
        <f t="shared" si="0"/>
        <v>5</v>
      </c>
      <c r="B5" s="2">
        <f>yields!C4</f>
        <v>42026</v>
      </c>
      <c r="C5" s="14">
        <f>+yields!D4/100</f>
        <v>6.1267000000000005E-3</v>
      </c>
      <c r="D5" s="14">
        <f>+yields!E4/100</f>
        <v>1.08535E-2</v>
      </c>
      <c r="E5" s="14">
        <f>+yields!F4/100</f>
        <v>1.6251999999999999E-2</v>
      </c>
      <c r="F5" s="26"/>
      <c r="G5" s="1">
        <f>(G$2-$B5)/360</f>
        <v>2.3916666666666666</v>
      </c>
      <c r="H5" s="4">
        <f>(H$2-$B5)/360</f>
        <v>5.7305555555555552</v>
      </c>
      <c r="I5" s="1">
        <f>(I$2-$B5)/360</f>
        <v>10.508333333333333</v>
      </c>
      <c r="K5" s="15">
        <f t="shared" si="2"/>
        <v>5.7305555555555552</v>
      </c>
      <c r="L5" s="16">
        <f t="shared" si="3"/>
        <v>32.839266975308639</v>
      </c>
      <c r="M5" s="30">
        <f t="shared" si="4"/>
        <v>2.3916666666666666</v>
      </c>
      <c r="N5" s="30">
        <f t="shared" ref="N5" si="12">+M5^2</f>
        <v>5.7200694444444444</v>
      </c>
      <c r="O5" s="30">
        <f t="shared" si="5"/>
        <v>10.508333333333333</v>
      </c>
      <c r="P5" s="30">
        <f t="shared" ref="P5" si="13">+O5^2</f>
        <v>110.42506944444443</v>
      </c>
      <c r="R5" s="31">
        <f t="shared" si="7"/>
        <v>98.545380894600328</v>
      </c>
      <c r="S5" s="31">
        <f t="shared" si="8"/>
        <v>93.969813833482462</v>
      </c>
      <c r="T5" s="13">
        <f t="shared" si="9"/>
        <v>84.300580630637327</v>
      </c>
      <c r="U5" s="14">
        <f t="shared" si="10"/>
        <v>0.81692413573944977</v>
      </c>
      <c r="V5" s="23">
        <f t="shared" si="11"/>
        <v>29.678201920583135</v>
      </c>
      <c r="W5" s="32">
        <f t="shared" ref="W5:W54" si="14">((V5/V4)-1)*100</f>
        <v>0.64094367018558973</v>
      </c>
    </row>
    <row r="6" spans="1:23" x14ac:dyDescent="0.25">
      <c r="A6">
        <f t="shared" si="0"/>
        <v>5</v>
      </c>
      <c r="B6" s="2">
        <f>yields!C5</f>
        <v>42033</v>
      </c>
      <c r="C6" s="14">
        <f>+yields!D5/100</f>
        <v>5.1357E-3</v>
      </c>
      <c r="D6" s="14">
        <f>+yields!E5/100</f>
        <v>9.3457000000000002E-3</v>
      </c>
      <c r="E6" s="14">
        <f>+yields!F5/100</f>
        <v>1.4626999999999999E-2</v>
      </c>
      <c r="F6" s="26"/>
      <c r="G6" s="1">
        <f>(G$2-$B6)/360</f>
        <v>2.3722222222222222</v>
      </c>
      <c r="H6" s="4">
        <f>(H$2-$B6)/360</f>
        <v>5.7111111111111112</v>
      </c>
      <c r="I6" s="1">
        <f>(I$2-$B6)/360</f>
        <v>10.488888888888889</v>
      </c>
      <c r="K6" s="15">
        <f t="shared" si="2"/>
        <v>5.7111111111111112</v>
      </c>
      <c r="L6" s="16">
        <f t="shared" si="3"/>
        <v>32.616790123456795</v>
      </c>
      <c r="M6" s="30">
        <f t="shared" si="4"/>
        <v>2.3722222222222222</v>
      </c>
      <c r="N6" s="30">
        <f t="shared" ref="N6" si="15">+M6^2</f>
        <v>5.6274382716049383</v>
      </c>
      <c r="O6" s="30">
        <f t="shared" si="5"/>
        <v>10.488888888888889</v>
      </c>
      <c r="P6" s="30">
        <f t="shared" ref="P6" si="16">+O6^2</f>
        <v>110.01679012345679</v>
      </c>
      <c r="R6" s="31">
        <f t="shared" si="7"/>
        <v>98.789089087793158</v>
      </c>
      <c r="S6" s="31">
        <f t="shared" si="8"/>
        <v>94.802507077547645</v>
      </c>
      <c r="T6" s="13">
        <f t="shared" si="9"/>
        <v>85.776854429724821</v>
      </c>
      <c r="U6" s="14">
        <f t="shared" si="10"/>
        <v>0.80484988388322376</v>
      </c>
      <c r="V6" s="23">
        <f t="shared" si="11"/>
        <v>29.751597760160948</v>
      </c>
      <c r="W6" s="32">
        <f t="shared" si="14"/>
        <v>0.24730554692704576</v>
      </c>
    </row>
    <row r="7" spans="1:23" x14ac:dyDescent="0.25">
      <c r="A7">
        <f t="shared" si="0"/>
        <v>5</v>
      </c>
      <c r="B7" s="2">
        <f>yields!C6</f>
        <v>42040</v>
      </c>
      <c r="C7" s="14">
        <f>+yields!D6/100</f>
        <v>4.8582E-3</v>
      </c>
      <c r="D7" s="14">
        <f>+yields!E6/100</f>
        <v>9.1529999999999997E-3</v>
      </c>
      <c r="E7" s="14">
        <f>+yields!F6/100</f>
        <v>1.4449200000000001E-2</v>
      </c>
      <c r="F7" s="26"/>
      <c r="G7" s="1">
        <f>(G$2-$B7)/360</f>
        <v>2.3527777777777779</v>
      </c>
      <c r="H7" s="4">
        <f>(H$2-$B7)/360</f>
        <v>5.6916666666666664</v>
      </c>
      <c r="I7" s="1">
        <f>(I$2-$B7)/360</f>
        <v>10.469444444444445</v>
      </c>
      <c r="K7" s="15">
        <f t="shared" si="2"/>
        <v>5.6916666666666664</v>
      </c>
      <c r="L7" s="16">
        <f t="shared" si="3"/>
        <v>32.395069444444445</v>
      </c>
      <c r="M7" s="30">
        <f t="shared" si="4"/>
        <v>2.3527777777777779</v>
      </c>
      <c r="N7" s="30">
        <f t="shared" ref="N7" si="17">+M7^2</f>
        <v>5.5355632716049383</v>
      </c>
      <c r="O7" s="30">
        <f t="shared" si="5"/>
        <v>10.469444444444445</v>
      </c>
      <c r="P7" s="30">
        <f t="shared" ref="P7" si="18">+O7^2</f>
        <v>109.60926697530866</v>
      </c>
      <c r="R7" s="31">
        <f t="shared" si="7"/>
        <v>98.863481229275322</v>
      </c>
      <c r="S7" s="31">
        <f t="shared" si="8"/>
        <v>94.92379017626584</v>
      </c>
      <c r="T7" s="13">
        <f t="shared" si="9"/>
        <v>85.961118995633285</v>
      </c>
      <c r="U7" s="14">
        <f t="shared" si="10"/>
        <v>0.80372940849791941</v>
      </c>
      <c r="V7" s="23">
        <f t="shared" si="11"/>
        <v>29.774001905095716</v>
      </c>
      <c r="W7" s="32">
        <f t="shared" si="14"/>
        <v>7.5304005907095295E-2</v>
      </c>
    </row>
    <row r="8" spans="1:23" x14ac:dyDescent="0.25">
      <c r="A8">
        <f t="shared" si="0"/>
        <v>5</v>
      </c>
      <c r="B8" s="2">
        <f>yields!C7</f>
        <v>42047</v>
      </c>
      <c r="C8" s="14">
        <f>+yields!D7/100</f>
        <v>4.8138E-3</v>
      </c>
      <c r="D8" s="14">
        <f>+yields!E7/100</f>
        <v>9.3896999999999991E-3</v>
      </c>
      <c r="E8" s="14">
        <f>+yields!F7/100</f>
        <v>1.47072E-2</v>
      </c>
      <c r="F8" s="26"/>
      <c r="G8" s="1">
        <f>(G$2-$B8)/360</f>
        <v>2.3333333333333335</v>
      </c>
      <c r="H8" s="4">
        <f>(H$2-$B8)/360</f>
        <v>5.6722222222222225</v>
      </c>
      <c r="I8" s="1">
        <f>(I$2-$B8)/360</f>
        <v>10.45</v>
      </c>
      <c r="K8" s="15">
        <f t="shared" si="2"/>
        <v>5.6722222222222225</v>
      </c>
      <c r="L8" s="16">
        <f t="shared" si="3"/>
        <v>32.174104938271611</v>
      </c>
      <c r="M8" s="30">
        <f t="shared" si="4"/>
        <v>2.3333333333333335</v>
      </c>
      <c r="N8" s="30">
        <f t="shared" ref="N8" si="19">+M8^2</f>
        <v>5.4444444444444455</v>
      </c>
      <c r="O8" s="30">
        <f t="shared" si="5"/>
        <v>10.45</v>
      </c>
      <c r="P8" s="30">
        <f t="shared" ref="P8" si="20">+O8^2</f>
        <v>109.20249999999999</v>
      </c>
      <c r="R8" s="31">
        <f t="shared" si="7"/>
        <v>98.883064564007583</v>
      </c>
      <c r="S8" s="31">
        <f t="shared" si="8"/>
        <v>94.813302484956026</v>
      </c>
      <c r="T8" s="13">
        <f t="shared" si="9"/>
        <v>85.753761072509718</v>
      </c>
      <c r="U8" s="14">
        <f t="shared" si="10"/>
        <v>0.80583246755488736</v>
      </c>
      <c r="V8" s="23">
        <f t="shared" si="11"/>
        <v>29.77989967683483</v>
      </c>
      <c r="W8" s="32">
        <f t="shared" si="14"/>
        <v>1.9808461616666051E-2</v>
      </c>
    </row>
    <row r="9" spans="1:23" x14ac:dyDescent="0.25">
      <c r="A9">
        <f t="shared" si="0"/>
        <v>5</v>
      </c>
      <c r="B9" s="2">
        <f>yields!C8</f>
        <v>42054</v>
      </c>
      <c r="C9" s="14">
        <f>+yields!D8/100</f>
        <v>4.8996999999999999E-3</v>
      </c>
      <c r="D9" s="14">
        <f>+yields!E8/100</f>
        <v>9.8954999999999998E-3</v>
      </c>
      <c r="E9" s="14">
        <f>+yields!F8/100</f>
        <v>1.5345599999999999E-2</v>
      </c>
      <c r="F9" s="26"/>
      <c r="G9" s="1">
        <f>(G$2-$B9)/360</f>
        <v>2.3138888888888891</v>
      </c>
      <c r="H9" s="4">
        <f>(H$2-$B9)/360</f>
        <v>5.6527777777777777</v>
      </c>
      <c r="I9" s="1">
        <f>(I$2-$B9)/360</f>
        <v>10.430555555555555</v>
      </c>
      <c r="K9" s="15">
        <f t="shared" si="2"/>
        <v>5.6527777777777777</v>
      </c>
      <c r="L9" s="16">
        <f t="shared" si="3"/>
        <v>31.953896604938272</v>
      </c>
      <c r="M9" s="30">
        <f t="shared" si="4"/>
        <v>2.3138888888888891</v>
      </c>
      <c r="N9" s="30">
        <f t="shared" ref="N9" si="21">+M9^2</f>
        <v>5.3540817901234581</v>
      </c>
      <c r="O9" s="30">
        <f t="shared" si="5"/>
        <v>10.430555555555555</v>
      </c>
      <c r="P9" s="30">
        <f t="shared" ref="P9" si="22">+O9^2</f>
        <v>108.79648919753086</v>
      </c>
      <c r="R9" s="31">
        <f t="shared" si="7"/>
        <v>98.872666430351103</v>
      </c>
      <c r="S9" s="31">
        <f t="shared" si="8"/>
        <v>94.559864763250189</v>
      </c>
      <c r="T9" s="13">
        <f t="shared" si="9"/>
        <v>85.208999198654382</v>
      </c>
      <c r="U9" s="14">
        <f t="shared" si="10"/>
        <v>0.81089907092298585</v>
      </c>
      <c r="V9" s="23">
        <f t="shared" si="11"/>
        <v>29.776768145884816</v>
      </c>
      <c r="W9" s="32">
        <f t="shared" si="14"/>
        <v>-1.051558596233404E-2</v>
      </c>
    </row>
    <row r="10" spans="1:23" x14ac:dyDescent="0.25">
      <c r="A10">
        <f t="shared" si="0"/>
        <v>5</v>
      </c>
      <c r="B10" s="2">
        <f>yields!C9</f>
        <v>42061</v>
      </c>
      <c r="C10" s="14">
        <f>+yields!D9/100</f>
        <v>5.6855999999999999E-3</v>
      </c>
      <c r="D10" s="14">
        <f>+yields!E9/100</f>
        <v>9.4205000000000001E-3</v>
      </c>
      <c r="E10" s="14">
        <f>+yields!F9/100</f>
        <v>1.44651E-2</v>
      </c>
      <c r="F10" s="26"/>
      <c r="G10" s="1">
        <f>(G$2-$B10)/360</f>
        <v>2.2944444444444443</v>
      </c>
      <c r="H10" s="4">
        <f>(H$2-$B10)/360</f>
        <v>5.6333333333333337</v>
      </c>
      <c r="I10" s="1">
        <f>(I$2-$B10)/360</f>
        <v>10.411111111111111</v>
      </c>
      <c r="K10" s="15">
        <f t="shared" si="2"/>
        <v>5.6333333333333337</v>
      </c>
      <c r="L10" s="16">
        <f t="shared" si="3"/>
        <v>31.734444444444449</v>
      </c>
      <c r="M10" s="30">
        <f t="shared" si="4"/>
        <v>2.2944444444444443</v>
      </c>
      <c r="N10" s="30">
        <f t="shared" ref="N10" si="23">+M10^2</f>
        <v>5.2644753086419742</v>
      </c>
      <c r="O10" s="30">
        <f t="shared" si="5"/>
        <v>10.411111111111111</v>
      </c>
      <c r="P10" s="30">
        <f t="shared" ref="P10" si="24">+O10^2</f>
        <v>108.39123456790124</v>
      </c>
      <c r="R10" s="31">
        <f t="shared" si="7"/>
        <v>98.703942770201152</v>
      </c>
      <c r="S10" s="31">
        <f t="shared" si="8"/>
        <v>94.831475037669193</v>
      </c>
      <c r="T10" s="13">
        <f t="shared" si="9"/>
        <v>86.01936304999262</v>
      </c>
      <c r="U10" s="14">
        <f t="shared" si="10"/>
        <v>0.80188908016646565</v>
      </c>
      <c r="V10" s="23">
        <f t="shared" si="11"/>
        <v>29.725954857537303</v>
      </c>
      <c r="W10" s="32">
        <f t="shared" si="14"/>
        <v>-0.17064742586758719</v>
      </c>
    </row>
    <row r="11" spans="1:23" x14ac:dyDescent="0.25">
      <c r="A11">
        <f t="shared" si="0"/>
        <v>5</v>
      </c>
      <c r="B11" s="2">
        <f>yields!C10</f>
        <v>42068</v>
      </c>
      <c r="C11" s="14">
        <f>+yields!D10/100</f>
        <v>6.9211999999999997E-3</v>
      </c>
      <c r="D11" s="14">
        <f>+yields!E10/100</f>
        <v>1.09158E-2</v>
      </c>
      <c r="E11" s="14">
        <f>+yields!F10/100</f>
        <v>1.6154999999999999E-2</v>
      </c>
      <c r="F11" s="26"/>
      <c r="G11" s="1">
        <f>(G$2-$B11)/360</f>
        <v>2.2749999999999999</v>
      </c>
      <c r="H11" s="4">
        <f>(H$2-$B11)/360</f>
        <v>5.6138888888888889</v>
      </c>
      <c r="I11" s="1">
        <f>(I$2-$B11)/360</f>
        <v>10.391666666666667</v>
      </c>
      <c r="K11" s="15">
        <f t="shared" si="2"/>
        <v>5.6138888888888889</v>
      </c>
      <c r="L11" s="16">
        <f t="shared" si="3"/>
        <v>31.515748456790124</v>
      </c>
      <c r="M11" s="30">
        <f t="shared" si="4"/>
        <v>2.2749999999999999</v>
      </c>
      <c r="N11" s="30">
        <f t="shared" ref="N11" si="25">+M11^2</f>
        <v>5.1756249999999993</v>
      </c>
      <c r="O11" s="30">
        <f t="shared" si="5"/>
        <v>10.391666666666667</v>
      </c>
      <c r="P11" s="30">
        <f t="shared" ref="P11" si="26">+O11^2</f>
        <v>107.98673611111113</v>
      </c>
      <c r="R11" s="31">
        <f t="shared" si="7"/>
        <v>98.437758592515863</v>
      </c>
      <c r="S11" s="31">
        <f t="shared" si="8"/>
        <v>94.055976306291882</v>
      </c>
      <c r="T11" s="13">
        <f t="shared" si="9"/>
        <v>84.545750255464341</v>
      </c>
      <c r="U11" s="14">
        <f t="shared" si="10"/>
        <v>0.81366559876643418</v>
      </c>
      <c r="V11" s="23">
        <f t="shared" si="11"/>
        <v>29.645790087746065</v>
      </c>
      <c r="W11" s="32">
        <f t="shared" si="14"/>
        <v>-0.26967937674476916</v>
      </c>
    </row>
    <row r="12" spans="1:23" x14ac:dyDescent="0.25">
      <c r="A12">
        <f t="shared" si="0"/>
        <v>5</v>
      </c>
      <c r="B12" s="2">
        <f>yields!C11</f>
        <v>42075</v>
      </c>
      <c r="C12" s="14">
        <f>+yields!D11/100</f>
        <v>6.5475999999999998E-3</v>
      </c>
      <c r="D12" s="14">
        <f>+yields!E11/100</f>
        <v>1.03223E-2</v>
      </c>
      <c r="E12" s="14">
        <f>+yields!F11/100</f>
        <v>1.5833099999999999E-2</v>
      </c>
      <c r="F12" s="26"/>
      <c r="G12" s="1">
        <f>(G$2-$B12)/360</f>
        <v>2.2555555555555555</v>
      </c>
      <c r="H12" s="4">
        <f>(H$2-$B12)/360</f>
        <v>5.5944444444444441</v>
      </c>
      <c r="I12" s="1">
        <f>(I$2-$B12)/360</f>
        <v>10.372222222222222</v>
      </c>
      <c r="K12" s="15">
        <f t="shared" si="2"/>
        <v>5.5944444444444441</v>
      </c>
      <c r="L12" s="16">
        <f t="shared" si="3"/>
        <v>31.297808641975305</v>
      </c>
      <c r="M12" s="30">
        <f t="shared" si="4"/>
        <v>2.2555555555555555</v>
      </c>
      <c r="N12" s="30">
        <f t="shared" ref="N12" si="27">+M12^2</f>
        <v>5.0875308641975305</v>
      </c>
      <c r="O12" s="30">
        <f t="shared" si="5"/>
        <v>10.372222222222222</v>
      </c>
      <c r="P12" s="30">
        <f t="shared" ref="P12" si="28">+O12^2</f>
        <v>107.58299382716048</v>
      </c>
      <c r="R12" s="31">
        <f t="shared" si="7"/>
        <v>98.53400435023903</v>
      </c>
      <c r="S12" s="31">
        <f t="shared" si="8"/>
        <v>94.388821714552591</v>
      </c>
      <c r="T12" s="13">
        <f t="shared" si="9"/>
        <v>84.855155866745378</v>
      </c>
      <c r="U12" s="14">
        <f t="shared" si="10"/>
        <v>0.81149139281105354</v>
      </c>
      <c r="V12" s="23">
        <f t="shared" si="11"/>
        <v>29.674775728734787</v>
      </c>
      <c r="W12" s="32">
        <f t="shared" si="14"/>
        <v>9.7773211315765884E-2</v>
      </c>
    </row>
    <row r="13" spans="1:23" x14ac:dyDescent="0.25">
      <c r="A13">
        <f t="shared" si="0"/>
        <v>5</v>
      </c>
      <c r="B13" s="2">
        <f>yields!C12</f>
        <v>42082</v>
      </c>
      <c r="C13" s="14">
        <f>+yields!D12/100</f>
        <v>5.6764000000000007E-3</v>
      </c>
      <c r="D13" s="14">
        <f>+yields!E12/100</f>
        <v>8.9732000000000006E-3</v>
      </c>
      <c r="E13" s="14">
        <f>+yields!F12/100</f>
        <v>1.4104E-2</v>
      </c>
      <c r="F13" s="26"/>
      <c r="G13" s="1">
        <f>(G$2-$B13)/360</f>
        <v>2.2361111111111112</v>
      </c>
      <c r="H13" s="4">
        <f>(H$2-$B13)/360</f>
        <v>5.5750000000000002</v>
      </c>
      <c r="I13" s="1">
        <f>(I$2-$B13)/360</f>
        <v>10.352777777777778</v>
      </c>
      <c r="K13" s="15">
        <f t="shared" si="2"/>
        <v>5.5750000000000002</v>
      </c>
      <c r="L13" s="16">
        <f t="shared" si="3"/>
        <v>31.080625000000001</v>
      </c>
      <c r="M13" s="30">
        <f t="shared" si="4"/>
        <v>2.2361111111111112</v>
      </c>
      <c r="N13" s="30">
        <f t="shared" ref="N13" si="29">+M13^2</f>
        <v>5.0001929012345681</v>
      </c>
      <c r="O13" s="30">
        <f t="shared" si="5"/>
        <v>10.352777777777778</v>
      </c>
      <c r="P13" s="30">
        <f t="shared" ref="P13" si="30">+O13^2</f>
        <v>107.18000771604939</v>
      </c>
      <c r="R13" s="31">
        <f t="shared" si="7"/>
        <v>98.738715603001765</v>
      </c>
      <c r="S13" s="31">
        <f t="shared" si="8"/>
        <v>95.120508285119371</v>
      </c>
      <c r="T13" s="13">
        <f t="shared" si="9"/>
        <v>86.414424163282831</v>
      </c>
      <c r="U13" s="14">
        <f t="shared" si="10"/>
        <v>0.79850429057671779</v>
      </c>
      <c r="V13" s="23">
        <f t="shared" si="11"/>
        <v>29.736427140904027</v>
      </c>
      <c r="W13" s="32">
        <f t="shared" si="14"/>
        <v>0.20775696076968941</v>
      </c>
    </row>
    <row r="14" spans="1:23" x14ac:dyDescent="0.25">
      <c r="A14">
        <f t="shared" si="0"/>
        <v>5</v>
      </c>
      <c r="B14" s="2">
        <f>yields!C13</f>
        <v>42089</v>
      </c>
      <c r="C14" s="14">
        <f>+yields!D13/100</f>
        <v>6.7054999999999997E-3</v>
      </c>
      <c r="D14" s="14">
        <f>+yields!E13/100</f>
        <v>1.0221800000000001E-2</v>
      </c>
      <c r="E14" s="14">
        <f>+yields!F13/100</f>
        <v>1.52322E-2</v>
      </c>
      <c r="F14" s="26"/>
      <c r="G14" s="1">
        <f>(G$2-$B14)/360</f>
        <v>2.2166666666666668</v>
      </c>
      <c r="H14" s="4">
        <f>(H$2-$B14)/360</f>
        <v>5.5555555555555554</v>
      </c>
      <c r="I14" s="1">
        <f>(I$2-$B14)/360</f>
        <v>10.333333333333334</v>
      </c>
      <c r="K14" s="15">
        <f t="shared" si="2"/>
        <v>5.5555555555555554</v>
      </c>
      <c r="L14" s="16">
        <f t="shared" si="3"/>
        <v>30.864197530864196</v>
      </c>
      <c r="M14" s="30">
        <f t="shared" si="4"/>
        <v>2.2166666666666668</v>
      </c>
      <c r="N14" s="30">
        <f t="shared" ref="N14" si="31">+M14^2</f>
        <v>4.9136111111111118</v>
      </c>
      <c r="O14" s="30">
        <f t="shared" si="5"/>
        <v>10.333333333333334</v>
      </c>
      <c r="P14" s="30">
        <f t="shared" ref="P14" si="32">+O14^2</f>
        <v>106.77777777777779</v>
      </c>
      <c r="R14" s="31">
        <f t="shared" si="7"/>
        <v>98.524606351409275</v>
      </c>
      <c r="S14" s="31">
        <f t="shared" si="8"/>
        <v>94.479455449196919</v>
      </c>
      <c r="T14" s="13">
        <f t="shared" si="9"/>
        <v>85.436275817886781</v>
      </c>
      <c r="U14" s="14">
        <f t="shared" si="10"/>
        <v>0.80589492333435908</v>
      </c>
      <c r="V14" s="23">
        <f t="shared" si="11"/>
        <v>29.671945401180253</v>
      </c>
      <c r="W14" s="32">
        <f t="shared" si="14"/>
        <v>-0.21684427459368605</v>
      </c>
    </row>
    <row r="15" spans="1:23" x14ac:dyDescent="0.25">
      <c r="A15">
        <f t="shared" si="0"/>
        <v>5</v>
      </c>
      <c r="B15" s="2">
        <f>yields!C14</f>
        <v>42096</v>
      </c>
      <c r="C15" s="14">
        <f>+yields!D14/100</f>
        <v>5.7758000000000002E-3</v>
      </c>
      <c r="D15" s="14">
        <f>+yields!E14/100</f>
        <v>8.9887999999999999E-3</v>
      </c>
      <c r="E15" s="14">
        <f>+yields!F14/100</f>
        <v>1.39831E-2</v>
      </c>
      <c r="F15" s="26"/>
      <c r="G15" s="1">
        <f>(G$2-$B15)/360</f>
        <v>2.1972222222222224</v>
      </c>
      <c r="H15" s="4">
        <f>(H$2-$B15)/360</f>
        <v>5.5361111111111114</v>
      </c>
      <c r="I15" s="1">
        <f>(I$2-$B15)/360</f>
        <v>10.313888888888888</v>
      </c>
      <c r="K15" s="15">
        <f t="shared" si="2"/>
        <v>5.5361111111111114</v>
      </c>
      <c r="L15" s="16">
        <f t="shared" si="3"/>
        <v>30.648526234567903</v>
      </c>
      <c r="M15" s="30">
        <f t="shared" si="4"/>
        <v>2.1972222222222224</v>
      </c>
      <c r="N15" s="30">
        <f t="shared" ref="N15" si="33">+M15^2</f>
        <v>4.8277854938271609</v>
      </c>
      <c r="O15" s="30">
        <f t="shared" si="5"/>
        <v>10.313888888888888</v>
      </c>
      <c r="P15" s="30">
        <f t="shared" ref="P15" si="34">+O15^2</f>
        <v>106.37630401234567</v>
      </c>
      <c r="R15" s="31">
        <f t="shared" si="7"/>
        <v>98.738947145561326</v>
      </c>
      <c r="S15" s="31">
        <f t="shared" si="8"/>
        <v>95.145489681992245</v>
      </c>
      <c r="T15" s="13">
        <f t="shared" si="9"/>
        <v>86.569715275044047</v>
      </c>
      <c r="U15" s="14">
        <f t="shared" si="10"/>
        <v>0.79707378098014436</v>
      </c>
      <c r="V15" s="23">
        <f t="shared" si="11"/>
        <v>29.736496872907409</v>
      </c>
      <c r="W15" s="32">
        <f t="shared" si="14"/>
        <v>0.21755052071708025</v>
      </c>
    </row>
    <row r="16" spans="1:23" x14ac:dyDescent="0.25">
      <c r="A16">
        <f t="shared" si="0"/>
        <v>5</v>
      </c>
      <c r="B16" s="2">
        <f>yields!C15</f>
        <v>42103</v>
      </c>
      <c r="C16" s="14">
        <f>+yields!D15/100</f>
        <v>5.9659999999999999E-3</v>
      </c>
      <c r="D16" s="14">
        <f>+yields!E15/100</f>
        <v>9.4549999999999999E-3</v>
      </c>
      <c r="E16" s="14">
        <f>+yields!F15/100</f>
        <v>1.45706E-2</v>
      </c>
      <c r="F16" s="26"/>
      <c r="G16" s="1">
        <f>(G$2-$B16)/360</f>
        <v>2.1777777777777776</v>
      </c>
      <c r="H16" s="4">
        <f>(H$2-$B16)/360</f>
        <v>5.5166666666666666</v>
      </c>
      <c r="I16" s="1">
        <f>(I$2-$B16)/360</f>
        <v>10.294444444444444</v>
      </c>
      <c r="K16" s="15">
        <f t="shared" si="2"/>
        <v>5.5166666666666666</v>
      </c>
      <c r="L16" s="16">
        <f t="shared" si="3"/>
        <v>30.433611111111109</v>
      </c>
      <c r="M16" s="30">
        <f t="shared" si="4"/>
        <v>2.1777777777777776</v>
      </c>
      <c r="N16" s="30">
        <f t="shared" ref="N16" si="35">+M16^2</f>
        <v>4.7427160493827154</v>
      </c>
      <c r="O16" s="30">
        <f t="shared" si="5"/>
        <v>10.294444444444444</v>
      </c>
      <c r="P16" s="30">
        <f t="shared" ref="P16" si="36">+O16^2</f>
        <v>105.97558641975309</v>
      </c>
      <c r="R16" s="31">
        <f t="shared" si="7"/>
        <v>98.709141753454816</v>
      </c>
      <c r="S16" s="31">
        <f t="shared" si="8"/>
        <v>94.917690727687727</v>
      </c>
      <c r="T16" s="13">
        <f t="shared" si="9"/>
        <v>86.071121938755397</v>
      </c>
      <c r="U16" s="14">
        <f t="shared" si="10"/>
        <v>0.80144907608729044</v>
      </c>
      <c r="V16" s="23">
        <f t="shared" si="11"/>
        <v>29.727520597842783</v>
      </c>
      <c r="W16" s="32">
        <f t="shared" si="14"/>
        <v>-3.0186054204672796E-2</v>
      </c>
    </row>
    <row r="17" spans="1:23" x14ac:dyDescent="0.25">
      <c r="A17">
        <f t="shared" si="0"/>
        <v>5</v>
      </c>
      <c r="B17" s="2">
        <f>yields!C16</f>
        <v>42110</v>
      </c>
      <c r="C17" s="14">
        <f>+yields!D16/100</f>
        <v>6.6274000000000003E-3</v>
      </c>
      <c r="D17" s="14">
        <f>+yields!E16/100</f>
        <v>9.7616000000000005E-3</v>
      </c>
      <c r="E17" s="14">
        <f>+yields!F16/100</f>
        <v>1.46065E-2</v>
      </c>
      <c r="F17" s="26"/>
      <c r="G17" s="1">
        <f>(G$2-$B17)/360</f>
        <v>2.1583333333333332</v>
      </c>
      <c r="H17" s="4">
        <f>(H$2-$B17)/360</f>
        <v>5.4972222222222218</v>
      </c>
      <c r="I17" s="1">
        <f>(I$2-$B17)/360</f>
        <v>10.275</v>
      </c>
      <c r="K17" s="15">
        <f t="shared" si="2"/>
        <v>5.4972222222222218</v>
      </c>
      <c r="L17" s="16">
        <f t="shared" si="3"/>
        <v>30.219452160493823</v>
      </c>
      <c r="M17" s="30">
        <f t="shared" si="4"/>
        <v>2.1583333333333332</v>
      </c>
      <c r="N17" s="30">
        <f t="shared" ref="N17" si="37">+M17^2</f>
        <v>4.658402777777777</v>
      </c>
      <c r="O17" s="30">
        <f t="shared" si="5"/>
        <v>10.275</v>
      </c>
      <c r="P17" s="30">
        <f t="shared" ref="P17" si="38">+O17^2</f>
        <v>105.575625</v>
      </c>
      <c r="R17" s="31">
        <f t="shared" si="7"/>
        <v>98.579767980169592</v>
      </c>
      <c r="S17" s="31">
        <f t="shared" si="8"/>
        <v>94.775269174769065</v>
      </c>
      <c r="T17" s="13">
        <f t="shared" si="9"/>
        <v>86.063758415007925</v>
      </c>
      <c r="U17" s="14">
        <f t="shared" si="10"/>
        <v>0.80046713294499927</v>
      </c>
      <c r="V17" s="23">
        <f t="shared" si="11"/>
        <v>29.68855803123715</v>
      </c>
      <c r="W17" s="32">
        <f t="shared" si="14"/>
        <v>-0.13106564497161743</v>
      </c>
    </row>
    <row r="18" spans="1:23" x14ac:dyDescent="0.25">
      <c r="A18">
        <f t="shared" si="0"/>
        <v>5</v>
      </c>
      <c r="B18" s="2">
        <f>yields!C17</f>
        <v>42117</v>
      </c>
      <c r="C18" s="14">
        <f>+yields!D17/100</f>
        <v>7.4215000000000001E-3</v>
      </c>
      <c r="D18" s="14">
        <f>+yields!E17/100</f>
        <v>1.08626E-2</v>
      </c>
      <c r="E18" s="14">
        <f>+yields!F17/100</f>
        <v>1.5782600000000001E-2</v>
      </c>
      <c r="F18" s="26"/>
      <c r="G18" s="1">
        <f>(G$2-$B18)/360</f>
        <v>2.1388888888888888</v>
      </c>
      <c r="H18" s="4">
        <f>(H$2-$B18)/360</f>
        <v>5.4777777777777779</v>
      </c>
      <c r="I18" s="1">
        <f>(I$2-$B18)/360</f>
        <v>10.255555555555556</v>
      </c>
      <c r="K18" s="15">
        <f t="shared" si="2"/>
        <v>5.4777777777777779</v>
      </c>
      <c r="L18" s="16">
        <f t="shared" si="3"/>
        <v>30.00604938271605</v>
      </c>
      <c r="M18" s="30">
        <f t="shared" si="4"/>
        <v>2.1388888888888888</v>
      </c>
      <c r="N18" s="30">
        <f t="shared" ref="N18" si="39">+M18^2</f>
        <v>4.5748456790123457</v>
      </c>
      <c r="O18" s="30">
        <f t="shared" si="5"/>
        <v>10.255555555555556</v>
      </c>
      <c r="P18" s="30">
        <f t="shared" ref="P18" si="40">+O18^2</f>
        <v>105.17641975308644</v>
      </c>
      <c r="R18" s="31">
        <f t="shared" si="7"/>
        <v>98.425156030264489</v>
      </c>
      <c r="S18" s="31">
        <f t="shared" si="8"/>
        <v>94.223279273674208</v>
      </c>
      <c r="T18" s="13">
        <f t="shared" si="9"/>
        <v>85.056084357408864</v>
      </c>
      <c r="U18" s="14">
        <f t="shared" si="10"/>
        <v>0.80868008308854855</v>
      </c>
      <c r="V18" s="23">
        <f t="shared" si="11"/>
        <v>29.64199466492849</v>
      </c>
      <c r="W18" s="32">
        <f t="shared" si="14"/>
        <v>-0.15683943376323395</v>
      </c>
    </row>
    <row r="19" spans="1:23" x14ac:dyDescent="0.25">
      <c r="A19">
        <f t="shared" si="0"/>
        <v>5</v>
      </c>
      <c r="B19" s="2">
        <f>yields!C18</f>
        <v>42124</v>
      </c>
      <c r="C19" s="14">
        <f>+yields!D18/100</f>
        <v>7.6934999999999998E-3</v>
      </c>
      <c r="D19" s="14">
        <f>+yields!E18/100</f>
        <v>1.15201E-2</v>
      </c>
      <c r="E19" s="14">
        <f>+yields!F18/100</f>
        <v>1.6869499999999999E-2</v>
      </c>
      <c r="F19" s="26"/>
      <c r="G19" s="1">
        <f>(G$2-$B19)/360</f>
        <v>2.1194444444444445</v>
      </c>
      <c r="H19" s="4">
        <f>(H$2-$B19)/360</f>
        <v>5.458333333333333</v>
      </c>
      <c r="I19" s="1">
        <f>(I$2-$B19)/360</f>
        <v>10.236111111111111</v>
      </c>
      <c r="K19" s="15">
        <f t="shared" si="2"/>
        <v>5.458333333333333</v>
      </c>
      <c r="L19" s="16">
        <f t="shared" si="3"/>
        <v>29.793402777777775</v>
      </c>
      <c r="M19" s="30">
        <f t="shared" si="4"/>
        <v>2.1194444444444445</v>
      </c>
      <c r="N19" s="30">
        <f t="shared" ref="N19" si="41">+M19^2</f>
        <v>4.4920447530864198</v>
      </c>
      <c r="O19" s="30">
        <f t="shared" si="5"/>
        <v>10.236111111111111</v>
      </c>
      <c r="P19" s="30">
        <f t="shared" ref="P19" si="42">+O19^2</f>
        <v>104.77797067901234</v>
      </c>
      <c r="R19" s="31">
        <f t="shared" si="7"/>
        <v>98.382627645611038</v>
      </c>
      <c r="S19" s="31">
        <f t="shared" si="8"/>
        <v>93.905564109862866</v>
      </c>
      <c r="T19" s="13">
        <f t="shared" si="9"/>
        <v>84.140844049328194</v>
      </c>
      <c r="U19" s="14">
        <f t="shared" si="10"/>
        <v>0.81712326188909434</v>
      </c>
      <c r="V19" s="23">
        <f t="shared" si="11"/>
        <v>29.629186697922393</v>
      </c>
      <c r="W19" s="32">
        <f t="shared" si="14"/>
        <v>-4.3208856728027545E-2</v>
      </c>
    </row>
    <row r="20" spans="1:23" x14ac:dyDescent="0.25">
      <c r="A20">
        <f t="shared" si="0"/>
        <v>5</v>
      </c>
      <c r="B20" s="2">
        <f>yields!C19</f>
        <v>42131</v>
      </c>
      <c r="C20" s="14">
        <f>+yields!D19/100</f>
        <v>7.8710999999999989E-3</v>
      </c>
      <c r="D20" s="14">
        <f>+yields!E19/100</f>
        <v>1.24511E-2</v>
      </c>
      <c r="E20" s="14">
        <f>+yields!F19/100</f>
        <v>1.8175799999999999E-2</v>
      </c>
      <c r="F20" s="26"/>
      <c r="G20" s="1">
        <f>(G$2-$B20)/360</f>
        <v>2.1</v>
      </c>
      <c r="H20" s="4">
        <f>(H$2-$B20)/360</f>
        <v>5.4388888888888891</v>
      </c>
      <c r="I20" s="1">
        <f>(I$2-$B20)/360</f>
        <v>10.216666666666667</v>
      </c>
      <c r="K20" s="15">
        <f t="shared" si="2"/>
        <v>5.4388888888888891</v>
      </c>
      <c r="L20" s="16">
        <f t="shared" si="3"/>
        <v>29.581512345679016</v>
      </c>
      <c r="M20" s="30">
        <f t="shared" si="4"/>
        <v>2.1</v>
      </c>
      <c r="N20" s="30">
        <f t="shared" ref="N20" si="43">+M20^2</f>
        <v>4.41</v>
      </c>
      <c r="O20" s="30">
        <f t="shared" si="5"/>
        <v>10.216666666666667</v>
      </c>
      <c r="P20" s="30">
        <f t="shared" ref="P20" si="44">+O20^2</f>
        <v>104.38027777777778</v>
      </c>
      <c r="R20" s="31">
        <f t="shared" si="7"/>
        <v>98.360654946020702</v>
      </c>
      <c r="S20" s="31">
        <f t="shared" si="8"/>
        <v>93.452196347711805</v>
      </c>
      <c r="T20" s="13">
        <f t="shared" si="9"/>
        <v>83.052596177663744</v>
      </c>
      <c r="U20" s="14">
        <f t="shared" si="10"/>
        <v>0.82764523652678523</v>
      </c>
      <c r="V20" s="23">
        <f t="shared" si="11"/>
        <v>29.622569338394612</v>
      </c>
      <c r="W20" s="32">
        <f t="shared" si="14"/>
        <v>-2.2333922274841989E-2</v>
      </c>
    </row>
    <row r="21" spans="1:23" x14ac:dyDescent="0.25">
      <c r="A21">
        <f t="shared" si="0"/>
        <v>5</v>
      </c>
      <c r="B21" s="2">
        <f>yields!C20</f>
        <v>42138</v>
      </c>
      <c r="C21" s="14">
        <f>+yields!D20/100</f>
        <v>7.7688999999999996E-3</v>
      </c>
      <c r="D21" s="14">
        <f>+yields!E20/100</f>
        <v>1.26049E-2</v>
      </c>
      <c r="E21" s="14">
        <f>+yields!F20/100</f>
        <v>1.8763700000000001E-2</v>
      </c>
      <c r="F21" s="26"/>
      <c r="G21" s="1">
        <f>(G$2-$B21)/360</f>
        <v>2.0805555555555557</v>
      </c>
      <c r="H21" s="4">
        <f>(H$2-$B21)/360</f>
        <v>5.4194444444444443</v>
      </c>
      <c r="I21" s="1">
        <f>(I$2-$B21)/360</f>
        <v>10.197222222222223</v>
      </c>
      <c r="K21" s="15">
        <f t="shared" si="2"/>
        <v>5.4194444444444443</v>
      </c>
      <c r="L21" s="16">
        <f t="shared" si="3"/>
        <v>29.370378086419752</v>
      </c>
      <c r="M21" s="30">
        <f t="shared" si="4"/>
        <v>2.0805555555555557</v>
      </c>
      <c r="N21" s="30">
        <f t="shared" ref="N21" si="45">+M21^2</f>
        <v>4.3287114197530867</v>
      </c>
      <c r="O21" s="30">
        <f t="shared" si="5"/>
        <v>10.197222222222223</v>
      </c>
      <c r="P21" s="30">
        <f t="shared" ref="P21" si="46">+O21^2</f>
        <v>103.98334104938273</v>
      </c>
      <c r="R21" s="31">
        <f t="shared" si="7"/>
        <v>98.396630238934847</v>
      </c>
      <c r="S21" s="31">
        <f t="shared" si="8"/>
        <v>93.396944513392924</v>
      </c>
      <c r="T21" s="13">
        <f t="shared" si="9"/>
        <v>82.585371749279972</v>
      </c>
      <c r="U21" s="14">
        <f t="shared" si="10"/>
        <v>0.83263203911810868</v>
      </c>
      <c r="V21" s="23">
        <f t="shared" si="11"/>
        <v>29.633403758004818</v>
      </c>
      <c r="W21" s="32">
        <f t="shared" si="14"/>
        <v>3.6574881423812045E-2</v>
      </c>
    </row>
    <row r="22" spans="1:23" x14ac:dyDescent="0.25">
      <c r="A22">
        <f t="shared" si="0"/>
        <v>5</v>
      </c>
      <c r="B22" s="2">
        <f>yields!C21</f>
        <v>42145</v>
      </c>
      <c r="C22" s="14">
        <f>+yields!D21/100</f>
        <v>7.7415000000000001E-3</v>
      </c>
      <c r="D22" s="14">
        <f>+yields!E21/100</f>
        <v>1.2514600000000001E-2</v>
      </c>
      <c r="E22" s="14">
        <f>+yields!F21/100</f>
        <v>1.8550799999999999E-2</v>
      </c>
      <c r="F22" s="26"/>
      <c r="G22" s="1">
        <f>(G$2-$B22)/360</f>
        <v>2.0611111111111109</v>
      </c>
      <c r="H22" s="4">
        <f>(H$2-$B22)/360</f>
        <v>5.4</v>
      </c>
      <c r="I22" s="1">
        <f>(I$2-$B22)/360</f>
        <v>10.177777777777777</v>
      </c>
      <c r="K22" s="15">
        <f t="shared" si="2"/>
        <v>5.4</v>
      </c>
      <c r="L22" s="16">
        <f t="shared" si="3"/>
        <v>29.160000000000004</v>
      </c>
      <c r="M22" s="30">
        <f t="shared" si="4"/>
        <v>2.0611111111111109</v>
      </c>
      <c r="N22" s="30">
        <f t="shared" ref="N22" si="47">+M22^2</f>
        <v>4.2481790123456777</v>
      </c>
      <c r="O22" s="30">
        <f t="shared" si="5"/>
        <v>10.177777777777777</v>
      </c>
      <c r="P22" s="30">
        <f t="shared" ref="P22" si="48">+O22^2</f>
        <v>103.58716049382714</v>
      </c>
      <c r="R22" s="31">
        <f t="shared" si="7"/>
        <v>98.417053239438047</v>
      </c>
      <c r="S22" s="31">
        <f t="shared" si="8"/>
        <v>93.465402958747262</v>
      </c>
      <c r="T22" s="13">
        <f t="shared" si="9"/>
        <v>82.794717909109792</v>
      </c>
      <c r="U22" s="14">
        <f t="shared" si="10"/>
        <v>0.8306991142733251</v>
      </c>
      <c r="V22" s="23">
        <f t="shared" si="11"/>
        <v>29.639554405830737</v>
      </c>
      <c r="W22" s="32">
        <f t="shared" si="14"/>
        <v>2.0755792605364753E-2</v>
      </c>
    </row>
    <row r="23" spans="1:23" x14ac:dyDescent="0.25">
      <c r="A23">
        <f t="shared" si="0"/>
        <v>5</v>
      </c>
      <c r="B23" s="2">
        <f>yields!C22</f>
        <v>42152</v>
      </c>
      <c r="C23" s="14">
        <f>+yields!D22/100</f>
        <v>7.2138999999999997E-3</v>
      </c>
      <c r="D23" s="14">
        <f>+yields!E22/100</f>
        <v>1.1453100000000001E-2</v>
      </c>
      <c r="E23" s="14">
        <f>+yields!F22/100</f>
        <v>1.76282E-2</v>
      </c>
      <c r="F23" s="26"/>
      <c r="G23" s="1">
        <f>(G$2-$B23)/360</f>
        <v>2.0416666666666665</v>
      </c>
      <c r="H23" s="4">
        <f>(H$2-$B23)/360</f>
        <v>5.3805555555555555</v>
      </c>
      <c r="I23" s="1">
        <f>(I$2-$B23)/360</f>
        <v>10.158333333333333</v>
      </c>
      <c r="K23" s="15">
        <f t="shared" si="2"/>
        <v>5.3805555555555555</v>
      </c>
      <c r="L23" s="16">
        <f t="shared" si="3"/>
        <v>28.950378086419754</v>
      </c>
      <c r="M23" s="30">
        <f t="shared" si="4"/>
        <v>2.0416666666666665</v>
      </c>
      <c r="N23" s="30">
        <f t="shared" ref="N23" si="49">+M23^2</f>
        <v>4.1684027777777768</v>
      </c>
      <c r="O23" s="30">
        <f t="shared" si="5"/>
        <v>10.158333333333333</v>
      </c>
      <c r="P23" s="30">
        <f t="shared" ref="P23" si="50">+O23^2</f>
        <v>103.19173611111111</v>
      </c>
      <c r="R23" s="31">
        <f t="shared" si="7"/>
        <v>98.537955287204852</v>
      </c>
      <c r="S23" s="31">
        <f t="shared" si="8"/>
        <v>94.023631081030814</v>
      </c>
      <c r="T23" s="13">
        <f t="shared" si="9"/>
        <v>83.604475581489595</v>
      </c>
      <c r="U23" s="14">
        <f t="shared" si="10"/>
        <v>0.82366391517099524</v>
      </c>
      <c r="V23" s="23">
        <f t="shared" si="11"/>
        <v>29.675965603937257</v>
      </c>
      <c r="W23" s="32">
        <f t="shared" si="14"/>
        <v>0.12284664475035179</v>
      </c>
    </row>
    <row r="24" spans="1:23" x14ac:dyDescent="0.25">
      <c r="A24">
        <f t="shared" si="0"/>
        <v>5</v>
      </c>
      <c r="B24" s="2">
        <f>yields!C23</f>
        <v>42159</v>
      </c>
      <c r="C24" s="14">
        <f>+yields!D23/100</f>
        <v>6.8084E-3</v>
      </c>
      <c r="D24" s="14">
        <f>+yields!E23/100</f>
        <v>1.1812700000000001E-2</v>
      </c>
      <c r="E24" s="14">
        <f>+yields!F23/100</f>
        <v>1.8450299999999999E-2</v>
      </c>
      <c r="F24" s="26"/>
      <c r="G24" s="1">
        <f>(G$2-$B24)/360</f>
        <v>2.0222222222222221</v>
      </c>
      <c r="H24" s="4">
        <f>(H$2-$B24)/360</f>
        <v>5.3611111111111107</v>
      </c>
      <c r="I24" s="1">
        <f>(I$2-$B24)/360</f>
        <v>10.138888888888889</v>
      </c>
      <c r="K24" s="15">
        <f t="shared" si="2"/>
        <v>5.3611111111111107</v>
      </c>
      <c r="L24" s="16">
        <f t="shared" si="3"/>
        <v>28.741512345679009</v>
      </c>
      <c r="M24" s="30">
        <f t="shared" si="4"/>
        <v>2.0222222222222221</v>
      </c>
      <c r="N24" s="30">
        <f t="shared" ref="N24" si="51">+M24^2</f>
        <v>4.0893827160493821</v>
      </c>
      <c r="O24" s="30">
        <f t="shared" si="5"/>
        <v>10.138888888888889</v>
      </c>
      <c r="P24" s="30">
        <f t="shared" ref="P24" si="52">+O24^2</f>
        <v>102.79706790123457</v>
      </c>
      <c r="R24" s="31">
        <f t="shared" si="7"/>
        <v>98.63262489922468</v>
      </c>
      <c r="S24" s="31">
        <f t="shared" si="8"/>
        <v>93.863442697722164</v>
      </c>
      <c r="T24" s="13">
        <f t="shared" si="9"/>
        <v>82.938937504200098</v>
      </c>
      <c r="U24" s="14">
        <f t="shared" si="10"/>
        <v>0.83107103135058435</v>
      </c>
      <c r="V24" s="23">
        <f t="shared" si="11"/>
        <v>29.704476568487451</v>
      </c>
      <c r="W24" s="32">
        <f t="shared" si="14"/>
        <v>9.6074260668399525E-2</v>
      </c>
    </row>
    <row r="25" spans="1:23" x14ac:dyDescent="0.25">
      <c r="A25">
        <f t="shared" si="0"/>
        <v>5</v>
      </c>
      <c r="B25" s="2">
        <f>yields!C24</f>
        <v>42166</v>
      </c>
      <c r="C25" s="14">
        <f>+yields!D24/100</f>
        <v>7.5036999999999994E-3</v>
      </c>
      <c r="D25" s="14">
        <f>+yields!E24/100</f>
        <v>1.26053E-2</v>
      </c>
      <c r="E25" s="14">
        <f>+yields!F24/100</f>
        <v>1.9277499999999999E-2</v>
      </c>
      <c r="F25" s="26"/>
      <c r="G25" s="1">
        <f>(G$2-$B25)/360</f>
        <v>2.0027777777777778</v>
      </c>
      <c r="H25" s="4">
        <f>(H$2-$B25)/360</f>
        <v>5.3416666666666668</v>
      </c>
      <c r="I25" s="1">
        <f>(I$2-$B25)/360</f>
        <v>10.119444444444444</v>
      </c>
      <c r="K25" s="15">
        <f t="shared" si="2"/>
        <v>5.3416666666666668</v>
      </c>
      <c r="L25" s="16">
        <f t="shared" si="3"/>
        <v>28.533402777777781</v>
      </c>
      <c r="M25" s="30">
        <f t="shared" si="4"/>
        <v>2.0027777777777778</v>
      </c>
      <c r="N25" s="30">
        <f t="shared" ref="N25" si="53">+M25^2</f>
        <v>4.0111188271604936</v>
      </c>
      <c r="O25" s="30">
        <f t="shared" si="5"/>
        <v>10.119444444444444</v>
      </c>
      <c r="P25" s="30">
        <f t="shared" ref="P25" si="54">+O25^2</f>
        <v>102.40315586419752</v>
      </c>
      <c r="R25" s="31">
        <f t="shared" si="7"/>
        <v>98.508411687744854</v>
      </c>
      <c r="S25" s="31">
        <f t="shared" si="8"/>
        <v>93.488354258739363</v>
      </c>
      <c r="T25" s="13">
        <f t="shared" si="9"/>
        <v>82.277081656310628</v>
      </c>
      <c r="U25" s="14">
        <f t="shared" si="10"/>
        <v>0.83670132837517952</v>
      </c>
      <c r="V25" s="23">
        <f t="shared" si="11"/>
        <v>29.667068171076636</v>
      </c>
      <c r="W25" s="32">
        <f t="shared" si="14"/>
        <v>-0.12593521829803445</v>
      </c>
    </row>
    <row r="26" spans="1:23" x14ac:dyDescent="0.25">
      <c r="A26">
        <f t="shared" si="0"/>
        <v>5</v>
      </c>
      <c r="B26" s="2">
        <f>yields!C25</f>
        <v>42173</v>
      </c>
      <c r="C26" s="14">
        <f>+yields!D25/100</f>
        <v>7.1319999999999995E-3</v>
      </c>
      <c r="D26" s="14">
        <f>+yields!E25/100</f>
        <v>1.1993700000000001E-2</v>
      </c>
      <c r="E26" s="14">
        <f>+yields!F25/100</f>
        <v>1.8945699999999999E-2</v>
      </c>
      <c r="F26" s="26"/>
      <c r="G26" s="1">
        <f>(G$2-$B26)/360</f>
        <v>1.9833333333333334</v>
      </c>
      <c r="H26" s="4">
        <f>(H$2-$B26)/360</f>
        <v>5.322222222222222</v>
      </c>
      <c r="I26" s="1">
        <f>(I$2-$B26)/360</f>
        <v>10.1</v>
      </c>
      <c r="K26" s="15">
        <f t="shared" si="2"/>
        <v>5.322222222222222</v>
      </c>
      <c r="L26" s="16">
        <f t="shared" si="3"/>
        <v>28.326049382716047</v>
      </c>
      <c r="M26" s="30">
        <f t="shared" si="4"/>
        <v>1.9833333333333334</v>
      </c>
      <c r="N26" s="30">
        <f t="shared" ref="N26" si="55">+M26^2</f>
        <v>3.9336111111111114</v>
      </c>
      <c r="O26" s="30">
        <f t="shared" si="5"/>
        <v>10.1</v>
      </c>
      <c r="P26" s="30">
        <f t="shared" ref="P26" si="56">+O26^2</f>
        <v>102.00999999999999</v>
      </c>
      <c r="R26" s="31">
        <f t="shared" si="7"/>
        <v>98.595443902419248</v>
      </c>
      <c r="S26" s="31">
        <f t="shared" si="8"/>
        <v>93.816153123097195</v>
      </c>
      <c r="T26" s="13">
        <f t="shared" si="9"/>
        <v>82.584219576679402</v>
      </c>
      <c r="U26" s="14">
        <f t="shared" si="10"/>
        <v>0.83432603976738007</v>
      </c>
      <c r="V26" s="23">
        <f t="shared" si="11"/>
        <v>29.69327903572858</v>
      </c>
      <c r="W26" s="32">
        <f t="shared" si="14"/>
        <v>8.8350033447182064E-2</v>
      </c>
    </row>
    <row r="27" spans="1:23" x14ac:dyDescent="0.25">
      <c r="A27">
        <f t="shared" si="0"/>
        <v>5</v>
      </c>
      <c r="B27" s="2">
        <f>yields!C26</f>
        <v>42180</v>
      </c>
      <c r="C27" s="14">
        <f>+yields!D26/100</f>
        <v>7.1355000000000003E-3</v>
      </c>
      <c r="D27" s="14">
        <f>+yields!E26/100</f>
        <v>1.23908E-2</v>
      </c>
      <c r="E27" s="14">
        <f>+yields!F26/100</f>
        <v>1.9242499999999999E-2</v>
      </c>
      <c r="F27" s="26"/>
      <c r="G27" s="1">
        <f>(G$2-$B27)/360</f>
        <v>1.9638888888888888</v>
      </c>
      <c r="H27" s="4">
        <f>(H$2-$B27)/360</f>
        <v>5.302777777777778</v>
      </c>
      <c r="I27" s="1">
        <f>(I$2-$B27)/360</f>
        <v>10.080555555555556</v>
      </c>
      <c r="K27" s="15">
        <f t="shared" si="2"/>
        <v>5.302777777777778</v>
      </c>
      <c r="L27" s="16">
        <f t="shared" si="3"/>
        <v>28.119452160493829</v>
      </c>
      <c r="M27" s="30">
        <f t="shared" si="4"/>
        <v>1.9638888888888888</v>
      </c>
      <c r="N27" s="30">
        <f t="shared" ref="N27" si="57">+M27^2</f>
        <v>3.8568595679012341</v>
      </c>
      <c r="O27" s="30">
        <f t="shared" si="5"/>
        <v>10.080555555555556</v>
      </c>
      <c r="P27" s="30">
        <f t="shared" ref="P27" si="58">+O27^2</f>
        <v>101.61760030864198</v>
      </c>
      <c r="R27" s="31">
        <f t="shared" si="7"/>
        <v>98.608440049194286</v>
      </c>
      <c r="S27" s="31">
        <f t="shared" si="8"/>
        <v>93.640644664597843</v>
      </c>
      <c r="T27" s="13">
        <f t="shared" si="9"/>
        <v>82.367842161371797</v>
      </c>
      <c r="U27" s="14">
        <f t="shared" si="10"/>
        <v>0.83662804863367013</v>
      </c>
      <c r="V27" s="23">
        <f t="shared" si="11"/>
        <v>29.69719299155966</v>
      </c>
      <c r="W27" s="32">
        <f t="shared" si="14"/>
        <v>1.3181285321750558E-2</v>
      </c>
    </row>
    <row r="28" spans="1:23" x14ac:dyDescent="0.25">
      <c r="A28">
        <f t="shared" si="0"/>
        <v>5</v>
      </c>
      <c r="B28" s="2">
        <f>yields!C27</f>
        <v>42187</v>
      </c>
      <c r="C28" s="14">
        <f>+yields!D27/100</f>
        <v>5.8301999999999998E-3</v>
      </c>
      <c r="D28" s="14">
        <f>+yields!E27/100</f>
        <v>1.08547E-2</v>
      </c>
      <c r="E28" s="14">
        <f>+yields!F27/100</f>
        <v>1.8134999999999998E-2</v>
      </c>
      <c r="F28" s="26"/>
      <c r="G28" s="1">
        <f>(G$2-$B28)/360</f>
        <v>1.9444444444444444</v>
      </c>
      <c r="H28" s="4">
        <f>(H$2-$B28)/360</f>
        <v>5.2833333333333332</v>
      </c>
      <c r="I28" s="1">
        <f>(I$2-$B28)/360</f>
        <v>10.061111111111112</v>
      </c>
      <c r="K28" s="15">
        <f t="shared" si="2"/>
        <v>5.2833333333333332</v>
      </c>
      <c r="L28" s="16">
        <f t="shared" si="3"/>
        <v>27.913611111111109</v>
      </c>
      <c r="M28" s="30">
        <f t="shared" si="4"/>
        <v>1.9444444444444444</v>
      </c>
      <c r="N28" s="30">
        <f t="shared" ref="N28" si="59">+M28^2</f>
        <v>3.7808641975308639</v>
      </c>
      <c r="O28" s="30">
        <f t="shared" si="5"/>
        <v>10.061111111111112</v>
      </c>
      <c r="P28" s="30">
        <f t="shared" ref="P28" si="60">+O28^2</f>
        <v>101.22595679012348</v>
      </c>
      <c r="R28" s="31">
        <f t="shared" si="7"/>
        <v>98.872751598204061</v>
      </c>
      <c r="S28" s="31">
        <f t="shared" si="8"/>
        <v>94.426446512964802</v>
      </c>
      <c r="T28" s="13">
        <f t="shared" si="9"/>
        <v>83.321943011337112</v>
      </c>
      <c r="U28" s="14">
        <f t="shared" si="10"/>
        <v>0.82926484075784801</v>
      </c>
      <c r="V28" s="23">
        <f t="shared" si="11"/>
        <v>29.776793795273107</v>
      </c>
      <c r="W28" s="32">
        <f t="shared" si="14"/>
        <v>0.26804150727670617</v>
      </c>
    </row>
    <row r="29" spans="1:23" x14ac:dyDescent="0.25">
      <c r="A29">
        <f t="shared" si="0"/>
        <v>5</v>
      </c>
      <c r="B29" s="2">
        <f>yields!C28</f>
        <v>42194</v>
      </c>
      <c r="C29" s="14">
        <f>+yields!D28/100</f>
        <v>5.5710000000000004E-3</v>
      </c>
      <c r="D29" s="14">
        <f>+yields!E28/100</f>
        <v>9.7540000000000005E-3</v>
      </c>
      <c r="E29" s="14">
        <f>+yields!F28/100</f>
        <v>1.68623E-2</v>
      </c>
      <c r="F29" s="26"/>
      <c r="G29" s="1">
        <f>(G$2-$B29)/360</f>
        <v>1.925</v>
      </c>
      <c r="H29" s="4">
        <f>(H$2-$B29)/360</f>
        <v>5.2638888888888893</v>
      </c>
      <c r="I29" s="1">
        <f>(I$2-$B29)/360</f>
        <v>10.041666666666666</v>
      </c>
      <c r="K29" s="15">
        <f t="shared" si="2"/>
        <v>5.2638888888888893</v>
      </c>
      <c r="L29" s="16">
        <f t="shared" si="3"/>
        <v>27.708526234567906</v>
      </c>
      <c r="M29" s="30">
        <f t="shared" si="4"/>
        <v>1.925</v>
      </c>
      <c r="N29" s="30">
        <f t="shared" ref="N29" si="61">+M29^2</f>
        <v>3.7056250000000004</v>
      </c>
      <c r="O29" s="30">
        <f t="shared" si="5"/>
        <v>10.041666666666666</v>
      </c>
      <c r="P29" s="30">
        <f t="shared" ref="P29" si="62">+O29^2</f>
        <v>100.83506944444443</v>
      </c>
      <c r="R29" s="31">
        <f t="shared" si="7"/>
        <v>98.933312395379275</v>
      </c>
      <c r="S29" s="31">
        <f t="shared" si="8"/>
        <v>94.99518572769567</v>
      </c>
      <c r="T29" s="13">
        <f t="shared" si="9"/>
        <v>84.423397956533293</v>
      </c>
      <c r="U29" s="14">
        <f t="shared" si="10"/>
        <v>0.81894689878532234</v>
      </c>
      <c r="V29" s="23">
        <f t="shared" si="11"/>
        <v>29.795032453957219</v>
      </c>
      <c r="W29" s="32">
        <f t="shared" si="14"/>
        <v>6.1251250922134126E-2</v>
      </c>
    </row>
    <row r="30" spans="1:23" x14ac:dyDescent="0.25">
      <c r="A30">
        <f t="shared" si="0"/>
        <v>5</v>
      </c>
      <c r="B30" s="2">
        <f>yields!C29</f>
        <v>42201</v>
      </c>
      <c r="C30" s="14">
        <f>+yields!D29/100</f>
        <v>5.0948E-3</v>
      </c>
      <c r="D30" s="14">
        <f>+yields!E29/100</f>
        <v>9.4447000000000003E-3</v>
      </c>
      <c r="E30" s="14">
        <f>+yields!F29/100</f>
        <v>1.6594600000000001E-2</v>
      </c>
      <c r="F30" s="26"/>
      <c r="G30" s="1">
        <f>(G$2-$B30)/360</f>
        <v>1.9055555555555554</v>
      </c>
      <c r="H30" s="4">
        <f>(H$2-$B30)/360</f>
        <v>5.2444444444444445</v>
      </c>
      <c r="I30" s="1">
        <f>(I$2-$B30)/360</f>
        <v>10.022222222222222</v>
      </c>
      <c r="K30" s="15">
        <f t="shared" si="2"/>
        <v>5.2444444444444445</v>
      </c>
      <c r="L30" s="16">
        <f t="shared" si="3"/>
        <v>27.504197530864197</v>
      </c>
      <c r="M30" s="30">
        <f t="shared" si="4"/>
        <v>1.9055555555555554</v>
      </c>
      <c r="N30" s="30">
        <f t="shared" ref="N30" si="63">+M30^2</f>
        <v>3.6311419753086414</v>
      </c>
      <c r="O30" s="30">
        <f t="shared" si="5"/>
        <v>10.022222222222222</v>
      </c>
      <c r="P30" s="30">
        <f t="shared" ref="P30" si="64">+O30^2</f>
        <v>100.44493827160494</v>
      </c>
      <c r="R30" s="31">
        <f t="shared" si="7"/>
        <v>99.033855016875094</v>
      </c>
      <c r="S30" s="31">
        <f t="shared" si="8"/>
        <v>95.167450949408334</v>
      </c>
      <c r="T30" s="13">
        <f t="shared" si="9"/>
        <v>84.677965234546278</v>
      </c>
      <c r="U30" s="14">
        <f t="shared" si="10"/>
        <v>0.81731466591982915</v>
      </c>
      <c r="V30" s="23">
        <f t="shared" si="11"/>
        <v>29.825312150430989</v>
      </c>
      <c r="W30" s="32">
        <f t="shared" si="14"/>
        <v>0.1016266604863203</v>
      </c>
    </row>
    <row r="31" spans="1:23" x14ac:dyDescent="0.25">
      <c r="A31">
        <f t="shared" si="0"/>
        <v>5</v>
      </c>
      <c r="B31" s="2">
        <f>yields!C30</f>
        <v>42208</v>
      </c>
      <c r="C31" s="14">
        <f>+yields!D30/100</f>
        <v>5.2337999999999994E-3</v>
      </c>
      <c r="D31" s="14">
        <f>+yields!E30/100</f>
        <v>8.6995000000000006E-3</v>
      </c>
      <c r="E31" s="14">
        <f>+yields!F30/100</f>
        <v>1.5935500000000002E-2</v>
      </c>
      <c r="F31" s="26"/>
      <c r="G31" s="1">
        <f>(G$2-$B31)/360</f>
        <v>1.8861111111111111</v>
      </c>
      <c r="H31" s="4">
        <f>(H$2-$B31)/360</f>
        <v>5.2249999999999996</v>
      </c>
      <c r="I31" s="1">
        <f>(I$2-$B31)/360</f>
        <v>10.002777777777778</v>
      </c>
      <c r="K31" s="15">
        <f t="shared" si="2"/>
        <v>5.2249999999999996</v>
      </c>
      <c r="L31" s="16">
        <f t="shared" si="3"/>
        <v>27.300624999999997</v>
      </c>
      <c r="M31" s="30">
        <f t="shared" si="4"/>
        <v>1.8861111111111111</v>
      </c>
      <c r="N31" s="30">
        <f t="shared" ref="N31" si="65">+M31^2</f>
        <v>3.5574151234567899</v>
      </c>
      <c r="O31" s="30">
        <f t="shared" si="5"/>
        <v>10.002777777777778</v>
      </c>
      <c r="P31" s="30">
        <f t="shared" ref="P31" si="66">+O31^2</f>
        <v>100.05556327160495</v>
      </c>
      <c r="R31" s="31">
        <f t="shared" si="7"/>
        <v>99.017703527211381</v>
      </c>
      <c r="S31" s="31">
        <f t="shared" si="8"/>
        <v>95.556270942234704</v>
      </c>
      <c r="T31" s="13">
        <f t="shared" si="9"/>
        <v>85.265585512112935</v>
      </c>
      <c r="U31" s="14">
        <f t="shared" si="10"/>
        <v>0.81154964443012223</v>
      </c>
      <c r="V31" s="23">
        <f t="shared" si="11"/>
        <v>29.820447922729954</v>
      </c>
      <c r="W31" s="32">
        <f t="shared" si="14"/>
        <v>-1.6309058817221E-2</v>
      </c>
    </row>
    <row r="32" spans="1:23" x14ac:dyDescent="0.25">
      <c r="A32">
        <f t="shared" si="0"/>
        <v>5</v>
      </c>
      <c r="B32" s="2">
        <f>yields!C31</f>
        <v>42215</v>
      </c>
      <c r="C32" s="14">
        <f>+yields!D31/100</f>
        <v>5.3927000000000003E-3</v>
      </c>
      <c r="D32" s="14">
        <f>+yields!E31/100</f>
        <v>9.3521999999999997E-3</v>
      </c>
      <c r="E32" s="14">
        <f>+yields!F31/100</f>
        <v>1.5749800000000001E-2</v>
      </c>
      <c r="F32" s="26"/>
      <c r="G32" s="1">
        <f>(G$2-$B32)/360</f>
        <v>1.8666666666666667</v>
      </c>
      <c r="H32" s="4">
        <f>(H$2-$B32)/360</f>
        <v>5.2055555555555557</v>
      </c>
      <c r="I32" s="1">
        <f>(I$2-$B32)/360</f>
        <v>9.9833333333333325</v>
      </c>
      <c r="K32" s="15">
        <f t="shared" si="2"/>
        <v>5.2055555555555557</v>
      </c>
      <c r="L32" s="16">
        <f t="shared" si="3"/>
        <v>27.097808641975309</v>
      </c>
      <c r="M32" s="30">
        <f t="shared" si="4"/>
        <v>1.8666666666666667</v>
      </c>
      <c r="N32" s="30">
        <f t="shared" ref="N32" si="67">+M32^2</f>
        <v>3.4844444444444447</v>
      </c>
      <c r="O32" s="30">
        <f t="shared" si="5"/>
        <v>9.9833333333333325</v>
      </c>
      <c r="P32" s="30">
        <f t="shared" ref="P32" si="68">+O32^2</f>
        <v>99.666944444444425</v>
      </c>
      <c r="R32" s="31">
        <f t="shared" si="7"/>
        <v>98.998412302228019</v>
      </c>
      <c r="S32" s="31">
        <f t="shared" si="8"/>
        <v>95.248264114535047</v>
      </c>
      <c r="T32" s="13">
        <f t="shared" si="9"/>
        <v>85.45027968626809</v>
      </c>
      <c r="U32" s="14">
        <f t="shared" si="10"/>
        <v>0.80963777336550879</v>
      </c>
      <c r="V32" s="23">
        <f t="shared" si="11"/>
        <v>29.81463812357795</v>
      </c>
      <c r="W32" s="32">
        <f t="shared" si="14"/>
        <v>-1.9482601894704743E-2</v>
      </c>
    </row>
    <row r="33" spans="1:23" x14ac:dyDescent="0.25">
      <c r="A33">
        <f t="shared" si="0"/>
        <v>5</v>
      </c>
      <c r="B33" s="2">
        <f>yields!C32</f>
        <v>42222</v>
      </c>
      <c r="C33" s="14">
        <f>+yields!D32/100</f>
        <v>5.2112E-3</v>
      </c>
      <c r="D33" s="14">
        <f>+yields!E32/100</f>
        <v>8.7165999999999997E-3</v>
      </c>
      <c r="E33" s="14">
        <f>+yields!F32/100</f>
        <v>1.52955E-2</v>
      </c>
      <c r="F33" s="26"/>
      <c r="G33" s="1">
        <f>(G$2-$B33)/360</f>
        <v>1.8472222222222223</v>
      </c>
      <c r="H33" s="4">
        <f>(H$2-$B33)/360</f>
        <v>5.1861111111111109</v>
      </c>
      <c r="I33" s="1">
        <f>(I$2-$B33)/360</f>
        <v>9.9638888888888886</v>
      </c>
      <c r="K33" s="15">
        <f t="shared" si="2"/>
        <v>5.1861111111111109</v>
      </c>
      <c r="L33" s="16">
        <f t="shared" si="3"/>
        <v>26.89574845679012</v>
      </c>
      <c r="M33" s="30">
        <f t="shared" si="4"/>
        <v>1.8472222222222223</v>
      </c>
      <c r="N33" s="30">
        <f t="shared" ref="N33" si="69">+M33^2</f>
        <v>3.4122299382716053</v>
      </c>
      <c r="O33" s="30">
        <f t="shared" si="5"/>
        <v>9.9638888888888886</v>
      </c>
      <c r="P33" s="30">
        <f t="shared" ref="P33" si="70">+O33^2</f>
        <v>99.279081790123456</v>
      </c>
      <c r="R33" s="31">
        <f t="shared" si="7"/>
        <v>99.041993953504701</v>
      </c>
      <c r="S33" s="31">
        <f t="shared" si="8"/>
        <v>95.580127764449003</v>
      </c>
      <c r="T33" s="13">
        <f t="shared" si="9"/>
        <v>85.86424680001133</v>
      </c>
      <c r="U33" s="14">
        <f t="shared" si="10"/>
        <v>0.80608906777478295</v>
      </c>
      <c r="V33" s="23">
        <f t="shared" si="11"/>
        <v>29.827763295299675</v>
      </c>
      <c r="W33" s="32">
        <f t="shared" si="14"/>
        <v>4.4022575982038958E-2</v>
      </c>
    </row>
    <row r="34" spans="1:23" x14ac:dyDescent="0.25">
      <c r="A34">
        <f t="shared" si="0"/>
        <v>5</v>
      </c>
      <c r="B34" s="2">
        <f>yields!C33</f>
        <v>42229</v>
      </c>
      <c r="C34" s="14">
        <f>+yields!D33/100</f>
        <v>5.1098000000000003E-3</v>
      </c>
      <c r="D34" s="14">
        <f>+yields!E33/100</f>
        <v>8.2602999999999999E-3</v>
      </c>
      <c r="E34" s="14">
        <f>+yields!F33/100</f>
        <v>1.4807499999999999E-2</v>
      </c>
      <c r="F34" s="26"/>
      <c r="G34" s="1">
        <f>(G$2-$B34)/360</f>
        <v>1.8277777777777777</v>
      </c>
      <c r="H34" s="4">
        <f>(H$2-$B34)/360</f>
        <v>5.166666666666667</v>
      </c>
      <c r="I34" s="1">
        <f>(I$2-$B34)/360</f>
        <v>9.9444444444444446</v>
      </c>
      <c r="K34" s="15">
        <f t="shared" si="2"/>
        <v>5.166666666666667</v>
      </c>
      <c r="L34" s="16">
        <f t="shared" si="3"/>
        <v>26.694444444444446</v>
      </c>
      <c r="M34" s="30">
        <f t="shared" si="4"/>
        <v>1.8277777777777777</v>
      </c>
      <c r="N34" s="30">
        <f t="shared" ref="N34" si="71">+M34^2</f>
        <v>3.3407716049382712</v>
      </c>
      <c r="O34" s="30">
        <f t="shared" si="5"/>
        <v>9.9444444444444446</v>
      </c>
      <c r="P34" s="30">
        <f t="shared" ref="P34" si="72">+O34^2</f>
        <v>98.891975308641975</v>
      </c>
      <c r="R34" s="31">
        <f t="shared" si="7"/>
        <v>99.070389951607538</v>
      </c>
      <c r="S34" s="31">
        <f t="shared" si="8"/>
        <v>95.821967958571875</v>
      </c>
      <c r="T34" s="13">
        <f t="shared" si="9"/>
        <v>86.307614307657715</v>
      </c>
      <c r="U34" s="14">
        <f t="shared" si="10"/>
        <v>0.80217806266175207</v>
      </c>
      <c r="V34" s="23">
        <f t="shared" si="11"/>
        <v>29.836315113332958</v>
      </c>
      <c r="W34" s="32">
        <f t="shared" si="14"/>
        <v>2.8670664805185986E-2</v>
      </c>
    </row>
    <row r="35" spans="1:23" x14ac:dyDescent="0.25">
      <c r="A35">
        <f t="shared" si="0"/>
        <v>5</v>
      </c>
      <c r="B35" s="2">
        <f>yields!C34</f>
        <v>42236</v>
      </c>
      <c r="C35" s="14">
        <f>+yields!D34/100</f>
        <v>4.5037999999999996E-3</v>
      </c>
      <c r="D35" s="14">
        <f>+yields!E34/100</f>
        <v>7.3125999999999998E-3</v>
      </c>
      <c r="E35" s="14">
        <f>+yields!F34/100</f>
        <v>1.37751E-2</v>
      </c>
      <c r="F35" s="26"/>
      <c r="G35" s="1">
        <f>(G$2-$B35)/360</f>
        <v>1.8083333333333333</v>
      </c>
      <c r="H35" s="4">
        <f>(H$2-$B35)/360</f>
        <v>5.1472222222222221</v>
      </c>
      <c r="I35" s="1">
        <f>(I$2-$B35)/360</f>
        <v>9.9250000000000007</v>
      </c>
      <c r="K35" s="15">
        <f t="shared" si="2"/>
        <v>5.1472222222222221</v>
      </c>
      <c r="L35" s="16">
        <f t="shared" si="3"/>
        <v>26.493896604938271</v>
      </c>
      <c r="M35" s="30">
        <f t="shared" si="4"/>
        <v>1.8083333333333333</v>
      </c>
      <c r="N35" s="30">
        <f t="shared" ref="N35" si="73">+M35^2</f>
        <v>3.2700694444444447</v>
      </c>
      <c r="O35" s="30">
        <f t="shared" si="5"/>
        <v>9.9250000000000007</v>
      </c>
      <c r="P35" s="30">
        <f t="shared" ref="P35" si="74">+O35^2</f>
        <v>98.505625000000009</v>
      </c>
      <c r="R35" s="31">
        <f t="shared" si="7"/>
        <v>99.188870387418049</v>
      </c>
      <c r="S35" s="31">
        <f t="shared" si="8"/>
        <v>96.305998710148074</v>
      </c>
      <c r="T35" s="13">
        <f t="shared" si="9"/>
        <v>87.221627197906642</v>
      </c>
      <c r="U35" s="14">
        <f t="shared" si="10"/>
        <v>0.79472116724115571</v>
      </c>
      <c r="V35" s="23">
        <f t="shared" si="11"/>
        <v>29.87199701202475</v>
      </c>
      <c r="W35" s="32">
        <f t="shared" si="14"/>
        <v>0.11959217670229894</v>
      </c>
    </row>
    <row r="36" spans="1:23" x14ac:dyDescent="0.25">
      <c r="A36">
        <f t="shared" si="0"/>
        <v>5</v>
      </c>
      <c r="B36" s="2">
        <f>yields!C35</f>
        <v>42243</v>
      </c>
      <c r="C36" s="14">
        <f>+yields!D35/100</f>
        <v>5.1132E-3</v>
      </c>
      <c r="D36" s="14">
        <f>+yields!E35/100</f>
        <v>8.2915000000000003E-3</v>
      </c>
      <c r="E36" s="14">
        <f>+yields!F35/100</f>
        <v>1.5641099999999998E-2</v>
      </c>
      <c r="F36" s="26"/>
      <c r="G36" s="1">
        <f>(G$2-$B36)/360</f>
        <v>1.788888888888889</v>
      </c>
      <c r="H36" s="4">
        <f>(H$2-$B36)/360</f>
        <v>5.1277777777777782</v>
      </c>
      <c r="I36" s="1">
        <f>(I$2-$B36)/360</f>
        <v>9.905555555555555</v>
      </c>
      <c r="K36" s="15">
        <f t="shared" si="2"/>
        <v>5.1277777777777782</v>
      </c>
      <c r="L36" s="16">
        <f t="shared" si="3"/>
        <v>26.294104938271609</v>
      </c>
      <c r="M36" s="30">
        <f t="shared" si="4"/>
        <v>1.788888888888889</v>
      </c>
      <c r="N36" s="30">
        <f t="shared" ref="N36" si="75">+M36^2</f>
        <v>3.2001234567901236</v>
      </c>
      <c r="O36" s="30">
        <f t="shared" si="5"/>
        <v>9.905555555555555</v>
      </c>
      <c r="P36" s="30">
        <f t="shared" ref="P36" si="76">+O36^2</f>
        <v>98.120030864197517</v>
      </c>
      <c r="R36" s="31">
        <f t="shared" si="7"/>
        <v>99.089475939209422</v>
      </c>
      <c r="S36" s="31">
        <f t="shared" si="8"/>
        <v>95.837420230517552</v>
      </c>
      <c r="T36" s="13">
        <f t="shared" si="9"/>
        <v>85.647188689207667</v>
      </c>
      <c r="U36" s="14">
        <f t="shared" si="10"/>
        <v>0.80851939096178282</v>
      </c>
      <c r="V36" s="23">
        <f t="shared" si="11"/>
        <v>29.842063102622348</v>
      </c>
      <c r="W36" s="32">
        <f t="shared" si="14"/>
        <v>-0.10020725896012772</v>
      </c>
    </row>
    <row r="37" spans="1:23" x14ac:dyDescent="0.25">
      <c r="A37">
        <f t="shared" si="0"/>
        <v>5</v>
      </c>
      <c r="B37" s="2">
        <f>yields!C36</f>
        <v>42250</v>
      </c>
      <c r="C37" s="14">
        <f>+yields!D36/100</f>
        <v>5.4905000000000006E-3</v>
      </c>
      <c r="D37" s="14">
        <f>+yields!E36/100</f>
        <v>8.5650999999999991E-3</v>
      </c>
      <c r="E37" s="14">
        <f>+yields!F36/100</f>
        <v>1.5725100000000002E-2</v>
      </c>
      <c r="F37" s="26"/>
      <c r="G37" s="1">
        <f>(G$2-$B37)/360</f>
        <v>1.7694444444444444</v>
      </c>
      <c r="H37" s="4">
        <f>(H$2-$B37)/360</f>
        <v>5.1083333333333334</v>
      </c>
      <c r="I37" s="1">
        <f>(I$2-$B37)/360</f>
        <v>9.8861111111111111</v>
      </c>
      <c r="K37" s="15">
        <f t="shared" si="2"/>
        <v>5.1083333333333334</v>
      </c>
      <c r="L37" s="16">
        <f t="shared" si="3"/>
        <v>26.095069444444444</v>
      </c>
      <c r="M37" s="30">
        <f t="shared" si="4"/>
        <v>1.7694444444444444</v>
      </c>
      <c r="N37" s="30">
        <f t="shared" ref="N37" si="77">+M37^2</f>
        <v>3.1309336419753082</v>
      </c>
      <c r="O37" s="30">
        <f t="shared" si="5"/>
        <v>9.8861111111111111</v>
      </c>
      <c r="P37" s="30">
        <f t="shared" ref="P37" si="78">+O37^2</f>
        <v>97.735192901234569</v>
      </c>
      <c r="R37" s="31">
        <f t="shared" si="7"/>
        <v>99.033190474428153</v>
      </c>
      <c r="S37" s="31">
        <f t="shared" si="8"/>
        <v>95.718998497847423</v>
      </c>
      <c r="T37" s="13">
        <f t="shared" si="9"/>
        <v>85.602124362164517</v>
      </c>
      <c r="U37" s="14">
        <f t="shared" si="10"/>
        <v>0.80848552503966209</v>
      </c>
      <c r="V37" s="23">
        <f t="shared" si="11"/>
        <v>29.825112014973129</v>
      </c>
      <c r="W37" s="32">
        <f t="shared" si="14"/>
        <v>-5.6802666728927864E-2</v>
      </c>
    </row>
    <row r="38" spans="1:23" x14ac:dyDescent="0.25">
      <c r="A38">
        <f t="shared" si="0"/>
        <v>5</v>
      </c>
      <c r="B38" s="2">
        <f>yields!C37</f>
        <v>42257</v>
      </c>
      <c r="C38" s="14">
        <f>+yields!D37/100</f>
        <v>5.8187999999999998E-3</v>
      </c>
      <c r="D38" s="14">
        <f>+yields!E37/100</f>
        <v>8.9218000000000006E-3</v>
      </c>
      <c r="E38" s="14">
        <f>+yields!F37/100</f>
        <v>1.6073400000000002E-2</v>
      </c>
      <c r="F38" s="26"/>
      <c r="G38" s="1">
        <f>(G$2-$B38)/360</f>
        <v>1.75</v>
      </c>
      <c r="H38" s="4">
        <f>(H$2-$B38)/360</f>
        <v>5.0888888888888886</v>
      </c>
      <c r="I38" s="1">
        <f>(I$2-$B38)/360</f>
        <v>9.8666666666666671</v>
      </c>
      <c r="K38" s="15">
        <f t="shared" si="2"/>
        <v>5.0888888888888886</v>
      </c>
      <c r="L38" s="16">
        <f t="shared" si="3"/>
        <v>25.896790123456785</v>
      </c>
      <c r="M38" s="30">
        <f t="shared" si="4"/>
        <v>1.75</v>
      </c>
      <c r="N38" s="30">
        <f t="shared" ref="N38" si="79">+M38^2</f>
        <v>3.0625</v>
      </c>
      <c r="O38" s="30">
        <f t="shared" si="5"/>
        <v>9.8666666666666671</v>
      </c>
      <c r="P38" s="30">
        <f t="shared" ref="P38" si="80">+O38^2</f>
        <v>97.351111111111123</v>
      </c>
      <c r="R38" s="31">
        <f t="shared" si="7"/>
        <v>98.98687701933423</v>
      </c>
      <c r="S38" s="31">
        <f t="shared" si="8"/>
        <v>95.561320136269273</v>
      </c>
      <c r="T38" s="13">
        <f t="shared" si="9"/>
        <v>85.334540823616237</v>
      </c>
      <c r="U38" s="14">
        <f t="shared" si="10"/>
        <v>0.81064141467319772</v>
      </c>
      <c r="V38" s="23">
        <f t="shared" si="11"/>
        <v>29.811164125590224</v>
      </c>
      <c r="W38" s="32">
        <f t="shared" si="14"/>
        <v>-4.6765589265529428E-2</v>
      </c>
    </row>
    <row r="39" spans="1:23" x14ac:dyDescent="0.25">
      <c r="A39">
        <f t="shared" si="0"/>
        <v>5</v>
      </c>
      <c r="B39" s="2">
        <f>yields!C38</f>
        <v>42264</v>
      </c>
      <c r="C39" s="14">
        <f>+yields!D38/100</f>
        <v>6.0943999999999998E-3</v>
      </c>
      <c r="D39" s="14">
        <f>+yields!E38/100</f>
        <v>9.2645000000000002E-3</v>
      </c>
      <c r="E39" s="14">
        <f>+yields!F38/100</f>
        <v>1.64095E-2</v>
      </c>
      <c r="F39" s="26"/>
      <c r="G39" s="1">
        <f>(G$2-$B39)/360</f>
        <v>1.7305555555555556</v>
      </c>
      <c r="H39" s="4">
        <f>(H$2-$B39)/360</f>
        <v>5.0694444444444446</v>
      </c>
      <c r="I39" s="1">
        <f>(I$2-$B39)/360</f>
        <v>9.8472222222222214</v>
      </c>
      <c r="K39" s="15">
        <f t="shared" si="2"/>
        <v>5.0694444444444446</v>
      </c>
      <c r="L39" s="16">
        <f t="shared" si="3"/>
        <v>25.699266975308642</v>
      </c>
      <c r="M39" s="30">
        <f t="shared" si="4"/>
        <v>1.7305555555555556</v>
      </c>
      <c r="N39" s="30">
        <f t="shared" ref="N39" si="81">+M39^2</f>
        <v>2.9948225308641976</v>
      </c>
      <c r="O39" s="30">
        <f t="shared" si="5"/>
        <v>9.8472222222222214</v>
      </c>
      <c r="P39" s="30">
        <f t="shared" ref="P39" si="82">+O39^2</f>
        <v>96.967785493827151</v>
      </c>
      <c r="R39" s="31">
        <f t="shared" si="7"/>
        <v>98.950872363049498</v>
      </c>
      <c r="S39" s="31">
        <f t="shared" si="8"/>
        <v>95.411996300417812</v>
      </c>
      <c r="T39" s="13">
        <f t="shared" si="9"/>
        <v>85.07916644133384</v>
      </c>
      <c r="U39" s="14">
        <f t="shared" si="10"/>
        <v>0.81277890219936233</v>
      </c>
      <c r="V39" s="23">
        <f t="shared" si="11"/>
        <v>29.800320862825359</v>
      </c>
      <c r="W39" s="32">
        <f t="shared" si="14"/>
        <v>-3.6373161139180432E-2</v>
      </c>
    </row>
    <row r="40" spans="1:23" x14ac:dyDescent="0.25">
      <c r="A40">
        <f t="shared" si="0"/>
        <v>5</v>
      </c>
      <c r="B40" s="2">
        <f>yields!C39</f>
        <v>42271</v>
      </c>
      <c r="C40" s="14">
        <f>+yields!D39/100</f>
        <v>6.3188999999999997E-3</v>
      </c>
      <c r="D40" s="14">
        <f>+yields!E39/100</f>
        <v>9.1605999999999996E-3</v>
      </c>
      <c r="E40" s="14">
        <f>+yields!F39/100</f>
        <v>1.5774799999999999E-2</v>
      </c>
      <c r="F40" s="26"/>
      <c r="G40" s="1">
        <f>(G$2-$B40)/360</f>
        <v>1.711111111111111</v>
      </c>
      <c r="H40" s="4">
        <f>(H$2-$B40)/360</f>
        <v>5.05</v>
      </c>
      <c r="I40" s="1">
        <f>(I$2-$B40)/360</f>
        <v>9.8277777777777775</v>
      </c>
      <c r="K40" s="15">
        <f t="shared" si="2"/>
        <v>5.05</v>
      </c>
      <c r="L40" s="16">
        <f t="shared" si="3"/>
        <v>25.502499999999998</v>
      </c>
      <c r="M40" s="30">
        <f t="shared" si="4"/>
        <v>1.711111111111111</v>
      </c>
      <c r="N40" s="30">
        <f t="shared" ref="N40" si="83">+M40^2</f>
        <v>2.927901234567901</v>
      </c>
      <c r="O40" s="30">
        <f t="shared" si="5"/>
        <v>9.8277777777777775</v>
      </c>
      <c r="P40" s="30">
        <f t="shared" ref="P40" si="84">+O40^2</f>
        <v>96.585216049382709</v>
      </c>
      <c r="R40" s="31">
        <f t="shared" si="7"/>
        <v>98.924590324388291</v>
      </c>
      <c r="S40" s="31">
        <f t="shared" si="8"/>
        <v>95.479270012117837</v>
      </c>
      <c r="T40" s="13">
        <f t="shared" si="9"/>
        <v>85.63884330067954</v>
      </c>
      <c r="U40" s="14">
        <f t="shared" si="10"/>
        <v>0.80725266677116347</v>
      </c>
      <c r="V40" s="23">
        <f t="shared" si="11"/>
        <v>29.792405690716947</v>
      </c>
      <c r="W40" s="32">
        <f t="shared" si="14"/>
        <v>-2.6560694245025829E-2</v>
      </c>
    </row>
    <row r="41" spans="1:23" x14ac:dyDescent="0.25">
      <c r="A41">
        <f t="shared" si="0"/>
        <v>5</v>
      </c>
      <c r="B41" s="2">
        <f>yields!C40</f>
        <v>42278</v>
      </c>
      <c r="C41" s="14">
        <f>+yields!D40/100</f>
        <v>6.4507000000000002E-3</v>
      </c>
      <c r="D41" s="14">
        <f>+yields!E40/100</f>
        <v>9.1830000000000002E-3</v>
      </c>
      <c r="E41" s="14">
        <f>+yields!F40/100</f>
        <v>1.5330900000000001E-2</v>
      </c>
      <c r="F41" s="26"/>
      <c r="G41" s="1">
        <f>(G$2-$B41)/360</f>
        <v>1.6916666666666667</v>
      </c>
      <c r="H41" s="4">
        <f>(H$2-$B41)/360</f>
        <v>5.0305555555555559</v>
      </c>
      <c r="I41" s="1">
        <f>(I$2-$B41)/360</f>
        <v>9.8083333333333336</v>
      </c>
      <c r="K41" s="15">
        <f t="shared" si="2"/>
        <v>5.0305555555555559</v>
      </c>
      <c r="L41" s="16">
        <f t="shared" si="3"/>
        <v>25.306489197530869</v>
      </c>
      <c r="M41" s="30">
        <f t="shared" si="4"/>
        <v>1.6916666666666667</v>
      </c>
      <c r="N41" s="30">
        <f t="shared" ref="N41" si="85">+M41^2</f>
        <v>2.861736111111111</v>
      </c>
      <c r="O41" s="30">
        <f t="shared" si="5"/>
        <v>9.8083333333333336</v>
      </c>
      <c r="P41" s="30">
        <f t="shared" ref="P41" si="86">+O41^2</f>
        <v>96.203402777777782</v>
      </c>
      <c r="R41" s="31">
        <f t="shared" si="7"/>
        <v>98.914689045495322</v>
      </c>
      <c r="S41" s="31">
        <f t="shared" si="8"/>
        <v>95.485518220849258</v>
      </c>
      <c r="T41" s="13">
        <f t="shared" si="9"/>
        <v>86.03890765071408</v>
      </c>
      <c r="U41" s="14">
        <f t="shared" si="10"/>
        <v>0.80341867579472437</v>
      </c>
      <c r="V41" s="23">
        <f t="shared" si="11"/>
        <v>29.789423793934034</v>
      </c>
      <c r="W41" s="32">
        <f t="shared" si="14"/>
        <v>-1.0008915741377411E-2</v>
      </c>
    </row>
    <row r="42" spans="1:23" x14ac:dyDescent="0.25">
      <c r="A42">
        <f t="shared" si="0"/>
        <v>5</v>
      </c>
      <c r="B42" s="2">
        <f>yields!C41</f>
        <v>42285</v>
      </c>
      <c r="C42" s="14">
        <f>+yields!D41/100</f>
        <v>6.5688000000000005E-3</v>
      </c>
      <c r="D42" s="14">
        <f>+yields!E41/100</f>
        <v>9.5967999999999991E-3</v>
      </c>
      <c r="E42" s="14">
        <f>+yields!F41/100</f>
        <v>1.5978200000000001E-2</v>
      </c>
      <c r="F42" s="26"/>
      <c r="G42" s="1">
        <f>(G$2-$B42)/360</f>
        <v>1.6722222222222223</v>
      </c>
      <c r="H42" s="4">
        <f>(H$2-$B42)/360</f>
        <v>5.0111111111111111</v>
      </c>
      <c r="I42" s="1">
        <f>(I$2-$B42)/360</f>
        <v>9.7888888888888896</v>
      </c>
      <c r="K42" s="15">
        <f t="shared" si="2"/>
        <v>5.0111111111111111</v>
      </c>
      <c r="L42" s="16">
        <f t="shared" si="3"/>
        <v>25.111234567901235</v>
      </c>
      <c r="M42" s="30">
        <f t="shared" si="4"/>
        <v>1.6722222222222223</v>
      </c>
      <c r="N42" s="30">
        <f t="shared" ref="N42" si="87">+M42^2</f>
        <v>2.7963271604938273</v>
      </c>
      <c r="O42" s="30">
        <f t="shared" si="5"/>
        <v>9.7888888888888896</v>
      </c>
      <c r="P42" s="30">
        <f t="shared" ref="P42" si="88">+O42^2</f>
        <v>95.822345679012358</v>
      </c>
      <c r="R42" s="31">
        <f t="shared" si="7"/>
        <v>98.907561592233861</v>
      </c>
      <c r="S42" s="31">
        <f t="shared" si="8"/>
        <v>95.30474074177458</v>
      </c>
      <c r="T42" s="13">
        <f t="shared" si="9"/>
        <v>85.520948834856398</v>
      </c>
      <c r="U42" s="14">
        <f t="shared" si="10"/>
        <v>0.80822634996120057</v>
      </c>
      <c r="V42" s="23">
        <f t="shared" si="11"/>
        <v>29.787277270219292</v>
      </c>
      <c r="W42" s="32">
        <f t="shared" si="14"/>
        <v>-7.2056570465828251E-3</v>
      </c>
    </row>
    <row r="43" spans="1:23" x14ac:dyDescent="0.25">
      <c r="A43">
        <f t="shared" si="0"/>
        <v>5</v>
      </c>
      <c r="B43" s="2">
        <f>yields!C42</f>
        <v>42292</v>
      </c>
      <c r="C43" s="14">
        <f>+yields!D42/100</f>
        <v>6.4209999999999996E-3</v>
      </c>
      <c r="D43" s="14">
        <f>+yields!E42/100</f>
        <v>9.1722999999999996E-3</v>
      </c>
      <c r="E43" s="14">
        <f>+yields!F42/100</f>
        <v>1.5504800000000001E-2</v>
      </c>
      <c r="F43" s="26"/>
      <c r="G43" s="1">
        <f>(G$2-$B43)/360</f>
        <v>1.6527777777777777</v>
      </c>
      <c r="H43" s="4">
        <f>(H$2-$B43)/360</f>
        <v>4.9916666666666663</v>
      </c>
      <c r="I43" s="1">
        <f>(I$2-$B43)/360</f>
        <v>9.7694444444444439</v>
      </c>
      <c r="K43" s="15">
        <f t="shared" si="2"/>
        <v>4.9916666666666663</v>
      </c>
      <c r="L43" s="16">
        <f t="shared" si="3"/>
        <v>24.916736111111106</v>
      </c>
      <c r="M43" s="30">
        <f t="shared" si="4"/>
        <v>1.6527777777777777</v>
      </c>
      <c r="N43" s="30">
        <f t="shared" ref="N43" si="89">+M43^2</f>
        <v>2.731674382716049</v>
      </c>
      <c r="O43" s="30">
        <f t="shared" si="5"/>
        <v>9.7694444444444439</v>
      </c>
      <c r="P43" s="30">
        <f t="shared" ref="P43" si="90">+O43^2</f>
        <v>95.442044753086407</v>
      </c>
      <c r="R43" s="31">
        <f t="shared" si="7"/>
        <v>98.944362764205025</v>
      </c>
      <c r="S43" s="31">
        <f t="shared" si="8"/>
        <v>95.524725699254077</v>
      </c>
      <c r="T43" s="13">
        <f t="shared" si="9"/>
        <v>85.944084431566978</v>
      </c>
      <c r="U43" s="14">
        <f t="shared" si="10"/>
        <v>0.8045463839386352</v>
      </c>
      <c r="V43" s="23">
        <f t="shared" si="11"/>
        <v>29.798360413871052</v>
      </c>
      <c r="W43" s="32">
        <f t="shared" si="14"/>
        <v>3.7207642548930941E-2</v>
      </c>
    </row>
    <row r="44" spans="1:23" x14ac:dyDescent="0.25">
      <c r="A44">
        <f t="shared" si="0"/>
        <v>5</v>
      </c>
      <c r="B44" s="2">
        <f>yields!C43</f>
        <v>42299</v>
      </c>
      <c r="C44" s="14">
        <f>+yields!D43/100</f>
        <v>6.4513000000000001E-3</v>
      </c>
      <c r="D44" s="14">
        <f>+yields!E43/100</f>
        <v>9.3118999999999997E-3</v>
      </c>
      <c r="E44" s="14">
        <f>+yields!F43/100</f>
        <v>1.54976E-2</v>
      </c>
      <c r="F44" s="26"/>
      <c r="G44" s="1">
        <f>(G$2-$B44)/360</f>
        <v>1.6333333333333333</v>
      </c>
      <c r="H44" s="4">
        <f>(H$2-$B44)/360</f>
        <v>4.9722222222222223</v>
      </c>
      <c r="I44" s="1">
        <f>(I$2-$B44)/360</f>
        <v>9.75</v>
      </c>
      <c r="K44" s="15">
        <f t="shared" si="2"/>
        <v>4.9722222222222223</v>
      </c>
      <c r="L44" s="16">
        <f t="shared" si="3"/>
        <v>24.722993827160494</v>
      </c>
      <c r="M44" s="30">
        <f t="shared" si="4"/>
        <v>1.6333333333333333</v>
      </c>
      <c r="N44" s="30">
        <f t="shared" ref="N44" si="91">+M44^2</f>
        <v>2.6677777777777778</v>
      </c>
      <c r="O44" s="30">
        <f t="shared" si="5"/>
        <v>9.75</v>
      </c>
      <c r="P44" s="30">
        <f t="shared" ref="P44" si="92">+O44^2</f>
        <v>95.0625</v>
      </c>
      <c r="R44" s="31">
        <f t="shared" si="7"/>
        <v>98.951819767215099</v>
      </c>
      <c r="S44" s="31">
        <f t="shared" si="8"/>
        <v>95.475469429330644</v>
      </c>
      <c r="T44" s="13">
        <f t="shared" si="9"/>
        <v>85.976034257078609</v>
      </c>
      <c r="U44" s="14">
        <f t="shared" si="10"/>
        <v>0.80430801651931183</v>
      </c>
      <c r="V44" s="23">
        <f t="shared" si="11"/>
        <v>29.800606185707792</v>
      </c>
      <c r="W44" s="32">
        <f t="shared" si="14"/>
        <v>7.5365617622891179E-3</v>
      </c>
    </row>
    <row r="45" spans="1:23" x14ac:dyDescent="0.25">
      <c r="A45">
        <f t="shared" si="0"/>
        <v>5</v>
      </c>
      <c r="B45" s="2">
        <f>yields!C44</f>
        <v>42306</v>
      </c>
      <c r="C45" s="14">
        <f>+yields!D44/100</f>
        <v>6.9103999999999997E-3</v>
      </c>
      <c r="D45" s="14">
        <f>+yields!E44/100</f>
        <v>1.0069699999999999E-2</v>
      </c>
      <c r="E45" s="14">
        <f>+yields!F44/100</f>
        <v>1.64791E-2</v>
      </c>
      <c r="F45" s="26"/>
      <c r="G45" s="1">
        <f>(G$2-$B45)/360</f>
        <v>1.6138888888888889</v>
      </c>
      <c r="H45" s="4">
        <f>(H$2-$B45)/360</f>
        <v>4.9527777777777775</v>
      </c>
      <c r="I45" s="1">
        <f>(I$2-$B45)/360</f>
        <v>9.7305555555555561</v>
      </c>
      <c r="K45" s="15">
        <f t="shared" si="2"/>
        <v>4.9527777777777775</v>
      </c>
      <c r="L45" s="16">
        <f t="shared" si="3"/>
        <v>24.530007716049379</v>
      </c>
      <c r="M45" s="30">
        <f t="shared" si="4"/>
        <v>1.6138888888888889</v>
      </c>
      <c r="N45" s="30">
        <f t="shared" ref="N45" si="93">+M45^2</f>
        <v>2.6046373456790124</v>
      </c>
      <c r="O45" s="30">
        <f t="shared" si="5"/>
        <v>9.7305555555555561</v>
      </c>
      <c r="P45" s="30">
        <f t="shared" ref="P45" si="94">+O45^2</f>
        <v>94.683711419753095</v>
      </c>
      <c r="R45" s="31">
        <f t="shared" si="7"/>
        <v>98.890934211163582</v>
      </c>
      <c r="S45" s="31">
        <f t="shared" si="8"/>
        <v>95.135025125807388</v>
      </c>
      <c r="T45" s="13">
        <f t="shared" si="9"/>
        <v>85.184491100795654</v>
      </c>
      <c r="U45" s="14">
        <f t="shared" si="10"/>
        <v>0.81128223689985646</v>
      </c>
      <c r="V45" s="23">
        <f t="shared" si="11"/>
        <v>29.782269721734167</v>
      </c>
      <c r="W45" s="32">
        <f t="shared" si="14"/>
        <v>-6.1530506659357442E-2</v>
      </c>
    </row>
    <row r="46" spans="1:23" x14ac:dyDescent="0.25">
      <c r="A46">
        <f t="shared" si="0"/>
        <v>5</v>
      </c>
      <c r="B46" s="2">
        <f>yields!C45</f>
        <v>42313</v>
      </c>
      <c r="C46" s="14">
        <f>+yields!D45/100</f>
        <v>7.3553999999999998E-3</v>
      </c>
      <c r="D46" s="14">
        <f>+yields!E45/100</f>
        <v>1.0767000000000001E-2</v>
      </c>
      <c r="E46" s="14">
        <f>+yields!F45/100</f>
        <v>1.75674E-2</v>
      </c>
      <c r="F46" s="26"/>
      <c r="G46" s="1">
        <f>(G$2-$B46)/360</f>
        <v>1.5944444444444446</v>
      </c>
      <c r="H46" s="4">
        <f>(H$2-$B46)/360</f>
        <v>4.9333333333333336</v>
      </c>
      <c r="I46" s="1">
        <f>(I$2-$B46)/360</f>
        <v>9.7111111111111104</v>
      </c>
      <c r="K46" s="15">
        <f t="shared" si="2"/>
        <v>4.9333333333333336</v>
      </c>
      <c r="L46" s="16">
        <f t="shared" si="3"/>
        <v>24.337777777777781</v>
      </c>
      <c r="M46" s="30">
        <f t="shared" si="4"/>
        <v>1.5944444444444446</v>
      </c>
      <c r="N46" s="30">
        <f t="shared" ref="N46" si="95">+M46^2</f>
        <v>2.5422530864197532</v>
      </c>
      <c r="O46" s="30">
        <f t="shared" si="5"/>
        <v>9.7111111111111104</v>
      </c>
      <c r="P46" s="30">
        <f t="shared" ref="P46" si="96">+O46^2</f>
        <v>94.305679012345664</v>
      </c>
      <c r="R46" s="31">
        <f t="shared" si="7"/>
        <v>98.834072565129603</v>
      </c>
      <c r="S46" s="31">
        <f t="shared" si="8"/>
        <v>94.82688688579789</v>
      </c>
      <c r="T46" s="13">
        <f t="shared" si="9"/>
        <v>84.315963517917325</v>
      </c>
      <c r="U46" s="14">
        <f t="shared" si="10"/>
        <v>0.81916786067114611</v>
      </c>
      <c r="V46" s="23">
        <f t="shared" si="11"/>
        <v>29.765145109730867</v>
      </c>
      <c r="W46" s="32">
        <f t="shared" si="14"/>
        <v>-5.749935167232989E-2</v>
      </c>
    </row>
    <row r="47" spans="1:23" x14ac:dyDescent="0.25">
      <c r="A47">
        <f t="shared" si="0"/>
        <v>5</v>
      </c>
      <c r="B47" s="2">
        <f>yields!C46</f>
        <v>42320</v>
      </c>
      <c r="C47" s="14">
        <f>+yields!D46/100</f>
        <v>7.5745999999999999E-3</v>
      </c>
      <c r="D47" s="14">
        <f>+yields!E46/100</f>
        <v>1.1073E-2</v>
      </c>
      <c r="E47" s="14">
        <f>+yields!F46/100</f>
        <v>1.8354200000000001E-2</v>
      </c>
      <c r="F47" s="26"/>
      <c r="G47" s="1">
        <f>(G$2-$B47)/360</f>
        <v>1.575</v>
      </c>
      <c r="H47" s="4">
        <f>(H$2-$B47)/360</f>
        <v>4.9138888888888888</v>
      </c>
      <c r="I47" s="1">
        <f>(I$2-$B47)/360</f>
        <v>9.6916666666666664</v>
      </c>
      <c r="K47" s="15">
        <f t="shared" si="2"/>
        <v>4.9138888888888888</v>
      </c>
      <c r="L47" s="16">
        <f t="shared" si="3"/>
        <v>24.146304012345677</v>
      </c>
      <c r="M47" s="30">
        <f t="shared" si="4"/>
        <v>1.575</v>
      </c>
      <c r="N47" s="30">
        <f t="shared" ref="N47" si="97">+M47^2</f>
        <v>2.4806249999999999</v>
      </c>
      <c r="O47" s="30">
        <f t="shared" si="5"/>
        <v>9.6916666666666664</v>
      </c>
      <c r="P47" s="30">
        <f t="shared" ref="P47" si="98">+O47^2</f>
        <v>93.928402777777777</v>
      </c>
      <c r="R47" s="31">
        <f t="shared" si="7"/>
        <v>98.814088524336753</v>
      </c>
      <c r="S47" s="31">
        <f t="shared" si="8"/>
        <v>94.704232628639559</v>
      </c>
      <c r="T47" s="13">
        <f t="shared" si="9"/>
        <v>83.704052865455196</v>
      </c>
      <c r="U47" s="14">
        <f t="shared" si="10"/>
        <v>0.82498946586371991</v>
      </c>
      <c r="V47" s="23">
        <f t="shared" si="11"/>
        <v>29.759126660236291</v>
      </c>
      <c r="W47" s="32">
        <f t="shared" si="14"/>
        <v>-2.0219788858377719E-2</v>
      </c>
    </row>
    <row r="48" spans="1:23" x14ac:dyDescent="0.25">
      <c r="A48">
        <f t="shared" si="0"/>
        <v>5</v>
      </c>
      <c r="B48" s="2">
        <f>yields!C47</f>
        <v>42327</v>
      </c>
      <c r="C48" s="14">
        <f>+yields!D47/100</f>
        <v>7.2629999999999995E-3</v>
      </c>
      <c r="D48" s="14">
        <f>+yields!E47/100</f>
        <v>1.0553300000000002E-2</v>
      </c>
      <c r="E48" s="14">
        <f>+yields!F47/100</f>
        <v>1.74769E-2</v>
      </c>
      <c r="F48" s="26"/>
      <c r="G48" s="1">
        <f>(G$2-$B48)/360</f>
        <v>1.5555555555555556</v>
      </c>
      <c r="H48" s="4">
        <f>(H$2-$B48)/360</f>
        <v>4.8944444444444448</v>
      </c>
      <c r="I48" s="1">
        <f>(I$2-$B48)/360</f>
        <v>9.6722222222222225</v>
      </c>
      <c r="K48" s="15">
        <f t="shared" si="2"/>
        <v>4.8944444444444448</v>
      </c>
      <c r="L48" s="16">
        <f t="shared" si="3"/>
        <v>23.955586419753089</v>
      </c>
      <c r="M48" s="30">
        <f t="shared" si="4"/>
        <v>1.5555555555555556</v>
      </c>
      <c r="N48" s="30">
        <f t="shared" ref="N48" si="99">+M48^2</f>
        <v>2.4197530864197532</v>
      </c>
      <c r="O48" s="30">
        <f t="shared" si="5"/>
        <v>9.6722222222222225</v>
      </c>
      <c r="P48" s="30">
        <f t="shared" ref="P48" si="100">+O48^2</f>
        <v>93.551882716049391</v>
      </c>
      <c r="R48" s="31">
        <f t="shared" si="7"/>
        <v>98.876558272418606</v>
      </c>
      <c r="S48" s="31">
        <f t="shared" si="8"/>
        <v>94.965877743551445</v>
      </c>
      <c r="T48" s="13">
        <f t="shared" si="9"/>
        <v>84.447473477787682</v>
      </c>
      <c r="U48" s="14">
        <f t="shared" si="10"/>
        <v>0.8182437579579086</v>
      </c>
      <c r="V48" s="23">
        <f t="shared" si="11"/>
        <v>29.777940223902803</v>
      </c>
      <c r="W48" s="32">
        <f t="shared" si="14"/>
        <v>6.3219475091824684E-2</v>
      </c>
    </row>
    <row r="49" spans="1:23" x14ac:dyDescent="0.25">
      <c r="A49">
        <f t="shared" si="0"/>
        <v>5</v>
      </c>
      <c r="B49" s="2">
        <f>yields!C48</f>
        <v>42334</v>
      </c>
      <c r="C49" s="14">
        <f>+yields!D48/100</f>
        <v>7.3397000000000002E-3</v>
      </c>
      <c r="D49" s="14">
        <f>+yields!E48/100</f>
        <v>1.0341499999999998E-2</v>
      </c>
      <c r="E49" s="14">
        <f>+yields!F48/100</f>
        <v>1.6874400000000001E-2</v>
      </c>
      <c r="F49" s="26"/>
      <c r="G49" s="1">
        <f>(G$2-$B49)/360</f>
        <v>1.5361111111111112</v>
      </c>
      <c r="H49" s="4">
        <f>(H$2-$B49)/360</f>
        <v>4.875</v>
      </c>
      <c r="I49" s="1">
        <f>(I$2-$B49)/360</f>
        <v>9.6527777777777786</v>
      </c>
      <c r="K49" s="15">
        <f t="shared" si="2"/>
        <v>4.875</v>
      </c>
      <c r="L49" s="16">
        <f t="shared" si="3"/>
        <v>23.765625</v>
      </c>
      <c r="M49" s="30">
        <f t="shared" si="4"/>
        <v>1.5361111111111112</v>
      </c>
      <c r="N49" s="30">
        <f t="shared" ref="N49" si="101">+M49^2</f>
        <v>2.3596373456790127</v>
      </c>
      <c r="O49" s="30">
        <f t="shared" si="5"/>
        <v>9.6527777777777786</v>
      </c>
      <c r="P49" s="30">
        <f t="shared" ref="P49" si="102">+O49^2</f>
        <v>93.176118827160508</v>
      </c>
      <c r="R49" s="31">
        <f t="shared" si="7"/>
        <v>98.878872532813531</v>
      </c>
      <c r="S49" s="31">
        <f t="shared" si="8"/>
        <v>95.083492447249156</v>
      </c>
      <c r="T49" s="13">
        <f t="shared" si="9"/>
        <v>84.968903863422298</v>
      </c>
      <c r="U49" s="14">
        <f t="shared" si="10"/>
        <v>0.81324145890904287</v>
      </c>
      <c r="V49" s="23">
        <f t="shared" si="11"/>
        <v>29.77863719302178</v>
      </c>
      <c r="W49" s="32">
        <f t="shared" si="14"/>
        <v>2.3405551684785308E-3</v>
      </c>
    </row>
    <row r="50" spans="1:23" x14ac:dyDescent="0.25">
      <c r="A50">
        <f t="shared" si="0"/>
        <v>5</v>
      </c>
      <c r="B50" s="2">
        <f>yields!C49</f>
        <v>42341</v>
      </c>
      <c r="C50" s="14">
        <f>+yields!D49/100</f>
        <v>7.6604999999999998E-3</v>
      </c>
      <c r="D50" s="14">
        <f>+yields!E49/100</f>
        <v>1.09344E-2</v>
      </c>
      <c r="E50" s="14">
        <f>+yields!F49/100</f>
        <v>1.7545100000000001E-2</v>
      </c>
      <c r="F50" s="26"/>
      <c r="G50" s="1">
        <f>(G$2-$B50)/360</f>
        <v>1.5166666666666666</v>
      </c>
      <c r="H50" s="4">
        <f>(H$2-$B50)/360</f>
        <v>4.8555555555555552</v>
      </c>
      <c r="I50" s="1">
        <f>(I$2-$B50)/360</f>
        <v>9.6333333333333329</v>
      </c>
      <c r="K50" s="15">
        <f t="shared" si="2"/>
        <v>4.8555555555555552</v>
      </c>
      <c r="L50" s="16">
        <f t="shared" si="3"/>
        <v>23.576419753086416</v>
      </c>
      <c r="M50" s="30">
        <f t="shared" si="4"/>
        <v>1.5166666666666666</v>
      </c>
      <c r="N50" s="30">
        <f t="shared" ref="N50" si="103">+M50^2</f>
        <v>2.3002777777777776</v>
      </c>
      <c r="O50" s="30">
        <f t="shared" si="5"/>
        <v>9.6333333333333329</v>
      </c>
      <c r="P50" s="30">
        <f t="shared" ref="P50" si="104">+O50^2</f>
        <v>92.801111111111098</v>
      </c>
      <c r="R50" s="31">
        <f t="shared" si="7"/>
        <v>98.844880826627985</v>
      </c>
      <c r="S50" s="31">
        <f t="shared" si="8"/>
        <v>94.829220920297843</v>
      </c>
      <c r="T50" s="13">
        <f t="shared" si="9"/>
        <v>84.449387407631988</v>
      </c>
      <c r="U50" s="14">
        <f t="shared" si="10"/>
        <v>0.8179630757683739</v>
      </c>
      <c r="V50" s="23">
        <f t="shared" si="11"/>
        <v>29.768400155926344</v>
      </c>
      <c r="W50" s="32">
        <f t="shared" si="14"/>
        <v>-3.4377117492245812E-2</v>
      </c>
    </row>
    <row r="51" spans="1:23" x14ac:dyDescent="0.25">
      <c r="A51">
        <f t="shared" si="0"/>
        <v>5</v>
      </c>
      <c r="B51" s="2">
        <f>yields!C50</f>
        <v>42348</v>
      </c>
      <c r="C51" s="14">
        <f>+yields!D50/100</f>
        <v>6.5179000000000001E-3</v>
      </c>
      <c r="D51" s="14">
        <f>+yields!E50/100</f>
        <v>9.4979000000000001E-3</v>
      </c>
      <c r="E51" s="14">
        <f>+yields!F50/100</f>
        <v>1.6043700000000001E-2</v>
      </c>
      <c r="F51" s="26"/>
      <c r="G51" s="1">
        <f>(G$2-$B51)/360</f>
        <v>1.4972222222222222</v>
      </c>
      <c r="H51" s="4">
        <f>(H$2-$B51)/360</f>
        <v>4.8361111111111112</v>
      </c>
      <c r="I51" s="1">
        <f>(I$2-$B51)/360</f>
        <v>9.6138888888888889</v>
      </c>
      <c r="K51" s="15">
        <f t="shared" si="2"/>
        <v>4.8361111111111112</v>
      </c>
      <c r="L51" s="16">
        <f t="shared" si="3"/>
        <v>23.387970679012348</v>
      </c>
      <c r="M51" s="30">
        <f t="shared" si="4"/>
        <v>1.4972222222222222</v>
      </c>
      <c r="N51" s="30">
        <f t="shared" ref="N51" si="105">+M51^2</f>
        <v>2.2416743827160492</v>
      </c>
      <c r="O51" s="30">
        <f t="shared" si="5"/>
        <v>9.6138888888888889</v>
      </c>
      <c r="P51" s="30">
        <f t="shared" ref="P51" si="106">+O51^2</f>
        <v>92.426859567901232</v>
      </c>
      <c r="R51" s="31">
        <f t="shared" si="7"/>
        <v>99.028871731162454</v>
      </c>
      <c r="S51" s="31">
        <f t="shared" si="8"/>
        <v>95.510604792172813</v>
      </c>
      <c r="T51" s="13">
        <f t="shared" si="9"/>
        <v>85.706428702465459</v>
      </c>
      <c r="U51" s="14">
        <f t="shared" si="10"/>
        <v>0.80746638739566046</v>
      </c>
      <c r="V51" s="23">
        <f t="shared" si="11"/>
        <v>29.823811370198925</v>
      </c>
      <c r="W51" s="32">
        <f t="shared" si="14"/>
        <v>0.18614105555669891</v>
      </c>
    </row>
    <row r="52" spans="1:23" x14ac:dyDescent="0.25">
      <c r="A52">
        <f t="shared" si="0"/>
        <v>5</v>
      </c>
      <c r="B52" s="2">
        <f>yields!C51</f>
        <v>42355</v>
      </c>
      <c r="C52" s="14">
        <f>+yields!D51/100</f>
        <v>6.3110999999999992E-3</v>
      </c>
      <c r="D52" s="14">
        <f>+yields!E51/100</f>
        <v>9.2481999999999998E-3</v>
      </c>
      <c r="E52" s="14">
        <f>+yields!F51/100</f>
        <v>1.55094E-2</v>
      </c>
      <c r="F52" s="26"/>
      <c r="G52" s="1">
        <f>(G$2-$B52)/360</f>
        <v>1.4777777777777779</v>
      </c>
      <c r="H52" s="4">
        <f>(H$2-$B52)/360</f>
        <v>4.8166666666666664</v>
      </c>
      <c r="I52" s="1">
        <f>(I$2-$B52)/360</f>
        <v>9.594444444444445</v>
      </c>
      <c r="K52" s="15">
        <f t="shared" si="2"/>
        <v>4.8166666666666664</v>
      </c>
      <c r="L52" s="16">
        <f t="shared" si="3"/>
        <v>23.200277777777774</v>
      </c>
      <c r="M52" s="30">
        <f t="shared" si="4"/>
        <v>1.4777777777777779</v>
      </c>
      <c r="N52" s="30">
        <f t="shared" ref="N52" si="107">+M52^2</f>
        <v>2.1838271604938275</v>
      </c>
      <c r="O52" s="30">
        <f t="shared" si="5"/>
        <v>9.594444444444445</v>
      </c>
      <c r="P52" s="30">
        <f t="shared" ref="P52" si="108">+O52^2</f>
        <v>92.053364197530868</v>
      </c>
      <c r="R52" s="31">
        <f t="shared" si="7"/>
        <v>99.071695267633373</v>
      </c>
      <c r="S52" s="31">
        <f t="shared" si="8"/>
        <v>95.643208463198022</v>
      </c>
      <c r="T52" s="13">
        <f t="shared" si="9"/>
        <v>86.173793292900186</v>
      </c>
      <c r="U52" s="14">
        <f t="shared" si="10"/>
        <v>0.80343436671468349</v>
      </c>
      <c r="V52" s="23">
        <f t="shared" si="11"/>
        <v>29.836708225950076</v>
      </c>
      <c r="W52" s="32">
        <f t="shared" si="14"/>
        <v>4.3243486189825653E-2</v>
      </c>
    </row>
    <row r="53" spans="1:23" x14ac:dyDescent="0.25">
      <c r="A53">
        <f t="shared" si="0"/>
        <v>5</v>
      </c>
      <c r="B53" s="2">
        <f>yields!C52</f>
        <v>42362</v>
      </c>
      <c r="C53" s="14">
        <f>+yields!D52/100</f>
        <v>5.9806E-3</v>
      </c>
      <c r="D53" s="14">
        <f>+yields!E52/100</f>
        <v>8.7073999999999988E-3</v>
      </c>
      <c r="E53" s="14">
        <f>+yields!F52/100</f>
        <v>1.50396E-2</v>
      </c>
      <c r="F53" s="26"/>
      <c r="G53" s="1">
        <f>(G$2-$B53)/360</f>
        <v>1.4583333333333333</v>
      </c>
      <c r="H53" s="4">
        <f>(H$2-$B53)/360</f>
        <v>4.7972222222222225</v>
      </c>
      <c r="I53" s="1">
        <f>(I$2-$B53)/360</f>
        <v>9.5749999999999993</v>
      </c>
      <c r="K53" s="15">
        <f t="shared" si="2"/>
        <v>4.7972222222222225</v>
      </c>
      <c r="L53" s="16">
        <f t="shared" si="3"/>
        <v>23.013341049382717</v>
      </c>
      <c r="M53" s="30">
        <f t="shared" si="4"/>
        <v>1.4583333333333333</v>
      </c>
      <c r="N53" s="30">
        <f t="shared" ref="N53" si="109">+M53^2</f>
        <v>2.1267361111111107</v>
      </c>
      <c r="O53" s="30">
        <f t="shared" si="5"/>
        <v>9.5749999999999993</v>
      </c>
      <c r="P53" s="30">
        <f t="shared" ref="P53" si="110">+O53^2</f>
        <v>91.680624999999992</v>
      </c>
      <c r="R53" s="31">
        <f t="shared" si="7"/>
        <v>99.131621543136788</v>
      </c>
      <c r="S53" s="31">
        <f t="shared" si="8"/>
        <v>95.908906773261833</v>
      </c>
      <c r="T53" s="13">
        <f t="shared" si="9"/>
        <v>86.588413731482405</v>
      </c>
      <c r="U53" s="14">
        <f t="shared" si="10"/>
        <v>0.80007084975194409</v>
      </c>
      <c r="V53" s="23">
        <f t="shared" si="11"/>
        <v>29.854755790316759</v>
      </c>
      <c r="W53" s="32">
        <f t="shared" si="14"/>
        <v>6.0487786487728457E-2</v>
      </c>
    </row>
    <row r="54" spans="1:23" ht="15.75" thickBot="1" x14ac:dyDescent="0.3">
      <c r="A54">
        <f t="shared" si="0"/>
        <v>5</v>
      </c>
      <c r="B54" s="2">
        <f>yields!C53</f>
        <v>42369</v>
      </c>
      <c r="C54" s="14">
        <f>+yields!D53/100</f>
        <v>5.9780999999999992E-3</v>
      </c>
      <c r="D54" s="14">
        <f>+yields!E53/100</f>
        <v>8.7644999999999997E-3</v>
      </c>
      <c r="E54" s="14">
        <f>+yields!F53/100</f>
        <v>1.5049300000000002E-2</v>
      </c>
      <c r="F54" s="26"/>
      <c r="G54" s="1">
        <f>(G$2-$B54)/360</f>
        <v>1.4388888888888889</v>
      </c>
      <c r="H54" s="4">
        <f>(H$2-$B54)/360</f>
        <v>4.7777777777777777</v>
      </c>
      <c r="I54" s="1">
        <f>(I$2-$B54)/360</f>
        <v>9.5555555555555554</v>
      </c>
      <c r="K54" s="17">
        <f t="shared" si="2"/>
        <v>4.7777777777777777</v>
      </c>
      <c r="L54" s="18">
        <f t="shared" si="3"/>
        <v>22.827160493827158</v>
      </c>
      <c r="M54" s="30">
        <f t="shared" si="4"/>
        <v>1.4388888888888889</v>
      </c>
      <c r="N54" s="30">
        <f t="shared" ref="N54" si="111">+M54^2</f>
        <v>2.070401234567901</v>
      </c>
      <c r="O54" s="30">
        <f t="shared" si="5"/>
        <v>9.5555555555555554</v>
      </c>
      <c r="P54" s="30">
        <f t="shared" ref="P54" si="112">+O54^2</f>
        <v>91.308641975308632</v>
      </c>
      <c r="R54" s="31">
        <f t="shared" si="7"/>
        <v>99.143506815233437</v>
      </c>
      <c r="S54" s="31">
        <f t="shared" si="8"/>
        <v>95.898980661815955</v>
      </c>
      <c r="T54" s="13">
        <f t="shared" si="9"/>
        <v>86.605711302224705</v>
      </c>
      <c r="U54" s="14">
        <f t="shared" si="10"/>
        <v>0.80000695775619191</v>
      </c>
      <c r="V54" s="23">
        <f t="shared" si="11"/>
        <v>29.8583351920296</v>
      </c>
      <c r="W54" s="32">
        <f t="shared" si="14"/>
        <v>1.1989385336064196E-2</v>
      </c>
    </row>
  </sheetData>
  <autoFilter ref="A2:I54"/>
  <mergeCells count="5">
    <mergeCell ref="K1:L1"/>
    <mergeCell ref="C1:E1"/>
    <mergeCell ref="G1:I1"/>
    <mergeCell ref="M1:N1"/>
    <mergeCell ref="O1:P1"/>
  </mergeCells>
  <pageMargins left="0.7" right="0.7" top="0.75" bottom="0.75" header="0.3" footer="0.3"/>
  <pageSetup orientation="portrait" r:id="rId1"/>
  <ignoredErrors>
    <ignoredError sqref="N3:N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yields</vt:lpstr>
      <vt:lpstr>maturity</vt:lpstr>
      <vt:lpstr>Immunisation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Fontaine</dc:creator>
  <cp:lastModifiedBy>USER</cp:lastModifiedBy>
  <dcterms:created xsi:type="dcterms:W3CDTF">2017-03-30T14:01:03Z</dcterms:created>
  <dcterms:modified xsi:type="dcterms:W3CDTF">2022-11-30T16:51:37Z</dcterms:modified>
</cp:coreProperties>
</file>